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trucntt\Desktop\20250311_ACP\"/>
    </mc:Choice>
  </mc:AlternateContent>
  <bookViews>
    <workbookView showSheetTabs="0" xWindow="0" yWindow="0" windowWidth="6792" windowHeight="2136"/>
  </bookViews>
  <sheets>
    <sheet name="TRANG CHU" sheetId="43" r:id="rId1"/>
    <sheet name="ACP" sheetId="44" r:id="rId2"/>
    <sheet name="KE HOACH KINH DOANH" sheetId="46" r:id="rId3"/>
    <sheet name="PHE DUYET ACP" sheetId="45" r:id="rId4"/>
    <sheet name="ConTxt" sheetId="47" state="hidden" r:id="rId5"/>
    <sheet name="DSNS" sheetId="51" state="hidden" r:id="rId6"/>
    <sheet name="Caculate" sheetId="49" state="hidden" r:id="rId7"/>
    <sheet name="Valid" sheetId="52" state="hidden" r:id="rId8"/>
    <sheet name="Data" sheetId="50" state="hidden" r:id="rId9"/>
    <sheet name="Data_2" sheetId="55" state="hidden" r:id="rId10"/>
    <sheet name="Data_1" sheetId="54" state="hidden" r:id="rId11"/>
    <sheet name="Data_3" sheetId="56" state="hidden" r:id="rId12"/>
  </sheets>
  <functionGroups builtInGroupCount="18"/>
  <externalReferences>
    <externalReference r:id="rId13"/>
    <externalReference r:id="rId14"/>
  </externalReferences>
  <definedNames>
    <definedName name="CUOI_KY">[1]!MONTH[Tháng bc]</definedName>
    <definedName name="Data_raw4">#REF!</definedName>
    <definedName name="OVERVIEW">#REF!</definedName>
    <definedName name="PHAN_KHUC">'[2]Xu ly data (QTDM)'!$Y$2:$Y$6</definedName>
    <definedName name="Query_from_SME" localSheetId="8" hidden="1">Data!$A$1:$AM$2</definedName>
    <definedName name="Query_from_SME" localSheetId="10" hidden="1">Data_1!$A$1:$T$27</definedName>
    <definedName name="Query_from_SME" localSheetId="9" hidden="1">Data_2!$A$1:$H$5</definedName>
    <definedName name="Query_from_SME" localSheetId="5" hidden="1">DSNS!$A$1:$E$3751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9" i="44" l="1"/>
  <c r="E19" i="44"/>
  <c r="H14" i="43" l="1"/>
  <c r="B28" i="49" l="1"/>
  <c r="B27" i="49"/>
  <c r="C27" i="49" s="1"/>
  <c r="D27" i="49" s="1"/>
  <c r="E27" i="49" s="1"/>
  <c r="F27" i="49" s="1"/>
  <c r="G27" i="49" s="1"/>
  <c r="H27" i="49" s="1"/>
  <c r="I27" i="49" s="1"/>
  <c r="J27" i="49" s="1"/>
  <c r="K27" i="49" s="1"/>
  <c r="L27" i="49" s="1"/>
  <c r="M27" i="49" s="1"/>
  <c r="N27" i="49" s="1"/>
  <c r="D20" i="49"/>
  <c r="A5" i="47"/>
  <c r="D4" i="47"/>
  <c r="L3" i="47"/>
  <c r="D3" i="47" s="1"/>
  <c r="W2" i="47"/>
  <c r="T2" i="47" s="1"/>
  <c r="L2" i="47"/>
  <c r="D2" i="47" s="1"/>
  <c r="Q60" i="45"/>
  <c r="O60" i="45"/>
  <c r="M60" i="45"/>
  <c r="K60" i="45"/>
  <c r="H60" i="45"/>
  <c r="F60" i="45"/>
  <c r="Q59" i="45"/>
  <c r="O59" i="45"/>
  <c r="M59" i="45"/>
  <c r="K59" i="45"/>
  <c r="H59" i="45"/>
  <c r="F59" i="45"/>
  <c r="Q58" i="45"/>
  <c r="O58" i="45"/>
  <c r="M58" i="45"/>
  <c r="K58" i="45"/>
  <c r="H58" i="45"/>
  <c r="F58" i="45"/>
  <c r="Q57" i="45"/>
  <c r="O57" i="45"/>
  <c r="M57" i="45"/>
  <c r="K57" i="45"/>
  <c r="H57" i="45"/>
  <c r="F57" i="45"/>
  <c r="Q56" i="45"/>
  <c r="O56" i="45"/>
  <c r="M56" i="45"/>
  <c r="K56" i="45"/>
  <c r="H56" i="45"/>
  <c r="F56" i="45"/>
  <c r="Q55" i="45"/>
  <c r="O55" i="45"/>
  <c r="M55" i="45"/>
  <c r="K55" i="45"/>
  <c r="H55" i="45"/>
  <c r="F55" i="45"/>
  <c r="Q54" i="45"/>
  <c r="O54" i="45"/>
  <c r="M54" i="45"/>
  <c r="K54" i="45"/>
  <c r="H54" i="45"/>
  <c r="F54" i="45"/>
  <c r="Q53" i="45"/>
  <c r="O53" i="45"/>
  <c r="M53" i="45"/>
  <c r="K53" i="45"/>
  <c r="H53" i="45"/>
  <c r="F53" i="45"/>
  <c r="Q52" i="45"/>
  <c r="O52" i="45"/>
  <c r="M52" i="45"/>
  <c r="K52" i="45"/>
  <c r="H52" i="45"/>
  <c r="F52" i="45"/>
  <c r="Q51" i="45"/>
  <c r="O51" i="45"/>
  <c r="M51" i="45"/>
  <c r="K51" i="45"/>
  <c r="H51" i="45"/>
  <c r="F51" i="45"/>
  <c r="Q50" i="45"/>
  <c r="O50" i="45"/>
  <c r="M50" i="45"/>
  <c r="K50" i="45"/>
  <c r="H50" i="45"/>
  <c r="F50" i="45"/>
  <c r="Q49" i="45"/>
  <c r="O49" i="45"/>
  <c r="M49" i="45"/>
  <c r="K49" i="45"/>
  <c r="H49" i="45"/>
  <c r="F49" i="45"/>
  <c r="Q48" i="45"/>
  <c r="O48" i="45"/>
  <c r="M48" i="45"/>
  <c r="K48" i="45"/>
  <c r="H48" i="45"/>
  <c r="F48" i="45"/>
  <c r="Q47" i="45"/>
  <c r="O47" i="45"/>
  <c r="M47" i="45"/>
  <c r="K47" i="45"/>
  <c r="H47" i="45"/>
  <c r="F47" i="45"/>
  <c r="Q46" i="45"/>
  <c r="O46" i="45"/>
  <c r="M46" i="45"/>
  <c r="K46" i="45"/>
  <c r="H46" i="45"/>
  <c r="F46" i="45"/>
  <c r="Q45" i="45"/>
  <c r="O45" i="45"/>
  <c r="M45" i="45"/>
  <c r="K45" i="45"/>
  <c r="H45" i="45"/>
  <c r="F45" i="45"/>
  <c r="Q44" i="45"/>
  <c r="O44" i="45"/>
  <c r="M44" i="45"/>
  <c r="K44" i="45"/>
  <c r="H44" i="45"/>
  <c r="F44" i="45"/>
  <c r="Q43" i="45"/>
  <c r="O43" i="45"/>
  <c r="M43" i="45"/>
  <c r="K43" i="45"/>
  <c r="H43" i="45"/>
  <c r="F43" i="45"/>
  <c r="Q42" i="45"/>
  <c r="O42" i="45"/>
  <c r="M42" i="45"/>
  <c r="K42" i="45"/>
  <c r="H42" i="45"/>
  <c r="F42" i="45"/>
  <c r="Q41" i="45"/>
  <c r="O41" i="45"/>
  <c r="M41" i="45"/>
  <c r="K41" i="45"/>
  <c r="H41" i="45"/>
  <c r="F41" i="45"/>
  <c r="Q40" i="45"/>
  <c r="O40" i="45"/>
  <c r="M40" i="45"/>
  <c r="K40" i="45"/>
  <c r="H40" i="45"/>
  <c r="F40" i="45"/>
  <c r="Q39" i="45"/>
  <c r="O39" i="45"/>
  <c r="M39" i="45"/>
  <c r="K39" i="45"/>
  <c r="H39" i="45"/>
  <c r="F39" i="45"/>
  <c r="Q38" i="45"/>
  <c r="O38" i="45"/>
  <c r="M38" i="45"/>
  <c r="K38" i="45"/>
  <c r="H38" i="45"/>
  <c r="F38" i="45"/>
  <c r="D38" i="45"/>
  <c r="Q37" i="45"/>
  <c r="O37" i="45"/>
  <c r="M37" i="45"/>
  <c r="K37" i="45"/>
  <c r="H37" i="45"/>
  <c r="F37" i="45"/>
  <c r="D37" i="45"/>
  <c r="M25" i="45"/>
  <c r="F25" i="45"/>
  <c r="J20" i="45"/>
  <c r="H20" i="45"/>
  <c r="F20" i="45"/>
  <c r="F13" i="45"/>
  <c r="F39" i="46"/>
  <c r="F38" i="46"/>
  <c r="S106" i="44"/>
  <c r="Q106" i="44"/>
  <c r="P106" i="44"/>
  <c r="O106" i="44"/>
  <c r="N106" i="44"/>
  <c r="M106" i="44"/>
  <c r="L106" i="44"/>
  <c r="K106" i="44"/>
  <c r="J106" i="44"/>
  <c r="I106" i="44"/>
  <c r="H106" i="44"/>
  <c r="G106" i="44"/>
  <c r="F106" i="44"/>
  <c r="R90" i="44"/>
  <c r="R89" i="44"/>
  <c r="R87" i="44"/>
  <c r="R86" i="44"/>
  <c r="V62" i="44" s="1"/>
  <c r="R84" i="44"/>
  <c r="R83" i="44"/>
  <c r="T83" i="44" s="1"/>
  <c r="R79" i="44"/>
  <c r="V60" i="44" s="1"/>
  <c r="R75" i="44"/>
  <c r="V59" i="44" s="1"/>
  <c r="R71" i="44"/>
  <c r="V58" i="44" s="1"/>
  <c r="R67" i="44"/>
  <c r="U63" i="44"/>
  <c r="R63" i="44"/>
  <c r="V56" i="44" s="1"/>
  <c r="U62" i="44"/>
  <c r="U61" i="44"/>
  <c r="R59" i="44"/>
  <c r="V55" i="44" s="1"/>
  <c r="V57" i="44"/>
  <c r="R55" i="44"/>
  <c r="H27" i="45" s="1"/>
  <c r="H19" i="45"/>
  <c r="F19" i="45"/>
  <c r="G25" i="43"/>
  <c r="G24" i="43"/>
  <c r="I18" i="43"/>
  <c r="F95" i="44" s="1"/>
  <c r="G95" i="44" s="1"/>
  <c r="H95" i="44" s="1"/>
  <c r="I95" i="44" s="1"/>
  <c r="J95" i="44" s="1"/>
  <c r="K95" i="44" s="1"/>
  <c r="L95" i="44" s="1"/>
  <c r="M95" i="44" s="1"/>
  <c r="N95" i="44" s="1"/>
  <c r="O95" i="44" s="1"/>
  <c r="P95" i="44" s="1"/>
  <c r="Q95" i="44" s="1"/>
  <c r="V53" i="44" l="1"/>
  <c r="D116" i="44" s="1" a="1"/>
  <c r="D116" i="44" s="1"/>
  <c r="D40" i="45" s="1"/>
  <c r="V61" i="44"/>
  <c r="F52" i="44"/>
  <c r="G52" i="44" s="1"/>
  <c r="H52" i="44" s="1"/>
  <c r="I52" i="44" s="1"/>
  <c r="J52" i="44" s="1"/>
  <c r="K52" i="44" s="1"/>
  <c r="L52" i="44" s="1"/>
  <c r="M52" i="44" s="1"/>
  <c r="N52" i="44" s="1"/>
  <c r="O52" i="44" s="1"/>
  <c r="P52" i="44" s="1"/>
  <c r="Q52" i="44" s="1"/>
  <c r="T86" i="44"/>
  <c r="R106" i="44"/>
  <c r="T106" i="44" s="1"/>
  <c r="T89" i="44"/>
  <c r="V63" i="44"/>
  <c r="D127" i="44" s="1" a="1"/>
  <c r="D127" i="44" s="1"/>
  <c r="D51" i="45" s="1"/>
  <c r="D7" i="44"/>
  <c r="M14" i="45" s="1"/>
  <c r="B3" i="49"/>
  <c r="D130" i="44" a="1"/>
  <c r="D130" i="44" s="1"/>
  <c r="D54" i="45" s="1"/>
  <c r="D136" i="44" a="1"/>
  <c r="D136" i="44" s="1"/>
  <c r="D60" i="45" s="1"/>
  <c r="D118" i="44" a="1"/>
  <c r="D118" i="44" s="1"/>
  <c r="D42" i="45" s="1"/>
  <c r="D129" i="44" a="1"/>
  <c r="D129" i="44" s="1"/>
  <c r="D53" i="45" s="1"/>
  <c r="D123" i="44" a="1"/>
  <c r="D123" i="44" s="1"/>
  <c r="D47" i="45" s="1"/>
  <c r="D117" i="44" a="1"/>
  <c r="D117" i="44" s="1"/>
  <c r="D41" i="45" s="1"/>
  <c r="D135" i="44" a="1"/>
  <c r="D135" i="44" s="1"/>
  <c r="D59" i="45" s="1"/>
  <c r="D122" i="44" a="1"/>
  <c r="D122" i="44" s="1"/>
  <c r="D46" i="45" s="1"/>
  <c r="C28" i="49"/>
  <c r="D124" i="44" l="1" a="1"/>
  <c r="D124" i="44" s="1"/>
  <c r="D48" i="45" s="1"/>
  <c r="D131" i="44" a="1"/>
  <c r="D131" i="44" s="1"/>
  <c r="D55" i="45" s="1"/>
  <c r="D137" i="44" a="1"/>
  <c r="D137" i="44" s="1"/>
  <c r="D132" i="44" a="1"/>
  <c r="D132" i="44" s="1"/>
  <c r="D56" i="45" s="1"/>
  <c r="D126" i="44" a="1"/>
  <c r="D126" i="44" s="1"/>
  <c r="D50" i="45" s="1"/>
  <c r="D115" i="44" a="1"/>
  <c r="D115" i="44" s="1"/>
  <c r="D39" i="45" s="1"/>
  <c r="D121" i="44" a="1"/>
  <c r="D121" i="44" s="1"/>
  <c r="D45" i="45" s="1"/>
  <c r="D133" i="44" a="1"/>
  <c r="D133" i="44" s="1"/>
  <c r="D57" i="45" s="1"/>
  <c r="D134" i="44" a="1"/>
  <c r="D134" i="44" s="1"/>
  <c r="D58" i="45" s="1"/>
  <c r="D125" i="44" a="1"/>
  <c r="D125" i="44" s="1"/>
  <c r="D49" i="45" s="1"/>
  <c r="D119" i="44" a="1"/>
  <c r="D119" i="44" s="1"/>
  <c r="D43" i="45" s="1"/>
  <c r="D128" i="44" a="1"/>
  <c r="D128" i="44" s="1"/>
  <c r="D52" i="45" s="1"/>
  <c r="C21" i="49"/>
  <c r="P35" i="44" s="1"/>
  <c r="B8" i="49"/>
  <c r="B5" i="49"/>
  <c r="D11" i="44" s="1"/>
  <c r="B9" i="49"/>
  <c r="N7" i="44" s="1"/>
  <c r="B48" i="49"/>
  <c r="F78" i="44" s="1"/>
  <c r="B42" i="49"/>
  <c r="F70" i="44" s="1"/>
  <c r="B33" i="49"/>
  <c r="F58" i="44" s="1"/>
  <c r="B39" i="49"/>
  <c r="F66" i="44" s="1"/>
  <c r="P36" i="49"/>
  <c r="S63" i="44" s="1"/>
  <c r="B30" i="49"/>
  <c r="F54" i="44" s="1"/>
  <c r="P45" i="49"/>
  <c r="S75" i="44" s="1"/>
  <c r="B15" i="49"/>
  <c r="B22" i="49"/>
  <c r="N36" i="44" s="1"/>
  <c r="B10" i="49"/>
  <c r="C22" i="49"/>
  <c r="B16" i="49"/>
  <c r="F35" i="44" s="1"/>
  <c r="F28" i="45" s="1"/>
  <c r="B11" i="49"/>
  <c r="N11" i="44" s="1"/>
  <c r="B12" i="49"/>
  <c r="T7" i="44" s="1"/>
  <c r="B45" i="49"/>
  <c r="F74" i="44" s="1"/>
  <c r="B24" i="49"/>
  <c r="N38" i="44" s="1"/>
  <c r="B4" i="49"/>
  <c r="D9" i="44" s="1"/>
  <c r="M15" i="45" s="1"/>
  <c r="P30" i="49"/>
  <c r="S55" i="44" s="1"/>
  <c r="B23" i="49"/>
  <c r="N37" i="44" s="1"/>
  <c r="B36" i="49"/>
  <c r="B37" i="49" s="1"/>
  <c r="F64" i="44" s="1"/>
  <c r="P33" i="49"/>
  <c r="S59" i="44" s="1"/>
  <c r="C24" i="49"/>
  <c r="P39" i="49"/>
  <c r="S67" i="44" s="1"/>
  <c r="B13" i="49"/>
  <c r="T9" i="44" s="1"/>
  <c r="C48" i="49"/>
  <c r="G78" i="44" s="1"/>
  <c r="C39" i="49"/>
  <c r="G66" i="44" s="1"/>
  <c r="C30" i="49"/>
  <c r="G54" i="44" s="1"/>
  <c r="D28" i="49"/>
  <c r="C45" i="49"/>
  <c r="G74" i="44" s="1"/>
  <c r="C36" i="49"/>
  <c r="G62" i="44" s="1"/>
  <c r="C42" i="49"/>
  <c r="G70" i="44" s="1"/>
  <c r="C33" i="49"/>
  <c r="G58" i="44" s="1"/>
  <c r="P42" i="49"/>
  <c r="S71" i="44" s="1"/>
  <c r="B6" i="49"/>
  <c r="I7" i="44" s="1"/>
  <c r="E7" i="45" s="1"/>
  <c r="P48" i="49"/>
  <c r="S79" i="44" s="1"/>
  <c r="C23" i="49"/>
  <c r="P37" i="44" s="1"/>
  <c r="D120" i="44" a="1"/>
  <c r="D120" i="44" s="1"/>
  <c r="D44" i="45" s="1"/>
  <c r="B21" i="49"/>
  <c r="N35" i="44" s="1"/>
  <c r="B7" i="49"/>
  <c r="I9" i="44" s="1"/>
  <c r="F6" i="45" s="1"/>
  <c r="P38" i="44" l="1"/>
  <c r="N32" i="45" s="1"/>
  <c r="P36" i="44"/>
  <c r="N30" i="45" s="1"/>
  <c r="N29" i="45"/>
  <c r="I11" i="44"/>
  <c r="D68" i="45"/>
  <c r="B34" i="49"/>
  <c r="F60" i="44" s="1"/>
  <c r="N9" i="44"/>
  <c r="F15" i="45" s="1"/>
  <c r="F14" i="45"/>
  <c r="B43" i="49"/>
  <c r="C40" i="49"/>
  <c r="P37" i="49"/>
  <c r="S62" i="44"/>
  <c r="B49" i="49"/>
  <c r="C31" i="49"/>
  <c r="B40" i="49"/>
  <c r="F68" i="44" s="1"/>
  <c r="B31" i="49"/>
  <c r="F56" i="44" s="1"/>
  <c r="C37" i="49"/>
  <c r="D23" i="49"/>
  <c r="D24" i="49"/>
  <c r="N31" i="45"/>
  <c r="C25" i="49"/>
  <c r="D25" i="49" s="1"/>
  <c r="AI4" i="46"/>
  <c r="D5" i="46" s="1"/>
  <c r="F12" i="45"/>
  <c r="AI3" i="46"/>
  <c r="AH10" i="45"/>
  <c r="D5" i="45" s="1"/>
  <c r="AH9" i="45"/>
  <c r="AH11" i="45"/>
  <c r="D9" i="45" s="1"/>
  <c r="AI4" i="44"/>
  <c r="S70" i="44"/>
  <c r="P43" i="49"/>
  <c r="S72" i="44" s="1"/>
  <c r="S54" i="44"/>
  <c r="P31" i="49"/>
  <c r="S56" i="44" s="1"/>
  <c r="C34" i="49"/>
  <c r="C49" i="49"/>
  <c r="D22" i="49"/>
  <c r="C43" i="49"/>
  <c r="M13" i="45"/>
  <c r="B17" i="49"/>
  <c r="F34" i="44"/>
  <c r="D21" i="49"/>
  <c r="S66" i="44"/>
  <c r="P40" i="49"/>
  <c r="S68" i="44" s="1"/>
  <c r="B46" i="49"/>
  <c r="F76" i="44" s="1"/>
  <c r="T63" i="44"/>
  <c r="S74" i="44"/>
  <c r="P46" i="49"/>
  <c r="S76" i="44" s="1"/>
  <c r="S78" i="44"/>
  <c r="P49" i="49"/>
  <c r="S80" i="44" s="1"/>
  <c r="C46" i="49"/>
  <c r="S58" i="44"/>
  <c r="P34" i="49"/>
  <c r="S60" i="44" s="1"/>
  <c r="P34" i="44"/>
  <c r="D48" i="49"/>
  <c r="H78" i="44" s="1"/>
  <c r="D39" i="49"/>
  <c r="H66" i="44" s="1"/>
  <c r="D30" i="49"/>
  <c r="H54" i="44" s="1"/>
  <c r="E28" i="49"/>
  <c r="D45" i="49"/>
  <c r="H74" i="44" s="1"/>
  <c r="D36" i="49"/>
  <c r="H62" i="44" s="1"/>
  <c r="D42" i="49"/>
  <c r="H70" i="44" s="1"/>
  <c r="D33" i="49"/>
  <c r="H58" i="44" s="1"/>
  <c r="F62" i="44"/>
  <c r="M12" i="45"/>
  <c r="G56" i="44" l="1"/>
  <c r="G98" i="44" s="1"/>
  <c r="F80" i="44"/>
  <c r="F105" i="44" s="1"/>
  <c r="S64" i="44"/>
  <c r="S100" i="44" s="1"/>
  <c r="G68" i="44"/>
  <c r="G102" i="44" s="1"/>
  <c r="G72" i="44"/>
  <c r="G103" i="44" s="1"/>
  <c r="G80" i="44"/>
  <c r="G105" i="44" s="1"/>
  <c r="G76" i="44"/>
  <c r="G104" i="44" s="1"/>
  <c r="G60" i="44"/>
  <c r="G99" i="44" s="1"/>
  <c r="G64" i="44"/>
  <c r="G100" i="44" s="1"/>
  <c r="F72" i="44"/>
  <c r="F103" i="44" s="1"/>
  <c r="P39" i="44"/>
  <c r="N33" i="45" s="1"/>
  <c r="F99" i="44"/>
  <c r="D34" i="49"/>
  <c r="D43" i="49"/>
  <c r="D37" i="49"/>
  <c r="D46" i="49"/>
  <c r="D49" i="49"/>
  <c r="S99" i="44"/>
  <c r="T59" i="44"/>
  <c r="T67" i="44"/>
  <c r="S102" i="44"/>
  <c r="M32" i="45"/>
  <c r="O32" i="45" s="1"/>
  <c r="R38" i="44"/>
  <c r="F102" i="44"/>
  <c r="R36" i="44"/>
  <c r="M30" i="45"/>
  <c r="O30" i="45" s="1"/>
  <c r="M31" i="45"/>
  <c r="O31" i="45" s="1"/>
  <c r="R37" i="44"/>
  <c r="D31" i="49"/>
  <c r="M29" i="45"/>
  <c r="O29" i="45" s="1"/>
  <c r="N34" i="44"/>
  <c r="R35" i="44"/>
  <c r="N39" i="44"/>
  <c r="F27" i="45"/>
  <c r="F29" i="45" s="1"/>
  <c r="F36" i="44"/>
  <c r="S104" i="44"/>
  <c r="T75" i="44"/>
  <c r="N28" i="45"/>
  <c r="S103" i="44"/>
  <c r="T71" i="44"/>
  <c r="D40" i="49"/>
  <c r="F98" i="44"/>
  <c r="E48" i="49"/>
  <c r="I78" i="44" s="1"/>
  <c r="E39" i="49"/>
  <c r="I66" i="44" s="1"/>
  <c r="E30" i="49"/>
  <c r="I54" i="44" s="1"/>
  <c r="F28" i="49"/>
  <c r="E45" i="49"/>
  <c r="I74" i="44" s="1"/>
  <c r="E36" i="49"/>
  <c r="I62" i="44" s="1"/>
  <c r="E42" i="49"/>
  <c r="I70" i="44" s="1"/>
  <c r="E33" i="49"/>
  <c r="I58" i="44" s="1"/>
  <c r="F100" i="44"/>
  <c r="S105" i="44"/>
  <c r="Q32" i="45" s="1"/>
  <c r="T79" i="44"/>
  <c r="F104" i="44"/>
  <c r="H28" i="45"/>
  <c r="S98" i="44"/>
  <c r="T55" i="44"/>
  <c r="H29" i="45" s="1"/>
  <c r="G97" i="44" l="1"/>
  <c r="G101" i="44"/>
  <c r="H56" i="44"/>
  <c r="H98" i="44" s="1"/>
  <c r="H72" i="44"/>
  <c r="H103" i="44" s="1"/>
  <c r="H80" i="44"/>
  <c r="H105" i="44" s="1"/>
  <c r="H64" i="44"/>
  <c r="H100" i="44" s="1"/>
  <c r="H60" i="44"/>
  <c r="H99" i="44" s="1"/>
  <c r="H68" i="44"/>
  <c r="H102" i="44" s="1"/>
  <c r="H76" i="44"/>
  <c r="H104" i="44" s="1"/>
  <c r="S97" i="44"/>
  <c r="Q28" i="45" s="1"/>
  <c r="E40" i="49"/>
  <c r="E49" i="49"/>
  <c r="E43" i="49"/>
  <c r="I72" i="44" s="1"/>
  <c r="F45" i="49"/>
  <c r="J74" i="44" s="1"/>
  <c r="F36" i="49"/>
  <c r="J62" i="44" s="1"/>
  <c r="F42" i="49"/>
  <c r="J70" i="44" s="1"/>
  <c r="F33" i="49"/>
  <c r="J58" i="44" s="1"/>
  <c r="F48" i="49"/>
  <c r="J78" i="44" s="1"/>
  <c r="F39" i="49"/>
  <c r="J66" i="44" s="1"/>
  <c r="F30" i="49"/>
  <c r="J54" i="44" s="1"/>
  <c r="G28" i="49"/>
  <c r="M33" i="45"/>
  <c r="O33" i="45" s="1"/>
  <c r="R39" i="44"/>
  <c r="E37" i="49"/>
  <c r="I64" i="44" s="1"/>
  <c r="S101" i="44"/>
  <c r="Q31" i="45" s="1"/>
  <c r="E31" i="49"/>
  <c r="I56" i="44" s="1"/>
  <c r="F101" i="44"/>
  <c r="E46" i="49"/>
  <c r="I76" i="44" s="1"/>
  <c r="M28" i="45"/>
  <c r="O28" i="45" s="1"/>
  <c r="R34" i="44"/>
  <c r="F97" i="44"/>
  <c r="E34" i="49"/>
  <c r="I60" i="44" s="1"/>
  <c r="G96" i="44" l="1"/>
  <c r="H101" i="44"/>
  <c r="H97" i="44"/>
  <c r="I80" i="44"/>
  <c r="I105" i="44" s="1"/>
  <c r="I68" i="44"/>
  <c r="I102" i="44" s="1"/>
  <c r="F96" i="44"/>
  <c r="F34" i="49"/>
  <c r="F43" i="49"/>
  <c r="G45" i="49"/>
  <c r="K74" i="44" s="1"/>
  <c r="G36" i="49"/>
  <c r="K62" i="44" s="1"/>
  <c r="G42" i="49"/>
  <c r="K70" i="44" s="1"/>
  <c r="G33" i="49"/>
  <c r="K58" i="44" s="1"/>
  <c r="G48" i="49"/>
  <c r="K78" i="44" s="1"/>
  <c r="G39" i="49"/>
  <c r="K66" i="44" s="1"/>
  <c r="G30" i="49"/>
  <c r="K54" i="44" s="1"/>
  <c r="H28" i="49"/>
  <c r="F37" i="49"/>
  <c r="I100" i="44"/>
  <c r="F46" i="49"/>
  <c r="I103" i="44"/>
  <c r="I99" i="44"/>
  <c r="F31" i="49"/>
  <c r="F40" i="49"/>
  <c r="J68" i="44" s="1"/>
  <c r="I98" i="44"/>
  <c r="F49" i="49"/>
  <c r="J80" i="44" s="1"/>
  <c r="I104" i="44"/>
  <c r="S96" i="44"/>
  <c r="Q33" i="45" s="1"/>
  <c r="H96" i="44" l="1"/>
  <c r="J60" i="44"/>
  <c r="J99" i="44" s="1"/>
  <c r="J56" i="44"/>
  <c r="J98" i="44" s="1"/>
  <c r="J76" i="44"/>
  <c r="J104" i="44" s="1"/>
  <c r="J64" i="44"/>
  <c r="J100" i="44" s="1"/>
  <c r="J72" i="44"/>
  <c r="J103" i="44" s="1"/>
  <c r="G40" i="49"/>
  <c r="I101" i="44"/>
  <c r="G49" i="49"/>
  <c r="G34" i="49"/>
  <c r="K60" i="44" s="1"/>
  <c r="J105" i="44"/>
  <c r="G43" i="49"/>
  <c r="K72" i="44" s="1"/>
  <c r="H45" i="49"/>
  <c r="L74" i="44" s="1"/>
  <c r="H36" i="49"/>
  <c r="L62" i="44" s="1"/>
  <c r="H42" i="49"/>
  <c r="L70" i="44" s="1"/>
  <c r="H33" i="49"/>
  <c r="L58" i="44" s="1"/>
  <c r="H48" i="49"/>
  <c r="L78" i="44" s="1"/>
  <c r="H39" i="49"/>
  <c r="L66" i="44" s="1"/>
  <c r="H30" i="49"/>
  <c r="L54" i="44" s="1"/>
  <c r="I28" i="49"/>
  <c r="J102" i="44"/>
  <c r="G37" i="49"/>
  <c r="G46" i="49"/>
  <c r="I97" i="44"/>
  <c r="G31" i="49"/>
  <c r="J97" i="44" l="1"/>
  <c r="K80" i="44"/>
  <c r="K105" i="44" s="1"/>
  <c r="K76" i="44"/>
  <c r="K104" i="44" s="1"/>
  <c r="K68" i="44"/>
  <c r="K102" i="44" s="1"/>
  <c r="K56" i="44"/>
  <c r="K98" i="44" s="1"/>
  <c r="K64" i="44"/>
  <c r="K100" i="44" s="1"/>
  <c r="I96" i="44"/>
  <c r="H37" i="49"/>
  <c r="K103" i="44"/>
  <c r="H31" i="49"/>
  <c r="H40" i="49"/>
  <c r="L68" i="44" s="1"/>
  <c r="K99" i="44"/>
  <c r="I45" i="49"/>
  <c r="M74" i="44" s="1"/>
  <c r="I36" i="49"/>
  <c r="M62" i="44" s="1"/>
  <c r="I42" i="49"/>
  <c r="M70" i="44" s="1"/>
  <c r="I33" i="49"/>
  <c r="M58" i="44" s="1"/>
  <c r="I48" i="49"/>
  <c r="M78" i="44" s="1"/>
  <c r="I39" i="49"/>
  <c r="M66" i="44" s="1"/>
  <c r="I30" i="49"/>
  <c r="M54" i="44" s="1"/>
  <c r="J28" i="49"/>
  <c r="J101" i="44"/>
  <c r="J96" i="44" s="1"/>
  <c r="H34" i="49"/>
  <c r="H43" i="49"/>
  <c r="H49" i="49"/>
  <c r="H46" i="49"/>
  <c r="L56" i="44" l="1"/>
  <c r="L98" i="44" s="1"/>
  <c r="L76" i="44"/>
  <c r="L104" i="44" s="1"/>
  <c r="K101" i="44"/>
  <c r="L80" i="44"/>
  <c r="L105" i="44" s="1"/>
  <c r="L64" i="44"/>
  <c r="L100" i="44" s="1"/>
  <c r="L72" i="44"/>
  <c r="L103" i="44" s="1"/>
  <c r="L60" i="44"/>
  <c r="L99" i="44" s="1"/>
  <c r="I37" i="49"/>
  <c r="I31" i="49"/>
  <c r="M56" i="44" s="1"/>
  <c r="I40" i="49"/>
  <c r="I49" i="49"/>
  <c r="I34" i="49"/>
  <c r="M60" i="44" s="1"/>
  <c r="L102" i="44"/>
  <c r="K97" i="44"/>
  <c r="K96" i="44" s="1"/>
  <c r="I43" i="49"/>
  <c r="I46" i="49"/>
  <c r="J42" i="49"/>
  <c r="N70" i="44" s="1"/>
  <c r="J33" i="49"/>
  <c r="N58" i="44" s="1"/>
  <c r="J48" i="49"/>
  <c r="N78" i="44" s="1"/>
  <c r="J39" i="49"/>
  <c r="N66" i="44" s="1"/>
  <c r="J30" i="49"/>
  <c r="N54" i="44" s="1"/>
  <c r="K28" i="49"/>
  <c r="J45" i="49"/>
  <c r="N74" i="44" s="1"/>
  <c r="J36" i="49"/>
  <c r="N62" i="44" s="1"/>
  <c r="L97" i="44" l="1"/>
  <c r="M68" i="44"/>
  <c r="M102" i="44" s="1"/>
  <c r="M72" i="44"/>
  <c r="M103" i="44" s="1"/>
  <c r="M64" i="44"/>
  <c r="M100" i="44" s="1"/>
  <c r="M76" i="44"/>
  <c r="M104" i="44" s="1"/>
  <c r="M80" i="44"/>
  <c r="M105" i="44" s="1"/>
  <c r="J43" i="49"/>
  <c r="J46" i="49"/>
  <c r="J37" i="49"/>
  <c r="K42" i="49"/>
  <c r="O70" i="44" s="1"/>
  <c r="K33" i="49"/>
  <c r="O58" i="44" s="1"/>
  <c r="K48" i="49"/>
  <c r="O78" i="44" s="1"/>
  <c r="K39" i="49"/>
  <c r="O66" i="44" s="1"/>
  <c r="K30" i="49"/>
  <c r="O54" i="44" s="1"/>
  <c r="L28" i="49"/>
  <c r="K45" i="49"/>
  <c r="O74" i="44" s="1"/>
  <c r="K36" i="49"/>
  <c r="O62" i="44" s="1"/>
  <c r="J31" i="49"/>
  <c r="M99" i="44"/>
  <c r="L101" i="44"/>
  <c r="J40" i="49"/>
  <c r="J49" i="49"/>
  <c r="J34" i="49"/>
  <c r="M98" i="44"/>
  <c r="L96" i="44" l="1"/>
  <c r="M101" i="44"/>
  <c r="N64" i="44"/>
  <c r="N100" i="44" s="1"/>
  <c r="N76" i="44"/>
  <c r="N104" i="44" s="1"/>
  <c r="N56" i="44"/>
  <c r="N98" i="44" s="1"/>
  <c r="N60" i="44"/>
  <c r="N99" i="44" s="1"/>
  <c r="N72" i="44"/>
  <c r="N103" i="44" s="1"/>
  <c r="N80" i="44"/>
  <c r="N105" i="44" s="1"/>
  <c r="N68" i="44"/>
  <c r="N102" i="44" s="1"/>
  <c r="K31" i="49"/>
  <c r="K40" i="49"/>
  <c r="K49" i="49"/>
  <c r="K34" i="49"/>
  <c r="M97" i="44"/>
  <c r="K37" i="49"/>
  <c r="K43" i="49"/>
  <c r="K46" i="49"/>
  <c r="L42" i="49"/>
  <c r="P70" i="44" s="1"/>
  <c r="L33" i="49"/>
  <c r="P58" i="44" s="1"/>
  <c r="L48" i="49"/>
  <c r="P78" i="44" s="1"/>
  <c r="L39" i="49"/>
  <c r="P66" i="44" s="1"/>
  <c r="L30" i="49"/>
  <c r="P54" i="44" s="1"/>
  <c r="M28" i="49"/>
  <c r="L45" i="49"/>
  <c r="P74" i="44" s="1"/>
  <c r="L36" i="49"/>
  <c r="P62" i="44" s="1"/>
  <c r="N101" i="44" l="1"/>
  <c r="N97" i="44"/>
  <c r="O72" i="44"/>
  <c r="O103" i="44" s="1"/>
  <c r="O56" i="44"/>
  <c r="O98" i="44" s="1"/>
  <c r="O76" i="44"/>
  <c r="O104" i="44" s="1"/>
  <c r="O68" i="44"/>
  <c r="O102" i="44" s="1"/>
  <c r="O64" i="44"/>
  <c r="O100" i="44" s="1"/>
  <c r="M96" i="44"/>
  <c r="O60" i="44"/>
  <c r="O99" i="44" s="1"/>
  <c r="O80" i="44"/>
  <c r="O105" i="44" s="1"/>
  <c r="M42" i="49"/>
  <c r="Q70" i="44" s="1"/>
  <c r="R70" i="44" s="1"/>
  <c r="T70" i="44" s="1"/>
  <c r="M33" i="49"/>
  <c r="Q58" i="44" s="1"/>
  <c r="R58" i="44" s="1"/>
  <c r="T58" i="44" s="1"/>
  <c r="M48" i="49"/>
  <c r="Q78" i="44" s="1"/>
  <c r="R78" i="44" s="1"/>
  <c r="T78" i="44" s="1"/>
  <c r="M39" i="49"/>
  <c r="Q66" i="44" s="1"/>
  <c r="R66" i="44" s="1"/>
  <c r="T66" i="44" s="1"/>
  <c r="M30" i="49"/>
  <c r="Q54" i="44" s="1"/>
  <c r="R54" i="44" s="1"/>
  <c r="T54" i="44" s="1"/>
  <c r="N28" i="49"/>
  <c r="M45" i="49"/>
  <c r="Q74" i="44" s="1"/>
  <c r="R74" i="44" s="1"/>
  <c r="T74" i="44" s="1"/>
  <c r="M36" i="49"/>
  <c r="Q62" i="44" s="1"/>
  <c r="R62" i="44" s="1"/>
  <c r="T62" i="44" s="1"/>
  <c r="L37" i="49"/>
  <c r="L46" i="49"/>
  <c r="L43" i="49"/>
  <c r="L31" i="49"/>
  <c r="L40" i="49"/>
  <c r="L34" i="49"/>
  <c r="L49" i="49"/>
  <c r="N96" i="44" l="1"/>
  <c r="O101" i="44"/>
  <c r="O97" i="44"/>
  <c r="P56" i="44"/>
  <c r="P98" i="44" s="1"/>
  <c r="P72" i="44"/>
  <c r="P103" i="44" s="1"/>
  <c r="P68" i="44"/>
  <c r="P102" i="44" s="1"/>
  <c r="P76" i="44"/>
  <c r="P104" i="44" s="1"/>
  <c r="P60" i="44"/>
  <c r="P99" i="44" s="1"/>
  <c r="P64" i="44"/>
  <c r="P100" i="44" s="1"/>
  <c r="P80" i="44"/>
  <c r="P105" i="44" s="1"/>
  <c r="M43" i="49"/>
  <c r="M46" i="49"/>
  <c r="M37" i="49"/>
  <c r="Q64" i="44" s="1"/>
  <c r="N48" i="49"/>
  <c r="N39" i="49"/>
  <c r="N40" i="49" s="1"/>
  <c r="N30" i="49"/>
  <c r="N45" i="49"/>
  <c r="N46" i="49" s="1"/>
  <c r="N36" i="49"/>
  <c r="N37" i="49" s="1"/>
  <c r="N42" i="49"/>
  <c r="N43" i="49" s="1"/>
  <c r="N33" i="49"/>
  <c r="N34" i="49" s="1"/>
  <c r="M31" i="49"/>
  <c r="Q56" i="44" s="1"/>
  <c r="M40" i="49"/>
  <c r="Q68" i="44" s="1"/>
  <c r="M34" i="49"/>
  <c r="Q60" i="44" s="1"/>
  <c r="M49" i="49"/>
  <c r="Q80" i="44" s="1"/>
  <c r="O96" i="44" l="1"/>
  <c r="P101" i="44"/>
  <c r="P97" i="44"/>
  <c r="Q76" i="44"/>
  <c r="Q104" i="44" s="1"/>
  <c r="R104" i="44" s="1"/>
  <c r="T104" i="44" s="1"/>
  <c r="Q72" i="44"/>
  <c r="R72" i="44" s="1"/>
  <c r="N49" i="49"/>
  <c r="Q99" i="44"/>
  <c r="R99" i="44" s="1"/>
  <c r="R60" i="44"/>
  <c r="Q102" i="44"/>
  <c r="R68" i="44"/>
  <c r="Q105" i="44"/>
  <c r="R105" i="44" s="1"/>
  <c r="R80" i="44"/>
  <c r="Q98" i="44"/>
  <c r="R56" i="44"/>
  <c r="N31" i="49"/>
  <c r="Q100" i="44"/>
  <c r="R100" i="44" s="1"/>
  <c r="T100" i="44" s="1"/>
  <c r="R64" i="44"/>
  <c r="Q103" i="44" l="1"/>
  <c r="R103" i="44" s="1"/>
  <c r="T103" i="44" s="1"/>
  <c r="P96" i="44"/>
  <c r="R76" i="44"/>
  <c r="Q97" i="44"/>
  <c r="R98" i="44"/>
  <c r="R102" i="44"/>
  <c r="P32" i="45"/>
  <c r="R32" i="45" s="1"/>
  <c r="T105" i="44"/>
  <c r="Q30" i="45"/>
  <c r="P30" i="45"/>
  <c r="T99" i="44"/>
  <c r="Q101" i="44" l="1"/>
  <c r="Q96" i="44" s="1"/>
  <c r="R30" i="45"/>
  <c r="T102" i="44"/>
  <c r="R101" i="44"/>
  <c r="T98" i="44"/>
  <c r="R97" i="44"/>
  <c r="Q29" i="45"/>
  <c r="P29" i="45"/>
  <c r="R29" i="45" l="1"/>
  <c r="P28" i="45"/>
  <c r="R28" i="45" s="1"/>
  <c r="R96" i="44"/>
  <c r="T97" i="44"/>
  <c r="P31" i="45"/>
  <c r="R31" i="45" s="1"/>
  <c r="T101" i="44"/>
  <c r="T96" i="44" l="1"/>
  <c r="P33" i="45"/>
  <c r="R33" i="45" s="1"/>
</calcChain>
</file>

<file path=xl/connections.xml><?xml version="1.0" encoding="utf-8"?>
<connections xmlns="http://schemas.openxmlformats.org/spreadsheetml/2006/main">
  <connection id="1" name="Data_raw" type="1" refreshedVersion="6" saveData="1">
    <dbPr connection="DRIVER=SQL Server" command=""/>
    <extLst>
      <ext xmlns:x15="http://schemas.microsoft.com/office/spreadsheetml/2010/11/main" uri="{DE250136-89BD-433C-8126-D09CA5730AF9}">
        <x15:connection id="" excludeFromRefreshAll="1"/>
      </ext>
    </extLst>
  </connection>
  <connection id="2" name="Data_raw_1" type="1" refreshedVersion="6" saveData="1">
    <dbPr connection="DRIVER=SQL Server" command=""/>
    <extLst>
      <ext xmlns:x15="http://schemas.microsoft.com/office/spreadsheetml/2010/11/main" uri="{DE250136-89BD-433C-8126-D09CA5730AF9}">
        <x15:connection id="" excludeFromRefreshAll="1"/>
      </ext>
    </extLst>
  </connection>
  <connection id="3" name="Data_raw_2" type="1" refreshedVersion="6" saveData="1">
    <dbPr connection="DRIVER=SQL Server" command=""/>
    <extLst>
      <ext xmlns:x15="http://schemas.microsoft.com/office/spreadsheetml/2010/11/main" uri="{DE250136-89BD-433C-8126-D09CA5730AF9}">
        <x15:connection id="" excludeFromRefreshAll="1"/>
      </ext>
    </extLst>
  </connection>
  <connection id="4" name="Data_raw1" type="1" refreshedVersion="6" saveData="1">
    <dbPr connection="DRIVER=SQL Server" command=""/>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<sst xmlns="http://schemas.openxmlformats.org/spreadsheetml/2006/main" count="20759" uniqueCount="12030">
  <si>
    <t>Vùng</t>
  </si>
  <si>
    <t>CHI NHÁNH</t>
  </si>
  <si>
    <t>Vui lòng nhập thông tin ACP</t>
  </si>
  <si>
    <t>Loại Khách hàng</t>
  </si>
  <si>
    <t>Thông tin khách hàng</t>
  </si>
  <si>
    <t>Hướng dẫn sử dụng file công cụ</t>
  </si>
  <si>
    <t>1.THÔNG TIN CƠ BẢN DOANH NGHIỆP</t>
  </si>
  <si>
    <t>A. TÀI CHÍNH DOANH NGHIỆP</t>
  </si>
  <si>
    <t>KẾT QUẢ HOẠT ĐỘNG KINH DOANH</t>
  </si>
  <si>
    <t>Giá vốn hàng bán</t>
  </si>
  <si>
    <t>Tổng doanh thu</t>
  </si>
  <si>
    <t>B.KẾ HOẠCH KINH DOANH</t>
  </si>
  <si>
    <t>A. THỊ PHẦN DƯ NỢ</t>
  </si>
  <si>
    <t>B. THỊ PHẦN TOI</t>
  </si>
  <si>
    <t>TOI</t>
  </si>
  <si>
    <t>NFI</t>
  </si>
  <si>
    <t>NFX</t>
  </si>
  <si>
    <t>NII</t>
  </si>
  <si>
    <t>Số dư / Doanh số (triệu VNĐ)</t>
  </si>
  <si>
    <t>Dữ liệu tham khảo</t>
  </si>
  <si>
    <t>Tổng cộng</t>
  </si>
  <si>
    <t>Chuyển tiền trong nước</t>
  </si>
  <si>
    <t>3. Tiền gửi có kỳ hạn</t>
  </si>
  <si>
    <t>4. Bảo Lãnh</t>
  </si>
  <si>
    <t>5. LC</t>
  </si>
  <si>
    <t>6. Chuyển tiền quốc tế</t>
  </si>
  <si>
    <t>7. Mua bán ngoại tệ</t>
  </si>
  <si>
    <t>%Margin</t>
  </si>
  <si>
    <t>%WS</t>
  </si>
  <si>
    <t>5. KẾ HOẠCH HÀNH ĐỘNG</t>
  </si>
  <si>
    <t>Mục tiêu sản phẩm</t>
  </si>
  <si>
    <t>Vay trung dài hạn</t>
  </si>
  <si>
    <t>Trái Phiếu</t>
  </si>
  <si>
    <t>Chiết khấu BCT</t>
  </si>
  <si>
    <t>LC Upas nội địa</t>
  </si>
  <si>
    <t>Bảo lãnh</t>
  </si>
  <si>
    <t>LC thông thường</t>
  </si>
  <si>
    <t>LC Upas nhập khẩu</t>
  </si>
  <si>
    <t>Nhờ thu</t>
  </si>
  <si>
    <t>Chuyển tiền nước ngoài</t>
  </si>
  <si>
    <t>Derivatives FX (Phái sinh FX)</t>
  </si>
  <si>
    <t>Commodity</t>
  </si>
  <si>
    <t>Banca</t>
  </si>
  <si>
    <t>Term Deposit VND</t>
  </si>
  <si>
    <t>Casa VND</t>
  </si>
  <si>
    <t>Spot</t>
  </si>
  <si>
    <t>Sản phẩm khác</t>
  </si>
  <si>
    <t>Dự phóng doanh thu/giá vốn năm kế hoạch</t>
  </si>
  <si>
    <t>3. THỊ PHẦN NĂM LIỀN TRƯỚC</t>
  </si>
  <si>
    <t>4. DỰ PHÓNG KẾ HOẠCH VÀ HIỆU QUẢ NĂM TỚI</t>
  </si>
  <si>
    <t>A. DỰ PHÓNG KẾ HOẠCH</t>
  </si>
  <si>
    <t>NII Casa</t>
  </si>
  <si>
    <t>NII Cho vay</t>
  </si>
  <si>
    <t>NII TD</t>
  </si>
  <si>
    <t>NFI Bảo lãnh</t>
  </si>
  <si>
    <t>NFI LC</t>
  </si>
  <si>
    <t>NFI chuyển tiền quốc tế</t>
  </si>
  <si>
    <t>ALL Bank</t>
  </si>
  <si>
    <t>MÔ TẢ HOẠT ĐỘNG KINH DOANH</t>
  </si>
  <si>
    <t>1. Sản phẩm/thị trường/quy trình trong hoạt động kinh doanh</t>
  </si>
  <si>
    <t>2. Đầu vào</t>
  </si>
  <si>
    <t>3. Đầu ra</t>
  </si>
  <si>
    <t>KẾ HOẠCH KINH DOANH NĂM KẾ HOẠCH</t>
  </si>
  <si>
    <t>1. Cơ sở dự phóng doanh thu năm kế hoạch</t>
  </si>
  <si>
    <t>2. Dự phóng doanh thu/giá vốn và tổng nhu cầu năm kế hoạch</t>
  </si>
  <si>
    <t>Đơn vị
(triệu VND)</t>
  </si>
  <si>
    <t>Dư nợ</t>
  </si>
  <si>
    <t>Casa</t>
  </si>
  <si>
    <t>LC</t>
  </si>
  <si>
    <t>Chuyển tiền quốc tế</t>
  </si>
  <si>
    <t>Mua bán ngoại tệ</t>
  </si>
  <si>
    <t>RM</t>
  </si>
  <si>
    <t>Giám đốc mảng</t>
  </si>
  <si>
    <t>Giám đốc ĐVKD</t>
  </si>
  <si>
    <t>Nguyễn Văn B</t>
  </si>
  <si>
    <t>Nguyễn Văn C</t>
  </si>
  <si>
    <t>1. Thông tin cơ bản của khách hàng</t>
  </si>
  <si>
    <t>2. Doanh thu của khách hàng</t>
  </si>
  <si>
    <t>4. Hành động</t>
  </si>
  <si>
    <t>1. Dư nợ</t>
  </si>
  <si>
    <t>Dư nợ bình quân</t>
  </si>
  <si>
    <t>Doanh số phát hành</t>
  </si>
  <si>
    <t>Tiền gửi ckh bình quân</t>
  </si>
  <si>
    <t>Dư liệu tham khảo</t>
  </si>
  <si>
    <t xml:space="preserve">2. Casa </t>
  </si>
  <si>
    <t>Tổng cộng ABB</t>
  </si>
  <si>
    <t>Casa bình quân</t>
  </si>
  <si>
    <t>%NIM</t>
  </si>
  <si>
    <t>Doanh số</t>
  </si>
  <si>
    <t>3. Thị Phần</t>
  </si>
  <si>
    <t>Doanh Số</t>
  </si>
  <si>
    <t>II- PHÊ DUYỆT ACP</t>
  </si>
  <si>
    <t>Vùng:</t>
  </si>
  <si>
    <t>Chi Nhánh:</t>
  </si>
  <si>
    <t>User</t>
  </si>
  <si>
    <t>Connection Name</t>
  </si>
  <si>
    <t>Query</t>
  </si>
  <si>
    <t>SELECT</t>
  </si>
  <si>
    <t>WHERE</t>
  </si>
  <si>
    <t>WHERE2</t>
  </si>
  <si>
    <t>WHERE22</t>
  </si>
  <si>
    <t>WHERE4</t>
  </si>
  <si>
    <t>WHERE5</t>
  </si>
  <si>
    <t>WHERE6</t>
  </si>
  <si>
    <t>WHERE7</t>
  </si>
  <si>
    <t>Data_raw</t>
  </si>
  <si>
    <t>SO_LAO_DONG</t>
  </si>
  <si>
    <t>Cho vay</t>
  </si>
  <si>
    <t>Huy Động</t>
  </si>
  <si>
    <t>NFX_DS</t>
  </si>
  <si>
    <t xml:space="preserve">select * from SME..QUYNHNT3_ACP
</t>
  </si>
  <si>
    <t>MST</t>
  </si>
  <si>
    <t>TEN_KHACH_HANG</t>
  </si>
  <si>
    <t>MA_NGANH</t>
  </si>
  <si>
    <t>CIF</t>
  </si>
  <si>
    <t>NGAY_MO_CIF</t>
  </si>
  <si>
    <t>KH_HIENHUU_MOI</t>
  </si>
  <si>
    <t>KH_TD_PHITD</t>
  </si>
  <si>
    <t>ACTIVE_INACTIVE</t>
  </si>
  <si>
    <t>VUNG</t>
  </si>
  <si>
    <t>HUB</t>
  </si>
  <si>
    <t>NHOM_NGANH</t>
  </si>
  <si>
    <t>PKKH</t>
  </si>
  <si>
    <t>TONG_DU_NO_CIC</t>
  </si>
  <si>
    <t>NII_LENDING_DS</t>
  </si>
  <si>
    <t xml:space="preserve">MST </t>
  </si>
  <si>
    <t>Tên Doanh Nghiệp</t>
  </si>
  <si>
    <t>SELECT 
a.*
FROM T1 a
INNER JOIN sme..PHAN_QUYEN_USER_HUB b 
    ON (a.VUNG = b.PQ_VUNG OR b.PQ_VUNG IS NULL)
    AND (a.Hub_name = b.PQ_HUB OR b.PQ_HUB IS NULL)
    AND (a.MA_NV = b.PQ_RM OR b.PQ_RM IS NULL)
WHERE b.TEN_BAO_CAO = 'All'</t>
  </si>
  <si>
    <t xml:space="preserve"> b.YEARMONTH =  (select max(YEARMONTH) from sme..PHAN_QUYEN_USER_HUB
 )</t>
  </si>
  <si>
    <t>Data_raw1</t>
  </si>
  <si>
    <t>MA_NV</t>
  </si>
  <si>
    <t>HO_TEN</t>
  </si>
  <si>
    <t>Hub_name</t>
  </si>
  <si>
    <t>Vùng_2</t>
  </si>
  <si>
    <t>ABBANK Nguyễn Chánh</t>
  </si>
  <si>
    <t>Tổng Doanh Thu</t>
  </si>
  <si>
    <t>ID Khách Hàng :</t>
  </si>
  <si>
    <t>MST :</t>
  </si>
  <si>
    <t>a) Thị phần dư nợ</t>
  </si>
  <si>
    <t>Thời gian (năm)</t>
  </si>
  <si>
    <t>Dư nợ CIC gần nhất</t>
  </si>
  <si>
    <t>Thị Phần</t>
  </si>
  <si>
    <t>Năm kế hoạch</t>
  </si>
  <si>
    <t>b) Thị phần TOI</t>
  </si>
  <si>
    <t>Huy động</t>
  </si>
  <si>
    <t>ABB</t>
  </si>
  <si>
    <t>ALL BANK</t>
  </si>
  <si>
    <t>All Bank</t>
  </si>
  <si>
    <t>8. Khác</t>
  </si>
  <si>
    <t>Tiền gửi có kỳ hạn</t>
  </si>
  <si>
    <t>% Thị phần</t>
  </si>
  <si>
    <t>ĐVKD</t>
  </si>
  <si>
    <t>Tên RM phụ</t>
  </si>
  <si>
    <t xml:space="preserve">Mã ngành </t>
  </si>
  <si>
    <t>Ngành nghề</t>
  </si>
  <si>
    <t>Phân khúc</t>
  </si>
  <si>
    <t>Số lượng lao động</t>
  </si>
  <si>
    <t>Dư nợ bình quân năm</t>
  </si>
  <si>
    <t>Thị Phần Dư nợ</t>
  </si>
  <si>
    <t>Thị Phần TOI</t>
  </si>
  <si>
    <t>NII Lending</t>
  </si>
  <si>
    <t>NII Huy động</t>
  </si>
  <si>
    <t>Thị phần</t>
  </si>
  <si>
    <t>WITH T1 AS (
    SELECT 
        A.MA_NV,
        A.HO_TEN,    CASE 
        WHEN CHARINDEX('@', Email) &gt; 0 THEN LEFT(Email, CHARINDEX('@', Email) - 1)
        ELSE NULL
    END AS TenNguoiDung,
        B.Hub_name AS Hub_name,
        B.VUNG
    FROM sme..truc_dsns A
    LEFT JOIN sme..ANHNT11_LIST_ML_202306 B ON A.COMPANY_BOOK = B.Branch_code
    WHERE A.YEARMONTH = (SELECT MAX(YEARMONTH) FROM SME..truc_dsns)
)</t>
  </si>
  <si>
    <t>TenNguoiDung</t>
  </si>
  <si>
    <t>Ngày lập ACP (yyyy-mm-dd)</t>
  </si>
  <si>
    <t>DỰ PHÓNG KẾ HOẠCH VÀ HIỆU QUẢ NĂM TỚI</t>
  </si>
  <si>
    <t>I. CÁC CẤU PHẦN VÀ CHỨC NĂNG CÔNG CỤ</t>
  </si>
  <si>
    <t xml:space="preserve">Chức năng </t>
  </si>
  <si>
    <t xml:space="preserve">Lưu ý </t>
  </si>
  <si>
    <t>Sau khi điền xong thông tin người dùng bấm nút</t>
  </si>
  <si>
    <t>Cấu phần 1 : Trang chủ</t>
  </si>
  <si>
    <t>Cấu phần 2 : ACP</t>
  </si>
  <si>
    <t xml:space="preserve">Cách thực hiện </t>
  </si>
  <si>
    <t xml:space="preserve">: Người dùng tiến hành điền các thông tin liên quan đến đơn vị như vùng, chi nhánh, ngày lập kế hoạch, chọn loại khách hàng lập kế hoạch </t>
  </si>
  <si>
    <t>: Lấy thông tin cơ bản về ngày lập kế hoạch, đơn vị kinh doanh, khách hàng để tiến hành kiểm tra dữ liệu của khách hàng trong cơ sở dữ liệu</t>
  </si>
  <si>
    <t>(đối với khách hàng hiện hữu là những khách hàng có CIF tại ABB người dùng điền mã CIF của khách hàng, đối với khách hàng mới hoàn toàn chưa có CIF tại ABB</t>
  </si>
  <si>
    <t xml:space="preserve"> người dùng nhập MST của khách hàng)</t>
  </si>
  <si>
    <t>Người dùng điền thông tin theo nguyên tắc :</t>
  </si>
  <si>
    <t>Những ô người dùng có thể điền thông tin và chỉnh sửa</t>
  </si>
  <si>
    <t>Những ô chứa dữ liệu được lấy từ cơ sở dữ liệu và không cho phép người dùng chỉnh sửa dữ liệu</t>
  </si>
  <si>
    <t>Những ô chứa thông tin liên quan đến thị phần và không cho phép chỉnh sửa</t>
  </si>
  <si>
    <t>: Người dùng tiến hành kiểm tra các thông tin được lấy từ cơ sở dữ liệu của khách hàng =&gt; Chỉnh sửa nếu có sai số, điều các thông tin khách hàng và tiến hành dự phóng</t>
  </si>
  <si>
    <t xml:space="preserve"> kế hoạch hành động của khách hàng theo từng đầu mục trong cấu phần ACP</t>
  </si>
  <si>
    <t>Nhấn để quay lại</t>
  </si>
  <si>
    <t>Nhấn để lưu dữ liệu đã lập và chuyển sang cấu phần tiếp theo</t>
  </si>
  <si>
    <t>Cấu phần 3 : Kế hoạch kinh doanh</t>
  </si>
  <si>
    <t>Nhấn nút nếu người dùng muốn xóa toàn bộ dữ liệu đã lập, dữ liệu của khách hàng sẽ được khôi phục theo dữ liệu gốc nếu có</t>
  </si>
  <si>
    <t>: Người dùng vui lòng điền các thông tin theo từng đề mục đã được nêu rõ, và chỉnh sửa cho hợp lý</t>
  </si>
  <si>
    <t>Chức năng</t>
  </si>
  <si>
    <t xml:space="preserve"> : Tóm tắt lại những thông tin người dùng đã lập tại cấu phần ACP để tiến hành phê duyệt ACP</t>
  </si>
  <si>
    <t>để làm mới dữ liệu và chuyển sang cấu phần mới</t>
  </si>
  <si>
    <t>tên RM gắn với khách hàng, Giám đốc mảng, Giám đốc ĐVKD</t>
  </si>
  <si>
    <t>Cấu phần 4 : Phê duyệt ACP</t>
  </si>
  <si>
    <t>Ghi chú thông tin, người dùng vui lòng đọc rõ các ghi chú từng mục nếu có</t>
  </si>
  <si>
    <t>Dư nợ bình quân tham khảo</t>
  </si>
  <si>
    <t>%Nim</t>
  </si>
  <si>
    <t>2. Casa</t>
  </si>
  <si>
    <t>Casa bình quân tham khảo</t>
  </si>
  <si>
    <t>3. Tiền gửi CKH</t>
  </si>
  <si>
    <t>TGCKH dữ liệu tham khảo</t>
  </si>
  <si>
    <t>4. Bảo lãnh</t>
  </si>
  <si>
    <t>6. Chuyển tiền QT</t>
  </si>
  <si>
    <t>Đối với khách hàng mới hoàn toàn, %Nim và %Margin sẽ được lấy bằng %Nim và %Margin trung bình theo phân khúc của khách hàng</t>
  </si>
  <si>
    <t xml:space="preserve">Mọi đơn vị tinh toán trong ACP đều là </t>
  </si>
  <si>
    <t>triệu VNĐ</t>
  </si>
  <si>
    <t>Doanh thu thuần</t>
  </si>
  <si>
    <t>Lợi nhuận gộp</t>
  </si>
  <si>
    <t>Chi phí tài chính</t>
  </si>
  <si>
    <t>Chi phí bán hàng</t>
  </si>
  <si>
    <t>Chi phí quản lý doanh nghiệp</t>
  </si>
  <si>
    <t>Lợi nhuận trước thuế</t>
  </si>
  <si>
    <t>B. DỰ PHÓNG HIỆU QUẢ KHAI THÁC</t>
  </si>
  <si>
    <t>Người dùng nhập đúng số liệu để tránh công cụ báo lỗi</t>
  </si>
  <si>
    <t xml:space="preserve">: Thông tin Vùng và Chi nhánh được lấy theo thông tin username của người dùng lập kế hoạch, đối với khách hàng mới thông tin vùng và chi nhánh sẽ được lấy theo thông tin </t>
  </si>
  <si>
    <t>của người dùng, khách hàng hiện hữu thông tin vùng và chi nhánh sẽ được lấy trong cơ sở dữ liệu</t>
  </si>
  <si>
    <t>: Lấy các thông tin của khách hàng, các chỉ số tài chính, thị phần của khách hàng, tiến hành dự phòng kế hoạch cũng như dự phóng hành động mục tiêu đạt được</t>
  </si>
  <si>
    <t>: Lấy thông tin cụ thể và hoạt động kinh doanh của khách hàng làm cơ sở để dự phóng kế hoạch và hành động</t>
  </si>
  <si>
    <t xml:space="preserve">: Người dùng kiểm tra lại các thông tin của khách hàng cũng như các thông số đã dự phóng nếu có sai số sau đó điền các thông tin đầu mối chịu trách nhiệm phê duyệt ACP như </t>
  </si>
  <si>
    <t>Những ô có thông tin được lấy từ cơ sở dữ liệu, người dùng có thể chỉnh sửa nếu số liệu có sai số</t>
  </si>
  <si>
    <t xml:space="preserve"> ,nếu người dùng không chỉnh sửa dữ liệu sẽ được giữ nguyên theo dữ liệu được lấy từ cơ sở dữ liệu</t>
  </si>
  <si>
    <t>Sau khi điền đầy đủ các thông tin cần thiết để dự phóng kế hoạch kinh doanh cho khách hàng,</t>
  </si>
  <si>
    <t xml:space="preserve"> người dùng ấn nút để lưu toàn bộ dữ liệu và chuyển sang cấu phần tiếp theo</t>
  </si>
  <si>
    <t>MSME</t>
  </si>
  <si>
    <t>Người dùng muốn thêm san phẩm, vui lòng điền tên sản phẩm vào các ô màu xám ở mục 8. Khác</t>
  </si>
  <si>
    <t>Số lượng lao động :</t>
  </si>
  <si>
    <t>Số năm hoạt động :</t>
  </si>
  <si>
    <t>Tên khách hàng :</t>
  </si>
  <si>
    <t xml:space="preserve">Loại khách hàng : </t>
  </si>
  <si>
    <t xml:space="preserve">Phân Khúc : </t>
  </si>
  <si>
    <t>Ngành nghề :</t>
  </si>
  <si>
    <t>SO_NAM_HD</t>
  </si>
  <si>
    <t>NII_LENDING_ABB</t>
  </si>
  <si>
    <t>NII_DEPOSIT_ABB</t>
  </si>
  <si>
    <t>NFI_ABB</t>
  </si>
  <si>
    <t>NFX_ABB</t>
  </si>
  <si>
    <t>NII_LENDING_ALL</t>
  </si>
  <si>
    <t>NII_DEPOSIT_ALL</t>
  </si>
  <si>
    <t>NFI_ALL</t>
  </si>
  <si>
    <t>NFX_ALL</t>
  </si>
  <si>
    <t>Số năm hoạt động</t>
  </si>
  <si>
    <t>DU_NO_BQ</t>
  </si>
  <si>
    <t>USME+</t>
  </si>
  <si>
    <t>Data_raw_1</t>
  </si>
  <si>
    <t xml:space="preserve">select * from SME..QUYNHNT3_ACP_1
</t>
  </si>
  <si>
    <t>SME</t>
  </si>
  <si>
    <t>MONTH_ID</t>
  </si>
  <si>
    <t>SHORT_NAME</t>
  </si>
  <si>
    <t>LENDING_AVG</t>
  </si>
  <si>
    <t>CASA_AVG</t>
  </si>
  <si>
    <t>CKH_AVG</t>
  </si>
  <si>
    <t>DS_BL</t>
  </si>
  <si>
    <t>DS_LC</t>
  </si>
  <si>
    <t>DS_TTR</t>
  </si>
  <si>
    <t>DS_PS</t>
  </si>
  <si>
    <t>OTHER</t>
  </si>
  <si>
    <t>NII_LENDING</t>
  </si>
  <si>
    <t>NII_CASA</t>
  </si>
  <si>
    <t>NFI_BL</t>
  </si>
  <si>
    <t>NFI_LC</t>
  </si>
  <si>
    <t>NFI_TTR</t>
  </si>
  <si>
    <t>NFX_PS</t>
  </si>
  <si>
    <t>NFI_OTHER</t>
  </si>
  <si>
    <t>USME</t>
  </si>
  <si>
    <t>NII_CKH</t>
  </si>
  <si>
    <t>NII_DEPOSITS_CASA_DS</t>
  </si>
  <si>
    <t>NII_DEPOSITS_TD_DS</t>
  </si>
  <si>
    <t>NFI_BL_DS</t>
  </si>
  <si>
    <t>NFI_LC_DS</t>
  </si>
  <si>
    <t>NFI_TTR_DS</t>
  </si>
  <si>
    <t>NII_DEPOSITS_CASA</t>
  </si>
  <si>
    <t>NII_DEPOSITS_TD</t>
  </si>
  <si>
    <t>NFX_TOTAL</t>
  </si>
  <si>
    <t>Data_raw_2</t>
  </si>
  <si>
    <t>TIEU_PKKH</t>
  </si>
  <si>
    <t>NIM_LENDING_AVG</t>
  </si>
  <si>
    <t>NIM_CASA_AVG</t>
  </si>
  <si>
    <t>NIM_CKH_AVG</t>
  </si>
  <si>
    <t>MARGIN_BL_AVG</t>
  </si>
  <si>
    <t>MARGIN_LC_AVG</t>
  </si>
  <si>
    <t>MARGIN_TTR_AVG</t>
  </si>
  <si>
    <t>MARGIN_FX_AVG</t>
  </si>
  <si>
    <t>Thời điểm</t>
  </si>
  <si>
    <t>46592</t>
  </si>
  <si>
    <t>Điện</t>
  </si>
  <si>
    <t>47300</t>
  </si>
  <si>
    <t>Xăng, dầu, khí đốt</t>
  </si>
  <si>
    <t xml:space="preserve">select TIEU_PKKH,SUM(NII_LENDING_nam) / SUM(DUNO_BQ_nam)  AS NIM_LENDING_AVG, SUM(NII_DEPOSIT_KKH_nam) / SUM(KKH_BQ_nam)  AS NIM_CASA_AVG , SUM(NII_DEPOSIT_CKH_nam) / SUM(CKH_BQ_nam)  AS NIM_CKH_AVG,
SUM(NFI_BL_nam) / SUM(DS_BL_nam)  AS MARGIN_BL_AVG, SUM(NFI_LC_nam) / SUM(DS_LC_NK_nam + DS_LC_XK_nam)  AS MARGIN_LC_AVG, SUM(NFI_TTR_nam) / SUM(DS_TTR_NK_nam + DS_TTR_XK_nam)  AS MARGIN_TTR_AVG,
SUM(NFX_nam)/SUM(DS_FX_nam)  AS MARGIN_FX_AVG
from SME..RAW_CUS_TREE where YM = '202412' AND PKKH_KQKD = 'SME' AND KH_VAMC is null AND NHOM_NO in ('1','2')
group by TIEU_PKKH
</t>
  </si>
  <si>
    <t>13110</t>
  </si>
  <si>
    <t>Dệt may, Da giày</t>
  </si>
  <si>
    <t>56309</t>
  </si>
  <si>
    <t>Nhà hàng, Quán bar</t>
  </si>
  <si>
    <t>16210</t>
  </si>
  <si>
    <t>Gỗ</t>
  </si>
  <si>
    <t>PKKH_SUB_CIF</t>
  </si>
  <si>
    <t>Bán buôn</t>
  </si>
  <si>
    <t>Bán lẻ hàng tiêu dùng</t>
  </si>
  <si>
    <t>Bất động sản</t>
  </si>
  <si>
    <t>Cao su</t>
  </si>
  <si>
    <t>Cấp thoát nước</t>
  </si>
  <si>
    <t>Chăn nuôi</t>
  </si>
  <si>
    <t>Dầu khí</t>
  </si>
  <si>
    <t>Dịch vụ cá nhân</t>
  </si>
  <si>
    <t>Dịch vụ Cho thuê</t>
  </si>
  <si>
    <t>Dịch vụ Công</t>
  </si>
  <si>
    <t>Dịch vụ Cung ứng lao động</t>
  </si>
  <si>
    <t>Dịch vụ dân sinh khác</t>
  </si>
  <si>
    <t>Dịch vụ Giải trí</t>
  </si>
  <si>
    <t>Dịch vụ Giáo dục</t>
  </si>
  <si>
    <t>Dịch vụ In ấn và Xuất bản</t>
  </si>
  <si>
    <t>Dịch vụ nông nghiệp khác</t>
  </si>
  <si>
    <t>Dịch vụ Sửa chữa và Vệ sinh</t>
  </si>
  <si>
    <t>Dịch vụ Tư vấn chuyên môn và hỗ trợ vận hành</t>
  </si>
  <si>
    <t>Dịch vụ Y tế và Chăm sóc sức khỏe</t>
  </si>
  <si>
    <t>Du lịch và Lữ hành</t>
  </si>
  <si>
    <t>Dược và TBYT</t>
  </si>
  <si>
    <t>Giấy</t>
  </si>
  <si>
    <t>Hoạt động Bảo trợ xã hội</t>
  </si>
  <si>
    <t>Hoạt động, Dịch vụ Khác chưa được phân vào đâu</t>
  </si>
  <si>
    <t>Khách sạn và Nhà nghỉ</t>
  </si>
  <si>
    <t>Khoáng sản khác</t>
  </si>
  <si>
    <t>Lâm nghiệp</t>
  </si>
  <si>
    <t>Logistics</t>
  </si>
  <si>
    <t>Mỹ phẩm và chế phẩm vệ sinh</t>
  </si>
  <si>
    <t>Ngư nghiệp</t>
  </si>
  <si>
    <t>Nhựa</t>
  </si>
  <si>
    <t>Ô tô và Phụ tùng ô tô</t>
  </si>
  <si>
    <t>Phân bón và hóa chất</t>
  </si>
  <si>
    <t>Phi Ngân hàng</t>
  </si>
  <si>
    <t>Phương tiện vận tải khác</t>
  </si>
  <si>
    <t>Quặng các loại</t>
  </si>
  <si>
    <t>Sản xuất Khác chưa được phân vào đâu</t>
  </si>
  <si>
    <t>Sản xuất Máy móc, thiết bị chuyên dụng</t>
  </si>
  <si>
    <t>Than</t>
  </si>
  <si>
    <t>Thu gom, xử lý, tái chế rác thải</t>
  </si>
  <si>
    <t>Thực phẩm và Đồ uống</t>
  </si>
  <si>
    <t>Thuốc lá</t>
  </si>
  <si>
    <t>Thương mại Nông sản</t>
  </si>
  <si>
    <t>Tổ chức trung gian tiền tệ</t>
  </si>
  <si>
    <t>Trồng trọt</t>
  </si>
  <si>
    <t>Vật liệu xây dựng</t>
  </si>
  <si>
    <t>Viễn thông &amp; CNTT</t>
  </si>
  <si>
    <t>Xây dựng</t>
  </si>
  <si>
    <t>Xe máy và Phụ tùng xe máy</t>
  </si>
  <si>
    <t>Xổ số, Sòng bạc và Cá cược</t>
  </si>
  <si>
    <t>46498</t>
  </si>
  <si>
    <t>46494</t>
  </si>
  <si>
    <t>46499</t>
  </si>
  <si>
    <t>46699</t>
  </si>
  <si>
    <t>46900</t>
  </si>
  <si>
    <t>46624</t>
  </si>
  <si>
    <t>46593</t>
  </si>
  <si>
    <t>46599</t>
  </si>
  <si>
    <t>46530</t>
  </si>
  <si>
    <t>46594</t>
  </si>
  <si>
    <t>46496</t>
  </si>
  <si>
    <t>47592</t>
  </si>
  <si>
    <t>47736</t>
  </si>
  <si>
    <t>47895</t>
  </si>
  <si>
    <t>47733</t>
  </si>
  <si>
    <t>47850</t>
  </si>
  <si>
    <t>47893</t>
  </si>
  <si>
    <t>47731</t>
  </si>
  <si>
    <t>47737</t>
  </si>
  <si>
    <t>47594</t>
  </si>
  <si>
    <t>47610</t>
  </si>
  <si>
    <t>47843</t>
  </si>
  <si>
    <t>47593</t>
  </si>
  <si>
    <t>47599</t>
  </si>
  <si>
    <t>47892</t>
  </si>
  <si>
    <t>47519</t>
  </si>
  <si>
    <t>47842</t>
  </si>
  <si>
    <t>47530</t>
  </si>
  <si>
    <t>47830</t>
  </si>
  <si>
    <t>47511</t>
  </si>
  <si>
    <t>47896</t>
  </si>
  <si>
    <t>47620</t>
  </si>
  <si>
    <t>47630</t>
  </si>
  <si>
    <t>47734</t>
  </si>
  <si>
    <t>47640</t>
  </si>
  <si>
    <t>47749</t>
  </si>
  <si>
    <t>47739</t>
  </si>
  <si>
    <t>47990</t>
  </si>
  <si>
    <t>46101</t>
  </si>
  <si>
    <t>47899</t>
  </si>
  <si>
    <t>47910</t>
  </si>
  <si>
    <t>47119</t>
  </si>
  <si>
    <t>47199</t>
  </si>
  <si>
    <t>47112</t>
  </si>
  <si>
    <t>47192</t>
  </si>
  <si>
    <t>47111</t>
  </si>
  <si>
    <t>47191</t>
  </si>
  <si>
    <t>47898</t>
  </si>
  <si>
    <t>47894</t>
  </si>
  <si>
    <t>47732</t>
  </si>
  <si>
    <t>68202</t>
  </si>
  <si>
    <t>68201</t>
  </si>
  <si>
    <t>68104</t>
  </si>
  <si>
    <t>68103</t>
  </si>
  <si>
    <t>68109</t>
  </si>
  <si>
    <t>68101</t>
  </si>
  <si>
    <t>68102</t>
  </si>
  <si>
    <t>20132</t>
  </si>
  <si>
    <t>22190</t>
  </si>
  <si>
    <t>46694</t>
  </si>
  <si>
    <t>36000</t>
  </si>
  <si>
    <t>37001</t>
  </si>
  <si>
    <t>10800</t>
  </si>
  <si>
    <t>46204</t>
  </si>
  <si>
    <t>1411</t>
  </si>
  <si>
    <t>1412</t>
  </si>
  <si>
    <t>1421</t>
  </si>
  <si>
    <t>1422</t>
  </si>
  <si>
    <t>1441</t>
  </si>
  <si>
    <t>1442</t>
  </si>
  <si>
    <t>1451</t>
  </si>
  <si>
    <t>1452</t>
  </si>
  <si>
    <t>1461</t>
  </si>
  <si>
    <t>1462</t>
  </si>
  <si>
    <t>1463</t>
  </si>
  <si>
    <t>1469</t>
  </si>
  <si>
    <t>1620</t>
  </si>
  <si>
    <t>19200</t>
  </si>
  <si>
    <t>35201</t>
  </si>
  <si>
    <t>6100</t>
  </si>
  <si>
    <t>6200</t>
  </si>
  <si>
    <t>9100</t>
  </si>
  <si>
    <t>9900</t>
  </si>
  <si>
    <t>13130</t>
  </si>
  <si>
    <t>13910</t>
  </si>
  <si>
    <t>13120</t>
  </si>
  <si>
    <t>46696</t>
  </si>
  <si>
    <t>46695</t>
  </si>
  <si>
    <t>15200</t>
  </si>
  <si>
    <t>14200</t>
  </si>
  <si>
    <t>15120</t>
  </si>
  <si>
    <t>15110</t>
  </si>
  <si>
    <t>14100</t>
  </si>
  <si>
    <t>13940</t>
  </si>
  <si>
    <t>13990</t>
  </si>
  <si>
    <t>13920</t>
  </si>
  <si>
    <t>13930</t>
  </si>
  <si>
    <t>14300</t>
  </si>
  <si>
    <t>46414</t>
  </si>
  <si>
    <t>46491</t>
  </si>
  <si>
    <t>47713</t>
  </si>
  <si>
    <t>47823</t>
  </si>
  <si>
    <t>47712</t>
  </si>
  <si>
    <t>46413</t>
  </si>
  <si>
    <t>46412</t>
  </si>
  <si>
    <t>46411</t>
  </si>
  <si>
    <t>47821</t>
  </si>
  <si>
    <t>47741</t>
  </si>
  <si>
    <t>47822</t>
  </si>
  <si>
    <t>47711</t>
  </si>
  <si>
    <t>20300</t>
  </si>
  <si>
    <t>96310</t>
  </si>
  <si>
    <t>96390</t>
  </si>
  <si>
    <t>77301</t>
  </si>
  <si>
    <t>77309</t>
  </si>
  <si>
    <t>77303</t>
  </si>
  <si>
    <t>77302</t>
  </si>
  <si>
    <t>77304</t>
  </si>
  <si>
    <t>77101</t>
  </si>
  <si>
    <t>77305</t>
  </si>
  <si>
    <t>77109</t>
  </si>
  <si>
    <t>77290</t>
  </si>
  <si>
    <t>77400</t>
  </si>
  <si>
    <t>94990</t>
  </si>
  <si>
    <t>81300</t>
  </si>
  <si>
    <t>91020</t>
  </si>
  <si>
    <t>94200</t>
  </si>
  <si>
    <t>94110</t>
  </si>
  <si>
    <t>94120</t>
  </si>
  <si>
    <t>94910</t>
  </si>
  <si>
    <t>99000</t>
  </si>
  <si>
    <t>84230</t>
  </si>
  <si>
    <t>84300</t>
  </si>
  <si>
    <t>84111</t>
  </si>
  <si>
    <t>84210</t>
  </si>
  <si>
    <t>84112</t>
  </si>
  <si>
    <t>84130</t>
  </si>
  <si>
    <t>84120</t>
  </si>
  <si>
    <t>84220</t>
  </si>
  <si>
    <t>78200</t>
  </si>
  <si>
    <t>78302</t>
  </si>
  <si>
    <t>78301</t>
  </si>
  <si>
    <t>78100</t>
  </si>
  <si>
    <t>97000</t>
  </si>
  <si>
    <t>96330</t>
  </si>
  <si>
    <t>96320</t>
  </si>
  <si>
    <t>46497</t>
  </si>
  <si>
    <t>93210</t>
  </si>
  <si>
    <t>91030</t>
  </si>
  <si>
    <t>77220</t>
  </si>
  <si>
    <t>91010</t>
  </si>
  <si>
    <t>93290</t>
  </si>
  <si>
    <t>60100</t>
  </si>
  <si>
    <t>60220</t>
  </si>
  <si>
    <t>63910</t>
  </si>
  <si>
    <t>60210</t>
  </si>
  <si>
    <t>59141</t>
  </si>
  <si>
    <t>59200</t>
  </si>
  <si>
    <t>59142</t>
  </si>
  <si>
    <t>59120</t>
  </si>
  <si>
    <t>59130</t>
  </si>
  <si>
    <t>59113</t>
  </si>
  <si>
    <t>59111</t>
  </si>
  <si>
    <t>59112</t>
  </si>
  <si>
    <t>77210</t>
  </si>
  <si>
    <t>93120</t>
  </si>
  <si>
    <t>93110</t>
  </si>
  <si>
    <t>93190</t>
  </si>
  <si>
    <t>85330</t>
  </si>
  <si>
    <t>85410</t>
  </si>
  <si>
    <t>85420</t>
  </si>
  <si>
    <t>85430</t>
  </si>
  <si>
    <t>85210</t>
  </si>
  <si>
    <t>85220</t>
  </si>
  <si>
    <t>85230</t>
  </si>
  <si>
    <t>85310</t>
  </si>
  <si>
    <t>85320</t>
  </si>
  <si>
    <t>85590</t>
  </si>
  <si>
    <t>85510</t>
  </si>
  <si>
    <t>85520</t>
  </si>
  <si>
    <t>85120</t>
  </si>
  <si>
    <t>85110</t>
  </si>
  <si>
    <t>55901</t>
  </si>
  <si>
    <t>85600</t>
  </si>
  <si>
    <t>18120</t>
  </si>
  <si>
    <t>18110</t>
  </si>
  <si>
    <t>18200</t>
  </si>
  <si>
    <t>82191</t>
  </si>
  <si>
    <t>58122</t>
  </si>
  <si>
    <t>58121</t>
  </si>
  <si>
    <t>58192</t>
  </si>
  <si>
    <t>58191</t>
  </si>
  <si>
    <t>58132</t>
  </si>
  <si>
    <t>58131</t>
  </si>
  <si>
    <t>58112</t>
  </si>
  <si>
    <t>58111</t>
  </si>
  <si>
    <t>1500</t>
  </si>
  <si>
    <t>1630</t>
  </si>
  <si>
    <t>1700</t>
  </si>
  <si>
    <t>33110</t>
  </si>
  <si>
    <t>33120</t>
  </si>
  <si>
    <t>33140</t>
  </si>
  <si>
    <t>33130</t>
  </si>
  <si>
    <t>33190</t>
  </si>
  <si>
    <t>96200</t>
  </si>
  <si>
    <t>95230</t>
  </si>
  <si>
    <t>95240</t>
  </si>
  <si>
    <t>95210</t>
  </si>
  <si>
    <t>95220</t>
  </si>
  <si>
    <t>95290</t>
  </si>
  <si>
    <t>81210</t>
  </si>
  <si>
    <t>81290</t>
  </si>
  <si>
    <t>70100</t>
  </si>
  <si>
    <t>69101</t>
  </si>
  <si>
    <t>71102</t>
  </si>
  <si>
    <t>74901</t>
  </si>
  <si>
    <t>69200</t>
  </si>
  <si>
    <t>69109</t>
  </si>
  <si>
    <t>71103</t>
  </si>
  <si>
    <t>74100</t>
  </si>
  <si>
    <t>71109</t>
  </si>
  <si>
    <t>70200</t>
  </si>
  <si>
    <t>69102</t>
  </si>
  <si>
    <t>71200</t>
  </si>
  <si>
    <t>72120</t>
  </si>
  <si>
    <t>72220</t>
  </si>
  <si>
    <t>72140</t>
  </si>
  <si>
    <t>72110</t>
  </si>
  <si>
    <t>72210</t>
  </si>
  <si>
    <t>72130</t>
  </si>
  <si>
    <t>73200</t>
  </si>
  <si>
    <t>73100</t>
  </si>
  <si>
    <t>80300</t>
  </si>
  <si>
    <t>82110</t>
  </si>
  <si>
    <t>80200</t>
  </si>
  <si>
    <t>81100</t>
  </si>
  <si>
    <t>80100</t>
  </si>
  <si>
    <t>82990</t>
  </si>
  <si>
    <t>82200</t>
  </si>
  <si>
    <t>82199</t>
  </si>
  <si>
    <t>63990</t>
  </si>
  <si>
    <t>74909</t>
  </si>
  <si>
    <t>96100</t>
  </si>
  <si>
    <t>87201</t>
  </si>
  <si>
    <t>87301</t>
  </si>
  <si>
    <t>87302</t>
  </si>
  <si>
    <t>87303</t>
  </si>
  <si>
    <t>87202</t>
  </si>
  <si>
    <t>87909</t>
  </si>
  <si>
    <t>86910</t>
  </si>
  <si>
    <t>86101</t>
  </si>
  <si>
    <t>86201</t>
  </si>
  <si>
    <t>86202</t>
  </si>
  <si>
    <t>86102</t>
  </si>
  <si>
    <t>86920</t>
  </si>
  <si>
    <t>86990</t>
  </si>
  <si>
    <t>35115</t>
  </si>
  <si>
    <t>35119</t>
  </si>
  <si>
    <t>35116</t>
  </si>
  <si>
    <t>35114</t>
  </si>
  <si>
    <t>35113</t>
  </si>
  <si>
    <t>35112</t>
  </si>
  <si>
    <t>35111</t>
  </si>
  <si>
    <t>27102</t>
  </si>
  <si>
    <t>27320</t>
  </si>
  <si>
    <t>27500</t>
  </si>
  <si>
    <t>27101</t>
  </si>
  <si>
    <t>27200</t>
  </si>
  <si>
    <t>26400</t>
  </si>
  <si>
    <t>27330</t>
  </si>
  <si>
    <t>27400</t>
  </si>
  <si>
    <t>27900</t>
  </si>
  <si>
    <t>26510</t>
  </si>
  <si>
    <t>46495</t>
  </si>
  <si>
    <t>47591</t>
  </si>
  <si>
    <t>35122</t>
  </si>
  <si>
    <t>35121</t>
  </si>
  <si>
    <t>43210</t>
  </si>
  <si>
    <t>42210</t>
  </si>
  <si>
    <t>79110</t>
  </si>
  <si>
    <t>79900</t>
  </si>
  <si>
    <t>79120</t>
  </si>
  <si>
    <t>50211</t>
  </si>
  <si>
    <t>50212</t>
  </si>
  <si>
    <t>50111</t>
  </si>
  <si>
    <t>50112</t>
  </si>
  <si>
    <t>49313</t>
  </si>
  <si>
    <t>49312</t>
  </si>
  <si>
    <t>49220</t>
  </si>
  <si>
    <t>49290</t>
  </si>
  <si>
    <t>49210</t>
  </si>
  <si>
    <t>49321</t>
  </si>
  <si>
    <t>49329</t>
  </si>
  <si>
    <t>49319</t>
  </si>
  <si>
    <t>49311</t>
  </si>
  <si>
    <t>49110</t>
  </si>
  <si>
    <t>51109</t>
  </si>
  <si>
    <t>51101</t>
  </si>
  <si>
    <t>46492</t>
  </si>
  <si>
    <t>46595</t>
  </si>
  <si>
    <t>47721</t>
  </si>
  <si>
    <t>47723</t>
  </si>
  <si>
    <t>21002</t>
  </si>
  <si>
    <t>21001</t>
  </si>
  <si>
    <t>32502</t>
  </si>
  <si>
    <t>26600</t>
  </si>
  <si>
    <t>32501</t>
  </si>
  <si>
    <t>17021</t>
  </si>
  <si>
    <t>17090</t>
  </si>
  <si>
    <t>17022</t>
  </si>
  <si>
    <t>17010</t>
  </si>
  <si>
    <t>16102</t>
  </si>
  <si>
    <t>16101</t>
  </si>
  <si>
    <t>16220</t>
  </si>
  <si>
    <t>31001</t>
  </si>
  <si>
    <t>16291</t>
  </si>
  <si>
    <t>46631</t>
  </si>
  <si>
    <t>87901</t>
  </si>
  <si>
    <t>88900</t>
  </si>
  <si>
    <t>87109</t>
  </si>
  <si>
    <t>87101</t>
  </si>
  <si>
    <t>88101</t>
  </si>
  <si>
    <t>88103</t>
  </si>
  <si>
    <t>88102</t>
  </si>
  <si>
    <t>82300</t>
  </si>
  <si>
    <t>46103</t>
  </si>
  <si>
    <t>33200</t>
  </si>
  <si>
    <t>74200</t>
  </si>
  <si>
    <t>75000</t>
  </si>
  <si>
    <t>90000</t>
  </si>
  <si>
    <t>46102</t>
  </si>
  <si>
    <t>55909</t>
  </si>
  <si>
    <t>55103</t>
  </si>
  <si>
    <t>55104</t>
  </si>
  <si>
    <t>55102</t>
  </si>
  <si>
    <t>55101</t>
  </si>
  <si>
    <t>55902</t>
  </si>
  <si>
    <t>8101</t>
  </si>
  <si>
    <t>8102</t>
  </si>
  <si>
    <t>8103</t>
  </si>
  <si>
    <t>8930</t>
  </si>
  <si>
    <t>8990</t>
  </si>
  <si>
    <t>46209</t>
  </si>
  <si>
    <t>2101</t>
  </si>
  <si>
    <t>2102</t>
  </si>
  <si>
    <t>2103</t>
  </si>
  <si>
    <t>2104</t>
  </si>
  <si>
    <t>2200</t>
  </si>
  <si>
    <t>2310</t>
  </si>
  <si>
    <t>2320</t>
  </si>
  <si>
    <t>2400</t>
  </si>
  <si>
    <t>52291</t>
  </si>
  <si>
    <t>52299</t>
  </si>
  <si>
    <t>52224</t>
  </si>
  <si>
    <t>52222</t>
  </si>
  <si>
    <t>52210</t>
  </si>
  <si>
    <t>52259</t>
  </si>
  <si>
    <t>52251</t>
  </si>
  <si>
    <t>52221</t>
  </si>
  <si>
    <t>52223</t>
  </si>
  <si>
    <t>52253</t>
  </si>
  <si>
    <t>52252</t>
  </si>
  <si>
    <t>52292</t>
  </si>
  <si>
    <t>52102</t>
  </si>
  <si>
    <t>52109</t>
  </si>
  <si>
    <t>52101</t>
  </si>
  <si>
    <t>50121</t>
  </si>
  <si>
    <t>50122</t>
  </si>
  <si>
    <t>49331</t>
  </si>
  <si>
    <t>49332</t>
  </si>
  <si>
    <t>49339</t>
  </si>
  <si>
    <t>49333</t>
  </si>
  <si>
    <t>49334</t>
  </si>
  <si>
    <t>49400</t>
  </si>
  <si>
    <t>49120</t>
  </si>
  <si>
    <t>50221</t>
  </si>
  <si>
    <t>50222</t>
  </si>
  <si>
    <t>51209</t>
  </si>
  <si>
    <t>51201</t>
  </si>
  <si>
    <t>52243</t>
  </si>
  <si>
    <t>52245</t>
  </si>
  <si>
    <t>52244</t>
  </si>
  <si>
    <t>52242</t>
  </si>
  <si>
    <t>52241</t>
  </si>
  <si>
    <t>52249</t>
  </si>
  <si>
    <t>82920</t>
  </si>
  <si>
    <t>53100</t>
  </si>
  <si>
    <t>53200</t>
  </si>
  <si>
    <t>52231</t>
  </si>
  <si>
    <t>52232</t>
  </si>
  <si>
    <t>52239</t>
  </si>
  <si>
    <t>20231</t>
  </si>
  <si>
    <t>20232</t>
  </si>
  <si>
    <t>46493</t>
  </si>
  <si>
    <t>47891</t>
  </si>
  <si>
    <t>47722</t>
  </si>
  <si>
    <t>3110</t>
  </si>
  <si>
    <t>3120</t>
  </si>
  <si>
    <t>3211</t>
  </si>
  <si>
    <t>3212</t>
  </si>
  <si>
    <t>3213</t>
  </si>
  <si>
    <t>3214</t>
  </si>
  <si>
    <t>3221</t>
  </si>
  <si>
    <t>3222</t>
  </si>
  <si>
    <t>3223</t>
  </si>
  <si>
    <t>3224</t>
  </si>
  <si>
    <t>56102</t>
  </si>
  <si>
    <t>56210</t>
  </si>
  <si>
    <t>56290</t>
  </si>
  <si>
    <t>56109</t>
  </si>
  <si>
    <t>56101</t>
  </si>
  <si>
    <t>56302</t>
  </si>
  <si>
    <t>56301</t>
  </si>
  <si>
    <t>20131</t>
  </si>
  <si>
    <t>46693</t>
  </si>
  <si>
    <t>22201</t>
  </si>
  <si>
    <t>22209</t>
  </si>
  <si>
    <t>45200</t>
  </si>
  <si>
    <t>29100</t>
  </si>
  <si>
    <t>29200</t>
  </si>
  <si>
    <t>45111</t>
  </si>
  <si>
    <t>45120</t>
  </si>
  <si>
    <t>45131</t>
  </si>
  <si>
    <t>29300</t>
  </si>
  <si>
    <t>22110</t>
  </si>
  <si>
    <t>45301</t>
  </si>
  <si>
    <t>45302</t>
  </si>
  <si>
    <t>45303</t>
  </si>
  <si>
    <t>20119</t>
  </si>
  <si>
    <t>20114</t>
  </si>
  <si>
    <t>20113</t>
  </si>
  <si>
    <t>20290</t>
  </si>
  <si>
    <t>20111</t>
  </si>
  <si>
    <t>20112</t>
  </si>
  <si>
    <t>20222</t>
  </si>
  <si>
    <t>20221</t>
  </si>
  <si>
    <t>20210</t>
  </si>
  <si>
    <t>46692</t>
  </si>
  <si>
    <t>20120</t>
  </si>
  <si>
    <t>46691</t>
  </si>
  <si>
    <t>66210</t>
  </si>
  <si>
    <t>66290</t>
  </si>
  <si>
    <t>65110</t>
  </si>
  <si>
    <t>65120</t>
  </si>
  <si>
    <t>65300</t>
  </si>
  <si>
    <t>65139</t>
  </si>
  <si>
    <t>65131</t>
  </si>
  <si>
    <t>66220</t>
  </si>
  <si>
    <t>65200</t>
  </si>
  <si>
    <t>66120</t>
  </si>
  <si>
    <t>66110</t>
  </si>
  <si>
    <t>66300</t>
  </si>
  <si>
    <t>64200</t>
  </si>
  <si>
    <t>64300</t>
  </si>
  <si>
    <t>64910</t>
  </si>
  <si>
    <t>82910</t>
  </si>
  <si>
    <t>64920</t>
  </si>
  <si>
    <t>64990</t>
  </si>
  <si>
    <t>66190</t>
  </si>
  <si>
    <t>33150</t>
  </si>
  <si>
    <t>30110</t>
  </si>
  <si>
    <t>30120</t>
  </si>
  <si>
    <t>30200</t>
  </si>
  <si>
    <t>30300</t>
  </si>
  <si>
    <t>30990</t>
  </si>
  <si>
    <t>30400</t>
  </si>
  <si>
    <t>30920</t>
  </si>
  <si>
    <t>45119</t>
  </si>
  <si>
    <t>47897</t>
  </si>
  <si>
    <t>47738</t>
  </si>
  <si>
    <t>45139</t>
  </si>
  <si>
    <t>24320</t>
  </si>
  <si>
    <t>24201</t>
  </si>
  <si>
    <t>46697</t>
  </si>
  <si>
    <t>46621</t>
  </si>
  <si>
    <t>7100</t>
  </si>
  <si>
    <t>7210</t>
  </si>
  <si>
    <t>7221</t>
  </si>
  <si>
    <t>7229</t>
  </si>
  <si>
    <t>7300</t>
  </si>
  <si>
    <t>8910</t>
  </si>
  <si>
    <t>31002</t>
  </si>
  <si>
    <t>31009</t>
  </si>
  <si>
    <t>25920</t>
  </si>
  <si>
    <t>25910</t>
  </si>
  <si>
    <t>25930</t>
  </si>
  <si>
    <t>32400</t>
  </si>
  <si>
    <t>25991</t>
  </si>
  <si>
    <t>32120</t>
  </si>
  <si>
    <t>32110</t>
  </si>
  <si>
    <t>26520</t>
  </si>
  <si>
    <t>32300</t>
  </si>
  <si>
    <t>32900</t>
  </si>
  <si>
    <t>32200</t>
  </si>
  <si>
    <t>23109</t>
  </si>
  <si>
    <t>25200</t>
  </si>
  <si>
    <t>98200</t>
  </si>
  <si>
    <t>98100</t>
  </si>
  <si>
    <t>35301</t>
  </si>
  <si>
    <t>16230</t>
  </si>
  <si>
    <t>28140</t>
  </si>
  <si>
    <t>28160</t>
  </si>
  <si>
    <t>28110</t>
  </si>
  <si>
    <t>28150</t>
  </si>
  <si>
    <t>28130</t>
  </si>
  <si>
    <t>28250</t>
  </si>
  <si>
    <t>28260</t>
  </si>
  <si>
    <t>28299</t>
  </si>
  <si>
    <t>26800</t>
  </si>
  <si>
    <t>28180</t>
  </si>
  <si>
    <t>28220</t>
  </si>
  <si>
    <t>28240</t>
  </si>
  <si>
    <t>28230</t>
  </si>
  <si>
    <t>28170</t>
  </si>
  <si>
    <t>28210</t>
  </si>
  <si>
    <t>28291</t>
  </si>
  <si>
    <t>28190</t>
  </si>
  <si>
    <t>25130</t>
  </si>
  <si>
    <t>25999</t>
  </si>
  <si>
    <t>28120</t>
  </si>
  <si>
    <t>26700</t>
  </si>
  <si>
    <t>25120</t>
  </si>
  <si>
    <t>19100</t>
  </si>
  <si>
    <t>46611</t>
  </si>
  <si>
    <t>5100</t>
  </si>
  <si>
    <t>5200</t>
  </si>
  <si>
    <t>8920</t>
  </si>
  <si>
    <t>38301</t>
  </si>
  <si>
    <t>38302</t>
  </si>
  <si>
    <t>38129</t>
  </si>
  <si>
    <t>38110</t>
  </si>
  <si>
    <t>38121</t>
  </si>
  <si>
    <t>37002</t>
  </si>
  <si>
    <t>39000</t>
  </si>
  <si>
    <t>38229</t>
  </si>
  <si>
    <t>38210</t>
  </si>
  <si>
    <t>38221</t>
  </si>
  <si>
    <t>47819</t>
  </si>
  <si>
    <t>47222</t>
  </si>
  <si>
    <t>47816</t>
  </si>
  <si>
    <t>10720</t>
  </si>
  <si>
    <t>10740</t>
  </si>
  <si>
    <t>10759</t>
  </si>
  <si>
    <t>10751</t>
  </si>
  <si>
    <t>10752</t>
  </si>
  <si>
    <t>10790</t>
  </si>
  <si>
    <t>10620</t>
  </si>
  <si>
    <t>10611</t>
  </si>
  <si>
    <t>46326</t>
  </si>
  <si>
    <t>46310</t>
  </si>
  <si>
    <t>46323</t>
  </si>
  <si>
    <t>46321</t>
  </si>
  <si>
    <t>46201</t>
  </si>
  <si>
    <t>46329</t>
  </si>
  <si>
    <t>46322</t>
  </si>
  <si>
    <t>47224</t>
  </si>
  <si>
    <t>47811</t>
  </si>
  <si>
    <t>47210</t>
  </si>
  <si>
    <t>47817</t>
  </si>
  <si>
    <t>47223</t>
  </si>
  <si>
    <t>47815</t>
  </si>
  <si>
    <t>47221</t>
  </si>
  <si>
    <t>47818</t>
  </si>
  <si>
    <t>47229</t>
  </si>
  <si>
    <t>47812</t>
  </si>
  <si>
    <t>11010</t>
  </si>
  <si>
    <t>11030</t>
  </si>
  <si>
    <t>10770</t>
  </si>
  <si>
    <t>10760</t>
  </si>
  <si>
    <t>11042</t>
  </si>
  <si>
    <t>10301</t>
  </si>
  <si>
    <t>11041</t>
  </si>
  <si>
    <t>11020</t>
  </si>
  <si>
    <t>35302</t>
  </si>
  <si>
    <t>46324</t>
  </si>
  <si>
    <t>46325</t>
  </si>
  <si>
    <t>46331</t>
  </si>
  <si>
    <t>46332</t>
  </si>
  <si>
    <t>47813</t>
  </si>
  <si>
    <t>47230</t>
  </si>
  <si>
    <t>10500</t>
  </si>
  <si>
    <t>10209</t>
  </si>
  <si>
    <t>10109</t>
  </si>
  <si>
    <t>10203</t>
  </si>
  <si>
    <t>10309</t>
  </si>
  <si>
    <t>10102</t>
  </si>
  <si>
    <t>10201</t>
  </si>
  <si>
    <t>10202</t>
  </si>
  <si>
    <t>10101</t>
  </si>
  <si>
    <t>10612</t>
  </si>
  <si>
    <t>10730</t>
  </si>
  <si>
    <t>10710</t>
  </si>
  <si>
    <t>10402</t>
  </si>
  <si>
    <t>10401</t>
  </si>
  <si>
    <t>12009</t>
  </si>
  <si>
    <t>12001</t>
  </si>
  <si>
    <t>46340</t>
  </si>
  <si>
    <t>47814</t>
  </si>
  <si>
    <t>47240</t>
  </si>
  <si>
    <t>46203</t>
  </si>
  <si>
    <t>46202</t>
  </si>
  <si>
    <t>64190</t>
  </si>
  <si>
    <t>64110</t>
  </si>
  <si>
    <t>1110</t>
  </si>
  <si>
    <t>1120</t>
  </si>
  <si>
    <t>1130</t>
  </si>
  <si>
    <t>1140</t>
  </si>
  <si>
    <t>1150</t>
  </si>
  <si>
    <t>1160</t>
  </si>
  <si>
    <t>1170</t>
  </si>
  <si>
    <t>1181</t>
  </si>
  <si>
    <t>1182</t>
  </si>
  <si>
    <t>1183</t>
  </si>
  <si>
    <t>1191</t>
  </si>
  <si>
    <t>1192</t>
  </si>
  <si>
    <t>1199</t>
  </si>
  <si>
    <t>1211</t>
  </si>
  <si>
    <t>1212</t>
  </si>
  <si>
    <t>1213</t>
  </si>
  <si>
    <t>1214</t>
  </si>
  <si>
    <t>1215</t>
  </si>
  <si>
    <t>1219</t>
  </si>
  <si>
    <t>1220</t>
  </si>
  <si>
    <t>1230</t>
  </si>
  <si>
    <t>1240</t>
  </si>
  <si>
    <t>1250</t>
  </si>
  <si>
    <t>1260</t>
  </si>
  <si>
    <t>1270</t>
  </si>
  <si>
    <t>1281</t>
  </si>
  <si>
    <t>1282</t>
  </si>
  <si>
    <t>1291</t>
  </si>
  <si>
    <t>1299</t>
  </si>
  <si>
    <t>1310</t>
  </si>
  <si>
    <t>1320</t>
  </si>
  <si>
    <t>1610</t>
  </si>
  <si>
    <t>1640</t>
  </si>
  <si>
    <t>46635</t>
  </si>
  <si>
    <t>47522</t>
  </si>
  <si>
    <t>24100</t>
  </si>
  <si>
    <t>23910</t>
  </si>
  <si>
    <t>23930</t>
  </si>
  <si>
    <t>23990</t>
  </si>
  <si>
    <t>23103</t>
  </si>
  <si>
    <t>23101</t>
  </si>
  <si>
    <t>23920</t>
  </si>
  <si>
    <t>23942</t>
  </si>
  <si>
    <t>23950</t>
  </si>
  <si>
    <t>23941</t>
  </si>
  <si>
    <t>23960</t>
  </si>
  <si>
    <t>16292</t>
  </si>
  <si>
    <t>23943</t>
  </si>
  <si>
    <t>23102</t>
  </si>
  <si>
    <t>46622</t>
  </si>
  <si>
    <t>46633</t>
  </si>
  <si>
    <t>46623</t>
  </si>
  <si>
    <t>46639</t>
  </si>
  <si>
    <t>47524</t>
  </si>
  <si>
    <t>46632</t>
  </si>
  <si>
    <t>47529</t>
  </si>
  <si>
    <t>46637</t>
  </si>
  <si>
    <t>46636</t>
  </si>
  <si>
    <t>46634</t>
  </si>
  <si>
    <t>46591</t>
  </si>
  <si>
    <t>47521</t>
  </si>
  <si>
    <t>47841</t>
  </si>
  <si>
    <t>47525</t>
  </si>
  <si>
    <t>47523</t>
  </si>
  <si>
    <t>24310</t>
  </si>
  <si>
    <t>24202</t>
  </si>
  <si>
    <t>25110</t>
  </si>
  <si>
    <t>26100</t>
  </si>
  <si>
    <t>46520</t>
  </si>
  <si>
    <t>95110</t>
  </si>
  <si>
    <t>63120</t>
  </si>
  <si>
    <t>62090</t>
  </si>
  <si>
    <t>62020</t>
  </si>
  <si>
    <t>63110</t>
  </si>
  <si>
    <t>26200</t>
  </si>
  <si>
    <t>62010</t>
  </si>
  <si>
    <t>58200</t>
  </si>
  <si>
    <t>46510</t>
  </si>
  <si>
    <t>61102</t>
  </si>
  <si>
    <t>61101</t>
  </si>
  <si>
    <t>95120</t>
  </si>
  <si>
    <t>61901</t>
  </si>
  <si>
    <t>61909</t>
  </si>
  <si>
    <t>61202</t>
  </si>
  <si>
    <t>61201</t>
  </si>
  <si>
    <t>61300</t>
  </si>
  <si>
    <t>27310</t>
  </si>
  <si>
    <t>26300</t>
  </si>
  <si>
    <t>47411</t>
  </si>
  <si>
    <t>47420</t>
  </si>
  <si>
    <t>47412</t>
  </si>
  <si>
    <t>35202</t>
  </si>
  <si>
    <t>46612</t>
  </si>
  <si>
    <t>46614</t>
  </si>
  <si>
    <t>47735</t>
  </si>
  <si>
    <t>46613</t>
  </si>
  <si>
    <t>71101</t>
  </si>
  <si>
    <t>43300</t>
  </si>
  <si>
    <t>43221</t>
  </si>
  <si>
    <t>43222</t>
  </si>
  <si>
    <t>43290</t>
  </si>
  <si>
    <t>43120</t>
  </si>
  <si>
    <t>43110</t>
  </si>
  <si>
    <t>43900</t>
  </si>
  <si>
    <t>42930</t>
  </si>
  <si>
    <t>42920</t>
  </si>
  <si>
    <t>42910</t>
  </si>
  <si>
    <t>42220</t>
  </si>
  <si>
    <t>42290</t>
  </si>
  <si>
    <t>42230</t>
  </si>
  <si>
    <t>42120</t>
  </si>
  <si>
    <t>42110</t>
  </si>
  <si>
    <t>42990</t>
  </si>
  <si>
    <t>41010</t>
  </si>
  <si>
    <t>41020</t>
  </si>
  <si>
    <t>45431</t>
  </si>
  <si>
    <t>45432</t>
  </si>
  <si>
    <t>45433</t>
  </si>
  <si>
    <t>45420</t>
  </si>
  <si>
    <t>30910</t>
  </si>
  <si>
    <t>45411</t>
  </si>
  <si>
    <t>45412</t>
  </si>
  <si>
    <t>45413</t>
  </si>
  <si>
    <t>92002</t>
  </si>
  <si>
    <t>92001</t>
  </si>
  <si>
    <t>Nhóm hành động</t>
  </si>
  <si>
    <t>Hành động cụ thể</t>
  </si>
  <si>
    <t>PIC</t>
  </si>
  <si>
    <t>Support</t>
  </si>
  <si>
    <t>Thời gian bắt đầu</t>
  </si>
  <si>
    <t>Thời gian kết thúc</t>
  </si>
  <si>
    <t>1490</t>
  </si>
  <si>
    <t>ALL</t>
  </si>
  <si>
    <t>Nguyễn Thị Thu Hương</t>
  </si>
  <si>
    <t>Nguyễn Nhã Uyên</t>
  </si>
  <si>
    <t>lhnam</t>
  </si>
  <si>
    <t>E140147</t>
  </si>
  <si>
    <t>Hoàng Thị Bích Vân</t>
  </si>
  <si>
    <t>vanhtb</t>
  </si>
  <si>
    <t>ABBANK Thừa Thiên Huế</t>
  </si>
  <si>
    <t>Vùng_3</t>
  </si>
  <si>
    <t>E140095</t>
  </si>
  <si>
    <t>Nguyễn Thị Phương Thảo</t>
  </si>
  <si>
    <t>thao.nguyen</t>
  </si>
  <si>
    <t>E140119</t>
  </si>
  <si>
    <t>Dương Thị Ngọc Anh</t>
  </si>
  <si>
    <t>dtnanh</t>
  </si>
  <si>
    <t>E140032</t>
  </si>
  <si>
    <t>Nguyễn Thành Phước</t>
  </si>
  <si>
    <t>phuocnt</t>
  </si>
  <si>
    <t>E140199</t>
  </si>
  <si>
    <t>Nguyễn Thị Phương Hằng</t>
  </si>
  <si>
    <t>hangntp1</t>
  </si>
  <si>
    <t>E140160</t>
  </si>
  <si>
    <t>Phạm Thị Anh Phương</t>
  </si>
  <si>
    <t>phuongpta</t>
  </si>
  <si>
    <t>E140155</t>
  </si>
  <si>
    <t>Ngô Thị Thùy Linh</t>
  </si>
  <si>
    <t>linhntt4</t>
  </si>
  <si>
    <t>E350206</t>
  </si>
  <si>
    <t>Quang Tiên Lượng</t>
  </si>
  <si>
    <t>luongqt1</t>
  </si>
  <si>
    <t>ABBANK Sài Gòn</t>
  </si>
  <si>
    <t>Vùng_7</t>
  </si>
  <si>
    <t>E014358</t>
  </si>
  <si>
    <t>Trương Quốc Kiệt</t>
  </si>
  <si>
    <t>kiettq</t>
  </si>
  <si>
    <t>ABBANK Bến Thành</t>
  </si>
  <si>
    <t>E013060</t>
  </si>
  <si>
    <t>Bùi Thị Thu Hà</t>
  </si>
  <si>
    <t>habtt</t>
  </si>
  <si>
    <t>E200207</t>
  </si>
  <si>
    <t>Lê Thị Xuân Trang</t>
  </si>
  <si>
    <t>trangltx</t>
  </si>
  <si>
    <t>E014357</t>
  </si>
  <si>
    <t>Đặng Văn Tuấn</t>
  </si>
  <si>
    <t>tuandv1</t>
  </si>
  <si>
    <t>E014345</t>
  </si>
  <si>
    <t>Nguyễn Thị Quỳnh Giao</t>
  </si>
  <si>
    <t>giaontq</t>
  </si>
  <si>
    <t>E013135</t>
  </si>
  <si>
    <t>Nông Hoàng Trúc</t>
  </si>
  <si>
    <t>trucnh1</t>
  </si>
  <si>
    <t>E014737</t>
  </si>
  <si>
    <t>Nguyễn Thị Hậu</t>
  </si>
  <si>
    <t>haunt2</t>
  </si>
  <si>
    <t>E011948</t>
  </si>
  <si>
    <t>Đào Thị Bích Ngọc</t>
  </si>
  <si>
    <t>dtbngoc</t>
  </si>
  <si>
    <t>E240041</t>
  </si>
  <si>
    <t>Phạm Thái An</t>
  </si>
  <si>
    <t>thaian</t>
  </si>
  <si>
    <t>ABBANK Bình Thuận</t>
  </si>
  <si>
    <t>E012391</t>
  </si>
  <si>
    <t>Nguyễn Cẩm Tú</t>
  </si>
  <si>
    <t>tunc</t>
  </si>
  <si>
    <t>E014838</t>
  </si>
  <si>
    <t>Hoàng Thị Hương</t>
  </si>
  <si>
    <t>huonght5</t>
  </si>
  <si>
    <t>E240034</t>
  </si>
  <si>
    <t>Trần Thị Phương Anh</t>
  </si>
  <si>
    <t>ttpanh</t>
  </si>
  <si>
    <t>E014403</t>
  </si>
  <si>
    <t>Phạm Thị Thu Ngân</t>
  </si>
  <si>
    <t>nganptt1</t>
  </si>
  <si>
    <t>ABBANK Khánh Hòa</t>
  </si>
  <si>
    <t>E014351</t>
  </si>
  <si>
    <t>Vy Thị Phượng Tiên</t>
  </si>
  <si>
    <t>tienvtp</t>
  </si>
  <si>
    <t>E240102</t>
  </si>
  <si>
    <t>Hồ Thị Kim Kha</t>
  </si>
  <si>
    <t>khahtk</t>
  </si>
  <si>
    <t>E014342</t>
  </si>
  <si>
    <t>Dương Điền Ngọc Anh</t>
  </si>
  <si>
    <t>anhddn</t>
  </si>
  <si>
    <t>E240094</t>
  </si>
  <si>
    <t>Lê Thị Hồng Hòa</t>
  </si>
  <si>
    <t>hoalth</t>
  </si>
  <si>
    <t>E080172</t>
  </si>
  <si>
    <t>Nguyễn Thị Thúy Kiều</t>
  </si>
  <si>
    <t>kieuntt2</t>
  </si>
  <si>
    <t>E014759</t>
  </si>
  <si>
    <t>Ngô Phúc Hậu</t>
  </si>
  <si>
    <t>haunp2</t>
  </si>
  <si>
    <t>E014473</t>
  </si>
  <si>
    <t>Phạm Hồng Quyên</t>
  </si>
  <si>
    <t>quyenph</t>
  </si>
  <si>
    <t>E014230</t>
  </si>
  <si>
    <t>Nguyễn Ngọc Trường An</t>
  </si>
  <si>
    <t>annnt</t>
  </si>
  <si>
    <t>E240036</t>
  </si>
  <si>
    <t>Lê Nguyễn Nhật Nguyên</t>
  </si>
  <si>
    <t>nguyenlnn</t>
  </si>
  <si>
    <t>E240009</t>
  </si>
  <si>
    <t>Văn Thị Nhung</t>
  </si>
  <si>
    <t>nhungvt</t>
  </si>
  <si>
    <t>E011494</t>
  </si>
  <si>
    <t>Nguyễn Thị Thảo Nguyên</t>
  </si>
  <si>
    <t>nguyenntt</t>
  </si>
  <si>
    <t>E080028</t>
  </si>
  <si>
    <t>Nguyễn Thị Hằng</t>
  </si>
  <si>
    <t>hangnt</t>
  </si>
  <si>
    <t>E014669</t>
  </si>
  <si>
    <t>Nguyễn Thị Kim Ngân</t>
  </si>
  <si>
    <t>nganntk6</t>
  </si>
  <si>
    <t>E040390</t>
  </si>
  <si>
    <t>Nguyễn Thanh Toàn</t>
  </si>
  <si>
    <t>toannt1</t>
  </si>
  <si>
    <t>ABBANK Đà Nẵng</t>
  </si>
  <si>
    <t>E010255</t>
  </si>
  <si>
    <t>Nguyễn Thị Tuyết Oanh</t>
  </si>
  <si>
    <t>oanhntt</t>
  </si>
  <si>
    <t>E040507</t>
  </si>
  <si>
    <t>Nguyễn Hà Công Thành</t>
  </si>
  <si>
    <t>thanhnhc</t>
  </si>
  <si>
    <t>E040251</t>
  </si>
  <si>
    <t>Vũ Thị Ngọc Trinh</t>
  </si>
  <si>
    <t>trinhvtn</t>
  </si>
  <si>
    <t>E280146</t>
  </si>
  <si>
    <t>Phạm Thị Trang</t>
  </si>
  <si>
    <t>trangpt3</t>
  </si>
  <si>
    <t>ABBANK Quảng Nam</t>
  </si>
  <si>
    <t>E040464</t>
  </si>
  <si>
    <t>Bùi Thị Phương Ly</t>
  </si>
  <si>
    <t>lybtp</t>
  </si>
  <si>
    <t>E240091</t>
  </si>
  <si>
    <t>Nguyễn Thị Thanh Hằng</t>
  </si>
  <si>
    <t>nguyenthithanhhang</t>
  </si>
  <si>
    <t>E240061</t>
  </si>
  <si>
    <t>Phan Thị Phượng</t>
  </si>
  <si>
    <t>phuongphan</t>
  </si>
  <si>
    <t>E350081</t>
  </si>
  <si>
    <t>Trần Thiện Lộc</t>
  </si>
  <si>
    <t>loctt6</t>
  </si>
  <si>
    <t>E080173</t>
  </si>
  <si>
    <t>Phạm Quỳnh Như</t>
  </si>
  <si>
    <t>nhupq2</t>
  </si>
  <si>
    <t>E040457</t>
  </si>
  <si>
    <t>Nguyễn Hưng Hà</t>
  </si>
  <si>
    <t>hanh2</t>
  </si>
  <si>
    <t>E014672</t>
  </si>
  <si>
    <t>Phạm Thị Kim Ngân</t>
  </si>
  <si>
    <t>nganptk1</t>
  </si>
  <si>
    <t>E014383</t>
  </si>
  <si>
    <t>Lâm Quốc Nam</t>
  </si>
  <si>
    <t>namlq</t>
  </si>
  <si>
    <t>E013566</t>
  </si>
  <si>
    <t>Phạm Hai Phong</t>
  </si>
  <si>
    <t>phphong</t>
  </si>
  <si>
    <t>E280080</t>
  </si>
  <si>
    <t>Lê Đình Trung</t>
  </si>
  <si>
    <t>trungle</t>
  </si>
  <si>
    <t>E040264</t>
  </si>
  <si>
    <t>Huỳnh Phạm Thanh Tùng</t>
  </si>
  <si>
    <t>tunghpt1</t>
  </si>
  <si>
    <t>E040455</t>
  </si>
  <si>
    <t>Lê Thị Huyền</t>
  </si>
  <si>
    <t>huyenlt4</t>
  </si>
  <si>
    <t>E040484</t>
  </si>
  <si>
    <t>Nguyễn Đức Thái</t>
  </si>
  <si>
    <t>thaind4</t>
  </si>
  <si>
    <t>E040113</t>
  </si>
  <si>
    <t>Phạm Thị Hồng Oanh</t>
  </si>
  <si>
    <t>oanhpth</t>
  </si>
  <si>
    <t>E040487</t>
  </si>
  <si>
    <t>Trần Thị Nhật Phương</t>
  </si>
  <si>
    <t>phuongttn1</t>
  </si>
  <si>
    <t>E040231</t>
  </si>
  <si>
    <t>Nguyễn Huy Hoàng</t>
  </si>
  <si>
    <t>hoang.nguyen</t>
  </si>
  <si>
    <t>E014570</t>
  </si>
  <si>
    <t>Võ Thụy Bảo Hạnh</t>
  </si>
  <si>
    <t>hanhvtb2</t>
  </si>
  <si>
    <t>E280102</t>
  </si>
  <si>
    <t>Nguyễn Đức Lượng</t>
  </si>
  <si>
    <t>luongnguyen</t>
  </si>
  <si>
    <t>E200342</t>
  </si>
  <si>
    <t>Đinh Hữu Bá</t>
  </si>
  <si>
    <t>badh</t>
  </si>
  <si>
    <t>E040008</t>
  </si>
  <si>
    <t>Nguyễn Hữu Đa</t>
  </si>
  <si>
    <t>danh</t>
  </si>
  <si>
    <t>E014799</t>
  </si>
  <si>
    <t>Võ Thị Kim Ngân</t>
  </si>
  <si>
    <t>nganvtk3</t>
  </si>
  <si>
    <t>E200389</t>
  </si>
  <si>
    <t>Trần Thị Kim Thoa</t>
  </si>
  <si>
    <t>thoattk</t>
  </si>
  <si>
    <t>E040454</t>
  </si>
  <si>
    <t>Võ Thành Đạt</t>
  </si>
  <si>
    <t>datvt3</t>
  </si>
  <si>
    <t>E280067</t>
  </si>
  <si>
    <t>Đỗ Thị Xuân Diệu</t>
  </si>
  <si>
    <t>dieudtx</t>
  </si>
  <si>
    <t>E012486</t>
  </si>
  <si>
    <t>Nguyễn Phước Gia Hưng</t>
  </si>
  <si>
    <t>hungnpg</t>
  </si>
  <si>
    <t>E200392</t>
  </si>
  <si>
    <t>Nguyễn Thụy Thúy Vi</t>
  </si>
  <si>
    <t>vintt2</t>
  </si>
  <si>
    <t>E060019</t>
  </si>
  <si>
    <t>Hồ Thị Mai Trâm</t>
  </si>
  <si>
    <t>tramthm</t>
  </si>
  <si>
    <t>E240101</t>
  </si>
  <si>
    <t>Nguyễn Thị Như Trang</t>
  </si>
  <si>
    <t>trangnhu</t>
  </si>
  <si>
    <t>E240081</t>
  </si>
  <si>
    <t>Hồ Thị Anh Thư</t>
  </si>
  <si>
    <t>thuhta</t>
  </si>
  <si>
    <t>E280145</t>
  </si>
  <si>
    <t>Huỳnh Văn Bản</t>
  </si>
  <si>
    <t>banhv</t>
  </si>
  <si>
    <t>E240053</t>
  </si>
  <si>
    <t>Trần Thị Thanh Hưng</t>
  </si>
  <si>
    <t>hungttt</t>
  </si>
  <si>
    <t>E080161</t>
  </si>
  <si>
    <t>Lê Thị Phương Ly</t>
  </si>
  <si>
    <t>lyltp</t>
  </si>
  <si>
    <t>E012932</t>
  </si>
  <si>
    <t>Nguyễn Thành Định</t>
  </si>
  <si>
    <t>dinhnguyen</t>
  </si>
  <si>
    <t>E280082</t>
  </si>
  <si>
    <t>Lê Thị Thu Hà</t>
  </si>
  <si>
    <t>lethithuha</t>
  </si>
  <si>
    <t>E200188</t>
  </si>
  <si>
    <t>Đỗ Ngọc Sơn</t>
  </si>
  <si>
    <t>doson</t>
  </si>
  <si>
    <t>E040083</t>
  </si>
  <si>
    <t>Nguyễn Văn Vũ</t>
  </si>
  <si>
    <t>vunv</t>
  </si>
  <si>
    <t>E350106</t>
  </si>
  <si>
    <t>Nguyễn Quyết Thiện</t>
  </si>
  <si>
    <t>thiennq1</t>
  </si>
  <si>
    <t>E040477</t>
  </si>
  <si>
    <t>Phạm Thị Ngọc Dung</t>
  </si>
  <si>
    <t>dungptn</t>
  </si>
  <si>
    <t>E040097</t>
  </si>
  <si>
    <t>Nguyễn Thị Thu Hà</t>
  </si>
  <si>
    <t>thuha</t>
  </si>
  <si>
    <t>E350152</t>
  </si>
  <si>
    <t>Võ Thị Ngọc Hà</t>
  </si>
  <si>
    <t>havtn2</t>
  </si>
  <si>
    <t>E280092</t>
  </si>
  <si>
    <t>Phạm Anh Thư</t>
  </si>
  <si>
    <t>thupa</t>
  </si>
  <si>
    <t>E200013</t>
  </si>
  <si>
    <t>Lê Thụy Hồng Giang</t>
  </si>
  <si>
    <t>gianglth</t>
  </si>
  <si>
    <t>E014417</t>
  </si>
  <si>
    <t>Trương Thị Mỹ Chi</t>
  </si>
  <si>
    <t>chittm</t>
  </si>
  <si>
    <t>E010615</t>
  </si>
  <si>
    <t>Nguyễn Thị Mai Phương</t>
  </si>
  <si>
    <t>phuongntm</t>
  </si>
  <si>
    <t>E014392</t>
  </si>
  <si>
    <t>Nguyễn Hoàng Yến</t>
  </si>
  <si>
    <t>yennh2</t>
  </si>
  <si>
    <t>E012894</t>
  </si>
  <si>
    <t>Phạm Quốc Trung</t>
  </si>
  <si>
    <t>trungpq</t>
  </si>
  <si>
    <t>E014675</t>
  </si>
  <si>
    <t>Trương Quang Chánh</t>
  </si>
  <si>
    <t>chanhtq1</t>
  </si>
  <si>
    <t>E011098</t>
  </si>
  <si>
    <t>Phạm Thị Thi</t>
  </si>
  <si>
    <t>thipt</t>
  </si>
  <si>
    <t>E014420</t>
  </si>
  <si>
    <t>Kha Thanh Tuyền</t>
  </si>
  <si>
    <t>tuyenkt</t>
  </si>
  <si>
    <t>E040315</t>
  </si>
  <si>
    <t>Thái Đỗ Minh Nguyệt</t>
  </si>
  <si>
    <t>nguyettdm</t>
  </si>
  <si>
    <t>E200384</t>
  </si>
  <si>
    <t>Vương Hữu Hoàng</t>
  </si>
  <si>
    <t>hoangvh2</t>
  </si>
  <si>
    <t>E014354</t>
  </si>
  <si>
    <t>Nguyễn Hồng Vi</t>
  </si>
  <si>
    <t>vinh1</t>
  </si>
  <si>
    <t>E280115</t>
  </si>
  <si>
    <t>Phan Văn Hùng</t>
  </si>
  <si>
    <t>hungpv</t>
  </si>
  <si>
    <t>E014776</t>
  </si>
  <si>
    <t>Huỳnh Cao Thúy Hằng</t>
  </si>
  <si>
    <t>hanghct</t>
  </si>
  <si>
    <t>E014815</t>
  </si>
  <si>
    <t>Võ Thị Phương Uyên</t>
  </si>
  <si>
    <t>uyenvtp</t>
  </si>
  <si>
    <t>E013824</t>
  </si>
  <si>
    <t>Hoàng Thị Mỷ Linh</t>
  </si>
  <si>
    <t>linhhtm1</t>
  </si>
  <si>
    <t>E140150</t>
  </si>
  <si>
    <t>Đặng Thị Diệu Huyền</t>
  </si>
  <si>
    <t>huyendtd</t>
  </si>
  <si>
    <t>E240118</t>
  </si>
  <si>
    <t>Trần Minh Quang</t>
  </si>
  <si>
    <t>quangtm</t>
  </si>
  <si>
    <t>E060038</t>
  </si>
  <si>
    <t>Nguyễn Văn Minh</t>
  </si>
  <si>
    <t>nvminh</t>
  </si>
  <si>
    <t>E040263</t>
  </si>
  <si>
    <t>Phùng Thị Tình</t>
  </si>
  <si>
    <t>tinhpt1</t>
  </si>
  <si>
    <t>E140184</t>
  </si>
  <si>
    <t>Trần Văn Kiệt</t>
  </si>
  <si>
    <t>kiettv</t>
  </si>
  <si>
    <t>E040439</t>
  </si>
  <si>
    <t>Trần Thu Hà</t>
  </si>
  <si>
    <t>hatt3</t>
  </si>
  <si>
    <t>E010365</t>
  </si>
  <si>
    <t>Huỳnh Thị Thanh Thúy</t>
  </si>
  <si>
    <t>thuyhuynh</t>
  </si>
  <si>
    <t>E040262</t>
  </si>
  <si>
    <t>Phan Thị Việt Vương</t>
  </si>
  <si>
    <t>vuongptv</t>
  </si>
  <si>
    <t>E012176</t>
  </si>
  <si>
    <t>Lê Quang Thiện</t>
  </si>
  <si>
    <t>thienlq</t>
  </si>
  <si>
    <t>E014418</t>
  </si>
  <si>
    <t>Ngô Thị Yến Nhi</t>
  </si>
  <si>
    <t>nhinty3</t>
  </si>
  <si>
    <t>E140015</t>
  </si>
  <si>
    <t>Trần Thị Cẩm Vân</t>
  </si>
  <si>
    <t>vanttc</t>
  </si>
  <si>
    <t>E040428</t>
  </si>
  <si>
    <t>Trần Thị Diệu An</t>
  </si>
  <si>
    <t>anttd1</t>
  </si>
  <si>
    <t>E350105</t>
  </si>
  <si>
    <t>Nguyễn Trung Hậu</t>
  </si>
  <si>
    <t>haunt5</t>
  </si>
  <si>
    <t>E040409</t>
  </si>
  <si>
    <t>Phan Thị Kim Ngân</t>
  </si>
  <si>
    <t>nganptk</t>
  </si>
  <si>
    <t>E040290</t>
  </si>
  <si>
    <t>Võ Linh Giang</t>
  </si>
  <si>
    <t>giangvl</t>
  </si>
  <si>
    <t>E140206</t>
  </si>
  <si>
    <t>Phạm Xuân Tuấn</t>
  </si>
  <si>
    <t>tuanpx1</t>
  </si>
  <si>
    <t>E140084</t>
  </si>
  <si>
    <t>Tống Thị Thanh Thanh</t>
  </si>
  <si>
    <t>thanhthanh</t>
  </si>
  <si>
    <t>E040467</t>
  </si>
  <si>
    <t>Nguyễn Thị Kim Lang</t>
  </si>
  <si>
    <t>langntk</t>
  </si>
  <si>
    <t>E040254</t>
  </si>
  <si>
    <t>Huỳnh Thị Như Quỳnh</t>
  </si>
  <si>
    <t>quynhhtn</t>
  </si>
  <si>
    <t>E280041</t>
  </si>
  <si>
    <t>Trần Đình Khải</t>
  </si>
  <si>
    <t>khaitd</t>
  </si>
  <si>
    <t>E240092</t>
  </si>
  <si>
    <t>Trần Minh Tuấn</t>
  </si>
  <si>
    <t>trantuan</t>
  </si>
  <si>
    <t>E014805</t>
  </si>
  <si>
    <t>Phạm Hữu Châu</t>
  </si>
  <si>
    <t>chauph3</t>
  </si>
  <si>
    <t>E013885</t>
  </si>
  <si>
    <t>hantt2</t>
  </si>
  <si>
    <t>E280066</t>
  </si>
  <si>
    <t>Nguyễn Thị Tý</t>
  </si>
  <si>
    <t>tynt</t>
  </si>
  <si>
    <t>E140099</t>
  </si>
  <si>
    <t>Hồ Quang Huy</t>
  </si>
  <si>
    <t>huyho</t>
  </si>
  <si>
    <t>E150078</t>
  </si>
  <si>
    <t>Phan Thị Thơ</t>
  </si>
  <si>
    <t>thopt</t>
  </si>
  <si>
    <t>E040410</t>
  </si>
  <si>
    <t>Nguyễn Thị Minh Nguyệt</t>
  </si>
  <si>
    <t>nguyetntm2</t>
  </si>
  <si>
    <t>E014818</t>
  </si>
  <si>
    <t>Lê Thị Thu Uyên</t>
  </si>
  <si>
    <t>uyenltt</t>
  </si>
  <si>
    <t>E280105</t>
  </si>
  <si>
    <t>Hồ Ngọc Quỳnh Oanh</t>
  </si>
  <si>
    <t>oanhhnq1</t>
  </si>
  <si>
    <t>E014384</t>
  </si>
  <si>
    <t>Nguyễn Ngọc Hữu</t>
  </si>
  <si>
    <t>huunn</t>
  </si>
  <si>
    <t>E010721</t>
  </si>
  <si>
    <t>Nguyễn Lê Trường An</t>
  </si>
  <si>
    <t>annlt</t>
  </si>
  <si>
    <t>E013834</t>
  </si>
  <si>
    <t>uyennn</t>
  </si>
  <si>
    <t>E014642</t>
  </si>
  <si>
    <t>Sẩm Ngọc Trinh</t>
  </si>
  <si>
    <t>trinhsn</t>
  </si>
  <si>
    <t>E013817</t>
  </si>
  <si>
    <t>yennh1</t>
  </si>
  <si>
    <t>E240070</t>
  </si>
  <si>
    <t>Nguyễn Thị Phương Linh</t>
  </si>
  <si>
    <t>ntplinh</t>
  </si>
  <si>
    <t>E040476</t>
  </si>
  <si>
    <t>Đồng Quốc Đức</t>
  </si>
  <si>
    <t>ducdq</t>
  </si>
  <si>
    <t>E012596</t>
  </si>
  <si>
    <t>Đoàn Nguyễn Thanh Phương</t>
  </si>
  <si>
    <t>phuongdnt</t>
  </si>
  <si>
    <t>E140060</t>
  </si>
  <si>
    <t>Văn Trọng Thể</t>
  </si>
  <si>
    <t>thevt</t>
  </si>
  <si>
    <t>E040359</t>
  </si>
  <si>
    <t>Phạm Thị Lâm Oanh</t>
  </si>
  <si>
    <t>oanhptl1</t>
  </si>
  <si>
    <t>E080129</t>
  </si>
  <si>
    <t>Võ Đức Thắng</t>
  </si>
  <si>
    <t>thangvd1</t>
  </si>
  <si>
    <t>E040122</t>
  </si>
  <si>
    <t>Hoàng Quốc Cường</t>
  </si>
  <si>
    <t>cuonghq</t>
  </si>
  <si>
    <t>E040078</t>
  </si>
  <si>
    <t>Lê Đăng Khánh</t>
  </si>
  <si>
    <t>khanhle</t>
  </si>
  <si>
    <t>ABBANK Nam Đà Nẵng</t>
  </si>
  <si>
    <t>E040017</t>
  </si>
  <si>
    <t>Trần Quốc Hùng</t>
  </si>
  <si>
    <t>hungtq</t>
  </si>
  <si>
    <t>E350218</t>
  </si>
  <si>
    <t>Võ Thị Thanh Minh</t>
  </si>
  <si>
    <t>MINHVTT</t>
  </si>
  <si>
    <t>E140188</t>
  </si>
  <si>
    <t>Huỳnh Thị Minh Hiền</t>
  </si>
  <si>
    <t>hienhtm</t>
  </si>
  <si>
    <t>E040435</t>
  </si>
  <si>
    <t>Nguyễn Thị Ánh Nguyệt</t>
  </si>
  <si>
    <t>nguyetnta1</t>
  </si>
  <si>
    <t>E014641</t>
  </si>
  <si>
    <t>Phan Nguyễn Thành Nhân</t>
  </si>
  <si>
    <t>nhanpnt</t>
  </si>
  <si>
    <t>E040341</t>
  </si>
  <si>
    <t>Trịnh Quốc Anh</t>
  </si>
  <si>
    <t>trinhanh</t>
  </si>
  <si>
    <t>E013239</t>
  </si>
  <si>
    <t>Nguyễn Thị Nhã Khuyên</t>
  </si>
  <si>
    <t>khuyennguyen</t>
  </si>
  <si>
    <t>ABBANK Lê Văn Việt</t>
  </si>
  <si>
    <t>E014814</t>
  </si>
  <si>
    <t>Hoàng Anh Tuấn</t>
  </si>
  <si>
    <t>tuanha2</t>
  </si>
  <si>
    <t>E013909</t>
  </si>
  <si>
    <t>Nguyễn Vũ Huy Đăng</t>
  </si>
  <si>
    <t>dangnvh1</t>
  </si>
  <si>
    <t>E014854</t>
  </si>
  <si>
    <t>Huỳnh Phương Thanh</t>
  </si>
  <si>
    <t>thanhhp</t>
  </si>
  <si>
    <t>ABBANK Gia Định</t>
  </si>
  <si>
    <t>E040327</t>
  </si>
  <si>
    <t>Nguyễn Thị Hoài Xuyên</t>
  </si>
  <si>
    <t>xuyennth</t>
  </si>
  <si>
    <t>E012464</t>
  </si>
  <si>
    <t>Lê Thị Nguyệt</t>
  </si>
  <si>
    <t>nguyetlt</t>
  </si>
  <si>
    <t>E090018</t>
  </si>
  <si>
    <t>Phạm Văn Duyên</t>
  </si>
  <si>
    <t>duyenpv</t>
  </si>
  <si>
    <t>ABBANK Gia Lai</t>
  </si>
  <si>
    <t>E013088</t>
  </si>
  <si>
    <t>Nguyễn Thị Hồng Hạnh</t>
  </si>
  <si>
    <t>thihanh</t>
  </si>
  <si>
    <t>E090031</t>
  </si>
  <si>
    <t>Bùi Thị Mai Loan</t>
  </si>
  <si>
    <t>loanbtm</t>
  </si>
  <si>
    <t>E014481</t>
  </si>
  <si>
    <t>Trần Thanh Xuân</t>
  </si>
  <si>
    <t>xuantt1</t>
  </si>
  <si>
    <t>E014439</t>
  </si>
  <si>
    <t>Nguyễn Thị Duyên</t>
  </si>
  <si>
    <t>duyennt5</t>
  </si>
  <si>
    <t>E090006</t>
  </si>
  <si>
    <t>Nguyễn Thị Ánh Dung</t>
  </si>
  <si>
    <t>dungnta</t>
  </si>
  <si>
    <t>E040267</t>
  </si>
  <si>
    <t>Nguyễn Thị Thúy Ngân</t>
  </si>
  <si>
    <t>nguyenngan</t>
  </si>
  <si>
    <t>E090072</t>
  </si>
  <si>
    <t>Nguyễn Lê Duy Ngọc Hương</t>
  </si>
  <si>
    <t>huongnldn</t>
  </si>
  <si>
    <t>E040496</t>
  </si>
  <si>
    <t>Trương Thị Thu Hiền</t>
  </si>
  <si>
    <t>hienttt7</t>
  </si>
  <si>
    <t>E040128</t>
  </si>
  <si>
    <t>Trần Thị Mai Lê</t>
  </si>
  <si>
    <t>lettm</t>
  </si>
  <si>
    <t>E280076</t>
  </si>
  <si>
    <t>Nguyễn Thị Sâm</t>
  </si>
  <si>
    <t>samnt</t>
  </si>
  <si>
    <t>E014801</t>
  </si>
  <si>
    <t>Nguyễn Hoàng Anh</t>
  </si>
  <si>
    <t>anhnh14</t>
  </si>
  <si>
    <t>E090014</t>
  </si>
  <si>
    <t>Nguyễn Văn Khương</t>
  </si>
  <si>
    <t>khuongnv</t>
  </si>
  <si>
    <t>E090015</t>
  </si>
  <si>
    <t>Lê Hoàng Phong</t>
  </si>
  <si>
    <t>phonglh</t>
  </si>
  <si>
    <t>E013411</t>
  </si>
  <si>
    <t>Hà Mỹ Huyền</t>
  </si>
  <si>
    <t>huyenhm1</t>
  </si>
  <si>
    <t>E200400</t>
  </si>
  <si>
    <t>Trần Phương Nam</t>
  </si>
  <si>
    <t>namtp</t>
  </si>
  <si>
    <t>E280112</t>
  </si>
  <si>
    <t>Huỳnh Thị Thanh Tâm</t>
  </si>
  <si>
    <t>tamhtt1</t>
  </si>
  <si>
    <t>E280125</t>
  </si>
  <si>
    <t>Nguyễn Minh Thành</t>
  </si>
  <si>
    <t>E280062</t>
  </si>
  <si>
    <t>Nguyễn Văn Thơm</t>
  </si>
  <si>
    <t>thomnv</t>
  </si>
  <si>
    <t>E090145</t>
  </si>
  <si>
    <t>Nguyễn Thái Phát</t>
  </si>
  <si>
    <t>phatnt2</t>
  </si>
  <si>
    <t>E280165</t>
  </si>
  <si>
    <t>Nguyễn Thị Mỹ Tâm</t>
  </si>
  <si>
    <t>tamntm4</t>
  </si>
  <si>
    <t>E013962</t>
  </si>
  <si>
    <t>Nguyễn Thị Thủy Tiên</t>
  </si>
  <si>
    <t>tienntt1</t>
  </si>
  <si>
    <t>E080012</t>
  </si>
  <si>
    <t>Lê Thị Lan Anh</t>
  </si>
  <si>
    <t>ltlanh</t>
  </si>
  <si>
    <t>E080007</t>
  </si>
  <si>
    <t>Nguyễn Thị Bích Anh</t>
  </si>
  <si>
    <t>anhntb</t>
  </si>
  <si>
    <t>E080070</t>
  </si>
  <si>
    <t>Phạm Anh Vũ</t>
  </si>
  <si>
    <t>vupa</t>
  </si>
  <si>
    <t>E014712</t>
  </si>
  <si>
    <t>Nguyễn Thụy Nhã Trúc</t>
  </si>
  <si>
    <t>trucntn2</t>
  </si>
  <si>
    <t>E280141</t>
  </si>
  <si>
    <t>Châu Thị Thanh Việt</t>
  </si>
  <si>
    <t>vietctt</t>
  </si>
  <si>
    <t>E200210</t>
  </si>
  <si>
    <t>Nguyễn Thị Thúy Ái</t>
  </si>
  <si>
    <t>aintt</t>
  </si>
  <si>
    <t>E014602</t>
  </si>
  <si>
    <t>Đào Quốc Huy</t>
  </si>
  <si>
    <t>huydq4</t>
  </si>
  <si>
    <t>E014857</t>
  </si>
  <si>
    <t>Nguyễn Thị Ngà</t>
  </si>
  <si>
    <t>ngant14</t>
  </si>
  <si>
    <t>E090005</t>
  </si>
  <si>
    <t>Lâm Thị Mỹ Hòa</t>
  </si>
  <si>
    <t>hoaltm</t>
  </si>
  <si>
    <t>E090040</t>
  </si>
  <si>
    <t>Nguyễn Thị Thúy Hậu</t>
  </si>
  <si>
    <t>hauntt</t>
  </si>
  <si>
    <t>E014335</t>
  </si>
  <si>
    <t>Nguyễn Thị Ngọc Mai</t>
  </si>
  <si>
    <t>maintn4</t>
  </si>
  <si>
    <t>E140190</t>
  </si>
  <si>
    <t>Trần Văn Trung</t>
  </si>
  <si>
    <t>trungtv1</t>
  </si>
  <si>
    <t>E040001</t>
  </si>
  <si>
    <t>Hồ Viết Thái Bình</t>
  </si>
  <si>
    <t>binhhvt</t>
  </si>
  <si>
    <t>E011192</t>
  </si>
  <si>
    <t>Đặng Thị Kiều Hạnh</t>
  </si>
  <si>
    <t>kieuhanh</t>
  </si>
  <si>
    <t>E090155</t>
  </si>
  <si>
    <t>Vũ Tuấn Anh</t>
  </si>
  <si>
    <t>anhvt9</t>
  </si>
  <si>
    <t>E090134</t>
  </si>
  <si>
    <t>Nguyễn Trần Thy Ân</t>
  </si>
  <si>
    <t>anntt1</t>
  </si>
  <si>
    <t>E280009</t>
  </si>
  <si>
    <t>Lâm Bích Khuê</t>
  </si>
  <si>
    <t>khuelb</t>
  </si>
  <si>
    <t>E040213</t>
  </si>
  <si>
    <t>Ngô Văn Tùng</t>
  </si>
  <si>
    <t>tungnv1</t>
  </si>
  <si>
    <t>E140115</t>
  </si>
  <si>
    <t>Nguyễn Thảo Ngân</t>
  </si>
  <si>
    <t>nganthao</t>
  </si>
  <si>
    <t>E140207</t>
  </si>
  <si>
    <t>Nguyễn Thị Cẩm Nhung</t>
  </si>
  <si>
    <t>nhungntc3</t>
  </si>
  <si>
    <t>E080033</t>
  </si>
  <si>
    <t>Nguyễn Thụy Thanh Vân</t>
  </si>
  <si>
    <t>thanhvan</t>
  </si>
  <si>
    <t>E013862</t>
  </si>
  <si>
    <t>Dương Ái Linh</t>
  </si>
  <si>
    <t>linhda</t>
  </si>
  <si>
    <t>E090033</t>
  </si>
  <si>
    <t>Trần Minh Trung</t>
  </si>
  <si>
    <t>trungtm</t>
  </si>
  <si>
    <t>E090024</t>
  </si>
  <si>
    <t>Nguyễn Thị Nghĩa</t>
  </si>
  <si>
    <t>nghiant</t>
  </si>
  <si>
    <t>E014440</t>
  </si>
  <si>
    <t>Nguyễn Mai Trinh</t>
  </si>
  <si>
    <t>trinhnm</t>
  </si>
  <si>
    <t>E090008</t>
  </si>
  <si>
    <t>Huỳnh Thị Lệ Thi</t>
  </si>
  <si>
    <t>thihtl</t>
  </si>
  <si>
    <t>E012850</t>
  </si>
  <si>
    <t>Nguyễn Thị Thu Trang</t>
  </si>
  <si>
    <t>trang.thi</t>
  </si>
  <si>
    <t>E040080</t>
  </si>
  <si>
    <t>Nguyễn Thị Tuyết Nga</t>
  </si>
  <si>
    <t>nganguyen</t>
  </si>
  <si>
    <t>E280079</t>
  </si>
  <si>
    <t>Lê Đỗ Nhật Tâm</t>
  </si>
  <si>
    <t>tamldn</t>
  </si>
  <si>
    <t>E280077</t>
  </si>
  <si>
    <t>Nguyễn Bảo Kim</t>
  </si>
  <si>
    <t>kimnb</t>
  </si>
  <si>
    <t>E090045</t>
  </si>
  <si>
    <t>Đào Văn Ngọc</t>
  </si>
  <si>
    <t>ngocdao</t>
  </si>
  <si>
    <t>E014856</t>
  </si>
  <si>
    <t>Lê Thị Thoa</t>
  </si>
  <si>
    <t>thoalt2</t>
  </si>
  <si>
    <t>E080086</t>
  </si>
  <si>
    <t>Nguyễn Thị Thu Thảo</t>
  </si>
  <si>
    <t>thao.ntt</t>
  </si>
  <si>
    <t>E090039</t>
  </si>
  <si>
    <t>Nguyễn Quốc Đạt</t>
  </si>
  <si>
    <t>datquoc</t>
  </si>
  <si>
    <t>E080031</t>
  </si>
  <si>
    <t>Vũ Thanh Sơn</t>
  </si>
  <si>
    <t>sonvt1</t>
  </si>
  <si>
    <t>E090038</t>
  </si>
  <si>
    <t>Đào Thị Dạ Thu</t>
  </si>
  <si>
    <t>thudtd</t>
  </si>
  <si>
    <t>E080036</t>
  </si>
  <si>
    <t>Tạ Quang Vinh</t>
  </si>
  <si>
    <t>vinhtq</t>
  </si>
  <si>
    <t>E080170</t>
  </si>
  <si>
    <t>Nguyễn Nhật Nghĩa</t>
  </si>
  <si>
    <t>nghiann1</t>
  </si>
  <si>
    <t>E080114</t>
  </si>
  <si>
    <t>Hứa Quỳnh Bình Trâm</t>
  </si>
  <si>
    <t>tramhqb</t>
  </si>
  <si>
    <t>E013846</t>
  </si>
  <si>
    <t>Nguyễn Võ Như Quỳnh</t>
  </si>
  <si>
    <t>quynhnvn</t>
  </si>
  <si>
    <t>E140163</t>
  </si>
  <si>
    <t>Nguyễn Hoài Thư</t>
  </si>
  <si>
    <t>thunh2</t>
  </si>
  <si>
    <t>E090068</t>
  </si>
  <si>
    <t>Tống Thị Kim Luyến</t>
  </si>
  <si>
    <t>luyenttk</t>
  </si>
  <si>
    <t>E090026</t>
  </si>
  <si>
    <t>Nguyễn Thị Sơn Xuân</t>
  </si>
  <si>
    <t>sonxuan</t>
  </si>
  <si>
    <t>E014225</t>
  </si>
  <si>
    <t>Nguyễn Thanh Nguyệt</t>
  </si>
  <si>
    <t>nguyetnt2</t>
  </si>
  <si>
    <t>E140196</t>
  </si>
  <si>
    <t>Hoàng Diễm Thư</t>
  </si>
  <si>
    <t>thuhd</t>
  </si>
  <si>
    <t>E090136</t>
  </si>
  <si>
    <t>Trần Thị Tuyết</t>
  </si>
  <si>
    <t>tuyettt2</t>
  </si>
  <si>
    <t>E090153</t>
  </si>
  <si>
    <t>Trần Thị Hằng Nga</t>
  </si>
  <si>
    <t>ngatth</t>
  </si>
  <si>
    <t>E280016</t>
  </si>
  <si>
    <t>Lê Minh Khánh</t>
  </si>
  <si>
    <t>minhkhanh</t>
  </si>
  <si>
    <t>E280068</t>
  </si>
  <si>
    <t>Trương Tín</t>
  </si>
  <si>
    <t>tintruong1</t>
  </si>
  <si>
    <t>E090116</t>
  </si>
  <si>
    <t>Huỳnh Thị Thảo Nhi</t>
  </si>
  <si>
    <t>nhihtt</t>
  </si>
  <si>
    <t>E090053</t>
  </si>
  <si>
    <t>Nguyễn Tùng Luân</t>
  </si>
  <si>
    <t>luannguyen</t>
  </si>
  <si>
    <t>E080050</t>
  </si>
  <si>
    <t>Nguyễn Thị Tâm Hiếu</t>
  </si>
  <si>
    <t>hieuntt</t>
  </si>
  <si>
    <t>E080158</t>
  </si>
  <si>
    <t>Trần Thị Thùy Linh</t>
  </si>
  <si>
    <t>linhttt1</t>
  </si>
  <si>
    <t>E080164</t>
  </si>
  <si>
    <t>Nguyễn Thanh Ca</t>
  </si>
  <si>
    <t>cant2</t>
  </si>
  <si>
    <t>E090041</t>
  </si>
  <si>
    <t>Nguyễn Tấn Thịnh</t>
  </si>
  <si>
    <t>thinhnt</t>
  </si>
  <si>
    <t>E080105</t>
  </si>
  <si>
    <t>Nguyễn Thị Hương</t>
  </si>
  <si>
    <t>nguyen.huong</t>
  </si>
  <si>
    <t>E010982</t>
  </si>
  <si>
    <t>Bùi Cao Hoàng Ngân</t>
  </si>
  <si>
    <t>nganbch</t>
  </si>
  <si>
    <t>E014260</t>
  </si>
  <si>
    <t>Nguyễn Ngọc Quế Anh</t>
  </si>
  <si>
    <t>anhnnq1</t>
  </si>
  <si>
    <t>E280143</t>
  </si>
  <si>
    <t>Nguyễn Thị Bình</t>
  </si>
  <si>
    <t>binhnt5</t>
  </si>
  <si>
    <t>E080023</t>
  </si>
  <si>
    <t>Nguyễn Trọng Nhân</t>
  </si>
  <si>
    <t>nhannguyen</t>
  </si>
  <si>
    <t>E090066</t>
  </si>
  <si>
    <t>Tăng Vũ Kim Khuê</t>
  </si>
  <si>
    <t>khuetvk</t>
  </si>
  <si>
    <t>E090020</t>
  </si>
  <si>
    <t>Trần Thị Kim Chi</t>
  </si>
  <si>
    <t>chittk</t>
  </si>
  <si>
    <t>E080108</t>
  </si>
  <si>
    <t>Nguyễn Khánh Hải</t>
  </si>
  <si>
    <t>haink</t>
  </si>
  <si>
    <t>E090003</t>
  </si>
  <si>
    <t>Nguyễn Thị Mỹ Linh</t>
  </si>
  <si>
    <t>mylinh</t>
  </si>
  <si>
    <t>E040273</t>
  </si>
  <si>
    <t>Hoàng Thị Dục Nghi</t>
  </si>
  <si>
    <t>nghihtd</t>
  </si>
  <si>
    <t>E040208</t>
  </si>
  <si>
    <t>Mạc Thị Diễm Phúc</t>
  </si>
  <si>
    <t>phucmtd</t>
  </si>
  <si>
    <t>E090097</t>
  </si>
  <si>
    <t>Nguyễn Thị Tuyết Mai</t>
  </si>
  <si>
    <t>nguyenmai</t>
  </si>
  <si>
    <t>E090094</t>
  </si>
  <si>
    <t>Nguyễn Thế Lâm</t>
  </si>
  <si>
    <t>thelam</t>
  </si>
  <si>
    <t>E090077</t>
  </si>
  <si>
    <t>Mai Thị Hương Thoa</t>
  </si>
  <si>
    <t>thoamth</t>
  </si>
  <si>
    <t>E090152</t>
  </si>
  <si>
    <t>Lê Thị Ngọc Vân</t>
  </si>
  <si>
    <t>vanltn</t>
  </si>
  <si>
    <t>E040108</t>
  </si>
  <si>
    <t>Lưu Quốc Tiến</t>
  </si>
  <si>
    <t>tienlq</t>
  </si>
  <si>
    <t>E040488</t>
  </si>
  <si>
    <t>Đỗ Minh Trung</t>
  </si>
  <si>
    <t>trungdm</t>
  </si>
  <si>
    <t>E280150</t>
  </si>
  <si>
    <t>Lê Thị Thúy An</t>
  </si>
  <si>
    <t>anltt</t>
  </si>
  <si>
    <t>E040023</t>
  </si>
  <si>
    <t>Ngô Thị Hằng Nga</t>
  </si>
  <si>
    <t>nganth</t>
  </si>
  <si>
    <t>E040282</t>
  </si>
  <si>
    <t>Đinh Ngọc Tịnh</t>
  </si>
  <si>
    <t>tinhdn</t>
  </si>
  <si>
    <t>E140194</t>
  </si>
  <si>
    <t>Lê Bá Phương Nhi</t>
  </si>
  <si>
    <t>nhilbp</t>
  </si>
  <si>
    <t>E010326</t>
  </si>
  <si>
    <t>Nguyễn Thị Thanh</t>
  </si>
  <si>
    <t>thanhnt</t>
  </si>
  <si>
    <t>E090154</t>
  </si>
  <si>
    <t>Trình Thị Hảo</t>
  </si>
  <si>
    <t>haott1</t>
  </si>
  <si>
    <t>E080030</t>
  </si>
  <si>
    <t>Võ Thanh Nguyên</t>
  </si>
  <si>
    <t>nguyenvo</t>
  </si>
  <si>
    <t>E011402</t>
  </si>
  <si>
    <t>Nguyễn Đức Duy</t>
  </si>
  <si>
    <t>ndduy</t>
  </si>
  <si>
    <t>E011910</t>
  </si>
  <si>
    <t>Nguyễn Cường</t>
  </si>
  <si>
    <t>Cuongn</t>
  </si>
  <si>
    <t>E280118</t>
  </si>
  <si>
    <t>Trần Trâm Anh</t>
  </si>
  <si>
    <t>anhtt1</t>
  </si>
  <si>
    <t>E280097</t>
  </si>
  <si>
    <t>Phan Thị Nhật Anh</t>
  </si>
  <si>
    <t>phananh</t>
  </si>
  <si>
    <t>E140104</t>
  </si>
  <si>
    <t>Nguyễn Thị Hồng Vân</t>
  </si>
  <si>
    <t>van.nth</t>
  </si>
  <si>
    <t>E011023</t>
  </si>
  <si>
    <t>Lê Xuân Hiếu</t>
  </si>
  <si>
    <t>lxhieu</t>
  </si>
  <si>
    <t>E090149</t>
  </si>
  <si>
    <t>Trần Thị Nga</t>
  </si>
  <si>
    <t>ngatt2</t>
  </si>
  <si>
    <t>E090021</t>
  </si>
  <si>
    <t>Trần Khánh</t>
  </si>
  <si>
    <t>khanhtran</t>
  </si>
  <si>
    <t>E090127</t>
  </si>
  <si>
    <t>Nguyễn Thị Thúy</t>
  </si>
  <si>
    <t>thuynt3</t>
  </si>
  <si>
    <t>E090110</t>
  </si>
  <si>
    <t>Tạ Duy Cường</t>
  </si>
  <si>
    <t>cuongtd</t>
  </si>
  <si>
    <t>E011598</t>
  </si>
  <si>
    <t>Nguyễn Việt Cường</t>
  </si>
  <si>
    <t>vietcuong</t>
  </si>
  <si>
    <t>E090088</t>
  </si>
  <si>
    <t>Nguyễn Văn Thật</t>
  </si>
  <si>
    <t>thatnv</t>
  </si>
  <si>
    <t>E010704</t>
  </si>
  <si>
    <t>Mai Thanh Diệp</t>
  </si>
  <si>
    <t>diepmt</t>
  </si>
  <si>
    <t>E080147</t>
  </si>
  <si>
    <t>Mai Thị Oanh</t>
  </si>
  <si>
    <t>oanhmt</t>
  </si>
  <si>
    <t>E090144</t>
  </si>
  <si>
    <t>thanhnt2</t>
  </si>
  <si>
    <t>E090019</t>
  </si>
  <si>
    <t>Nguyễn Lê Hướng</t>
  </si>
  <si>
    <t>huongnl</t>
  </si>
  <si>
    <t>E040027</t>
  </si>
  <si>
    <t>Nguyễn Tuấn Ngọc</t>
  </si>
  <si>
    <t>tuanngoc</t>
  </si>
  <si>
    <t>E040077</t>
  </si>
  <si>
    <t>Nguyễn Thanh Huân</t>
  </si>
  <si>
    <t>huannt</t>
  </si>
  <si>
    <t>E040502</t>
  </si>
  <si>
    <t>Hoàng Thị Phương Lan</t>
  </si>
  <si>
    <t>lanhtp</t>
  </si>
  <si>
    <t>E090130</t>
  </si>
  <si>
    <t>Trần Thị Ly Ly</t>
  </si>
  <si>
    <t>lyttl</t>
  </si>
  <si>
    <t>E140122</t>
  </si>
  <si>
    <t>Nguyễn Văn Tiến</t>
  </si>
  <si>
    <t>tiennv1</t>
  </si>
  <si>
    <t>E140198</t>
  </si>
  <si>
    <t>Nguyễn Thanh Nghĩa</t>
  </si>
  <si>
    <t>nghiant8</t>
  </si>
  <si>
    <t>E090023</t>
  </si>
  <si>
    <t>Trần Quang Hiếu</t>
  </si>
  <si>
    <t>hieutq</t>
  </si>
  <si>
    <t>E080051</t>
  </si>
  <si>
    <t>Lương Thị Thu Huệ</t>
  </si>
  <si>
    <t>hueltt</t>
  </si>
  <si>
    <t>E080090</t>
  </si>
  <si>
    <t>Phạm Lê Thùy Vi</t>
  </si>
  <si>
    <t>viplt</t>
  </si>
  <si>
    <t>E014855</t>
  </si>
  <si>
    <t>Huỳnh La Thanh Nhi</t>
  </si>
  <si>
    <t>nhihlt</t>
  </si>
  <si>
    <t>E040346</t>
  </si>
  <si>
    <t>Nguyễn Thị Bích Trâm</t>
  </si>
  <si>
    <t>trambich</t>
  </si>
  <si>
    <t>E090138</t>
  </si>
  <si>
    <t>Nguyễn Thị Mỹ Vân</t>
  </si>
  <si>
    <t>vanntm1</t>
  </si>
  <si>
    <t>E080165</t>
  </si>
  <si>
    <t>Võ Duy Luân</t>
  </si>
  <si>
    <t>luanvd</t>
  </si>
  <si>
    <t>E040217</t>
  </si>
  <si>
    <t>Nguyễn Bá Vương</t>
  </si>
  <si>
    <t>vuongnb</t>
  </si>
  <si>
    <t>E080111</t>
  </si>
  <si>
    <t>Trần Như Soan</t>
  </si>
  <si>
    <t>soantn</t>
  </si>
  <si>
    <t>E280090</t>
  </si>
  <si>
    <t>Trần Văn Nam</t>
  </si>
  <si>
    <t>namtv</t>
  </si>
  <si>
    <t>E014542</t>
  </si>
  <si>
    <t>Trà Nhật Trường</t>
  </si>
  <si>
    <t>truongtn2</t>
  </si>
  <si>
    <t>E090100</t>
  </si>
  <si>
    <t>Trần Thị Phương Thảo</t>
  </si>
  <si>
    <t>ttp.thao</t>
  </si>
  <si>
    <t>E090056</t>
  </si>
  <si>
    <t>Lê Hữu Giàu</t>
  </si>
  <si>
    <t>giaulh</t>
  </si>
  <si>
    <t>E090099</t>
  </si>
  <si>
    <t>Nguyễn Ngọc Khánh</t>
  </si>
  <si>
    <t>khanhnn</t>
  </si>
  <si>
    <t>E040280</t>
  </si>
  <si>
    <t>Phạm Duy Tùng</t>
  </si>
  <si>
    <t>tungpd</t>
  </si>
  <si>
    <t>E080159</t>
  </si>
  <si>
    <t>Nguyễn Hồ Ngọc Hân</t>
  </si>
  <si>
    <t>hannhn</t>
  </si>
  <si>
    <t>E090050</t>
  </si>
  <si>
    <t>Trần Thị Minh Hiền</t>
  </si>
  <si>
    <t>hienttm</t>
  </si>
  <si>
    <t>E040278</t>
  </si>
  <si>
    <t>Nguyễn Hữu Hướng</t>
  </si>
  <si>
    <t>huongnh</t>
  </si>
  <si>
    <t>E140185</t>
  </si>
  <si>
    <t>Lê Thị Xuân Cung</t>
  </si>
  <si>
    <t>cungltx</t>
  </si>
  <si>
    <t>E200274</t>
  </si>
  <si>
    <t>Nguyễn Ngọc Thanh Thủy</t>
  </si>
  <si>
    <t>thuynnt</t>
  </si>
  <si>
    <t>E280054</t>
  </si>
  <si>
    <t>Nguyễn Hùng Vương</t>
  </si>
  <si>
    <t>vuongnh</t>
  </si>
  <si>
    <t>E040068</t>
  </si>
  <si>
    <t>Phan Thị Thanh Hiền</t>
  </si>
  <si>
    <t>hienthanh</t>
  </si>
  <si>
    <t>E014033</t>
  </si>
  <si>
    <t>Phạm Huế Phương</t>
  </si>
  <si>
    <t>phuongph</t>
  </si>
  <si>
    <t>E200350</t>
  </si>
  <si>
    <t>Thái Thị Tú Anh</t>
  </si>
  <si>
    <t>anhttt4</t>
  </si>
  <si>
    <t>E040475</t>
  </si>
  <si>
    <t>Phan Phước Tân</t>
  </si>
  <si>
    <t>tanpp</t>
  </si>
  <si>
    <t>E090125</t>
  </si>
  <si>
    <t>Lê Kiều My</t>
  </si>
  <si>
    <t>mylk</t>
  </si>
  <si>
    <t>E014785</t>
  </si>
  <si>
    <t>Đới Sỹ Hoàng Anh</t>
  </si>
  <si>
    <t>anhdsh</t>
  </si>
  <si>
    <t>E240109</t>
  </si>
  <si>
    <t>Lê Thị Hiền</t>
  </si>
  <si>
    <t>hienlt1</t>
  </si>
  <si>
    <t>E040110</t>
  </si>
  <si>
    <t>Lê Thị Hòa</t>
  </si>
  <si>
    <t>lehoa</t>
  </si>
  <si>
    <t>E040481</t>
  </si>
  <si>
    <t>Trần Quý Bảo Ly</t>
  </si>
  <si>
    <t>lytqb</t>
  </si>
  <si>
    <t>E040032</t>
  </si>
  <si>
    <t>Nguyễn Tiểu Phượng</t>
  </si>
  <si>
    <t>phuongnt</t>
  </si>
  <si>
    <t>E280167</t>
  </si>
  <si>
    <t>Võ Thị Huyền Trang</t>
  </si>
  <si>
    <t>trangvth5</t>
  </si>
  <si>
    <t>E010594</t>
  </si>
  <si>
    <t>Nguyễn Thu Hậu</t>
  </si>
  <si>
    <t>haunt</t>
  </si>
  <si>
    <t>E040015</t>
  </si>
  <si>
    <t>Nguyễn Văn Hùng</t>
  </si>
  <si>
    <t>vanhung</t>
  </si>
  <si>
    <t>E080168</t>
  </si>
  <si>
    <t>Trần Phương Nhật Hạ</t>
  </si>
  <si>
    <t>hatpn</t>
  </si>
  <si>
    <t>E090064</t>
  </si>
  <si>
    <t>Huỳnh Thị Tuyết</t>
  </si>
  <si>
    <t>tuyetht</t>
  </si>
  <si>
    <t>E040071</t>
  </si>
  <si>
    <t>Phan Thị Thanh Hương</t>
  </si>
  <si>
    <t>huongphan</t>
  </si>
  <si>
    <t>E040268</t>
  </si>
  <si>
    <t>Nguyễn Đăng Mỹ Duyên</t>
  </si>
  <si>
    <t>duyenndm</t>
  </si>
  <si>
    <t>E014295</t>
  </si>
  <si>
    <t>Trần Nhật Luân</t>
  </si>
  <si>
    <t>luantn</t>
  </si>
  <si>
    <t>E090147</t>
  </si>
  <si>
    <t>La Việt Quốc</t>
  </si>
  <si>
    <t>quoclv</t>
  </si>
  <si>
    <t>E014288</t>
  </si>
  <si>
    <t>Trần Thị Khánh Linh</t>
  </si>
  <si>
    <t>linhttk</t>
  </si>
  <si>
    <t>E013878</t>
  </si>
  <si>
    <t>Nguyễn Hoàng Quyền</t>
  </si>
  <si>
    <t>quyennh</t>
  </si>
  <si>
    <t>E014852</t>
  </si>
  <si>
    <t>Võ Như Ý</t>
  </si>
  <si>
    <t>yvn</t>
  </si>
  <si>
    <t>E090009</t>
  </si>
  <si>
    <t>Lê Thị Bích Vân</t>
  </si>
  <si>
    <t>vanltb</t>
  </si>
  <si>
    <t>E150166</t>
  </si>
  <si>
    <t>phuongthaont</t>
  </si>
  <si>
    <t>E280164</t>
  </si>
  <si>
    <t>Huỳnh Văn Chính</t>
  </si>
  <si>
    <t>chinhhv2</t>
  </si>
  <si>
    <t>E013908</t>
  </si>
  <si>
    <t>Nguyễn Thị Hương Ly</t>
  </si>
  <si>
    <t>lynth1</t>
  </si>
  <si>
    <t>E013505</t>
  </si>
  <si>
    <t>Phạm Võ Gia Tiên</t>
  </si>
  <si>
    <t>tienpvg</t>
  </si>
  <si>
    <t>E090029</t>
  </si>
  <si>
    <t>Võ Thị Diệu Hiền</t>
  </si>
  <si>
    <t>hienvtd</t>
  </si>
  <si>
    <t>E014678</t>
  </si>
  <si>
    <t>Đào Thị Thủy</t>
  </si>
  <si>
    <t>thuydt7</t>
  </si>
  <si>
    <t>E040170</t>
  </si>
  <si>
    <t>Lê Nguyễn Chánh Tín</t>
  </si>
  <si>
    <t>tinlnc</t>
  </si>
  <si>
    <t>E040029</t>
  </si>
  <si>
    <t>Nguyễn Minh Nhật</t>
  </si>
  <si>
    <t>minhnhat</t>
  </si>
  <si>
    <t>E040212</t>
  </si>
  <si>
    <t>Lê Thị Huyền Vy</t>
  </si>
  <si>
    <t>vylth</t>
  </si>
  <si>
    <t>E010571</t>
  </si>
  <si>
    <t>Phan Bửu Tùng</t>
  </si>
  <si>
    <t>tungpb</t>
  </si>
  <si>
    <t>E200393</t>
  </si>
  <si>
    <t>Trần Đoàn Khánh Ly</t>
  </si>
  <si>
    <t>lytdk</t>
  </si>
  <si>
    <t>E040328</t>
  </si>
  <si>
    <t>Nguyễn Cao Nhân</t>
  </si>
  <si>
    <t>nhannc</t>
  </si>
  <si>
    <t>E014831</t>
  </si>
  <si>
    <t>Lê Hoàng Kha</t>
  </si>
  <si>
    <t>khalh</t>
  </si>
  <si>
    <t>E040407</t>
  </si>
  <si>
    <t>Trần Ngọc Kim Hoàng</t>
  </si>
  <si>
    <t>hoangtnk</t>
  </si>
  <si>
    <t>E280148</t>
  </si>
  <si>
    <t>Nguyễn Hà Vy</t>
  </si>
  <si>
    <t>vynh1</t>
  </si>
  <si>
    <t>E080136</t>
  </si>
  <si>
    <t>Trần Minh Phương Uyên</t>
  </si>
  <si>
    <t>uyentmp</t>
  </si>
  <si>
    <t>E080145</t>
  </si>
  <si>
    <t>Sử Xuân Nguyên</t>
  </si>
  <si>
    <t>nguyensx</t>
  </si>
  <si>
    <t>E080065</t>
  </si>
  <si>
    <t>Lương Khánh Sơn</t>
  </si>
  <si>
    <t>sonlk1</t>
  </si>
  <si>
    <t>E014840</t>
  </si>
  <si>
    <t>Huỳnh Thị Mỹ Kim</t>
  </si>
  <si>
    <t>kimhtm</t>
  </si>
  <si>
    <t>E040462</t>
  </si>
  <si>
    <t>Lê Thụy Ý</t>
  </si>
  <si>
    <t>ylt</t>
  </si>
  <si>
    <t>E040269</t>
  </si>
  <si>
    <t>Đinh Thị Thu Uyên</t>
  </si>
  <si>
    <t>uyendinh</t>
  </si>
  <si>
    <t>E014766</t>
  </si>
  <si>
    <t>Nguyễn Thị Hồng Ngọc</t>
  </si>
  <si>
    <t>ngocnth9</t>
  </si>
  <si>
    <t>E140181</t>
  </si>
  <si>
    <t>Nguyễn Thị Mỹ Huyền</t>
  </si>
  <si>
    <t>huyenntm</t>
  </si>
  <si>
    <t>E014566</t>
  </si>
  <si>
    <t>Nguyễn Phú Sang</t>
  </si>
  <si>
    <t>sangnp2</t>
  </si>
  <si>
    <t>E040500</t>
  </si>
  <si>
    <t>Lê Thị Mỹ Hường</t>
  </si>
  <si>
    <t>huongltm5</t>
  </si>
  <si>
    <t>E012740</t>
  </si>
  <si>
    <t>Đoàn Việt Hùng</t>
  </si>
  <si>
    <t>doanhung</t>
  </si>
  <si>
    <t>E090028</t>
  </si>
  <si>
    <t>Đặng Thị Phúc</t>
  </si>
  <si>
    <t>phucdt</t>
  </si>
  <si>
    <t>E040499</t>
  </si>
  <si>
    <t>Cái Thị Thu Hường</t>
  </si>
  <si>
    <t>huongctt</t>
  </si>
  <si>
    <t>E040308</t>
  </si>
  <si>
    <t>Nguyễn Uyên Nhi</t>
  </si>
  <si>
    <t>nhinu</t>
  </si>
  <si>
    <t>E040256</t>
  </si>
  <si>
    <t>Đỗ Thị Tuyết Nhung</t>
  </si>
  <si>
    <t>nhungdtt</t>
  </si>
  <si>
    <t>E013922</t>
  </si>
  <si>
    <t>Trần Thị Ánh Tuyền</t>
  </si>
  <si>
    <t>tuyentta</t>
  </si>
  <si>
    <t>E040196</t>
  </si>
  <si>
    <t>Đinh Nhị</t>
  </si>
  <si>
    <t>nhid</t>
  </si>
  <si>
    <t>E280135</t>
  </si>
  <si>
    <t>Nguyễn Lê Thanh Trà</t>
  </si>
  <si>
    <t>tranlt</t>
  </si>
  <si>
    <t>E040305</t>
  </si>
  <si>
    <t>Thái Thị Xoan</t>
  </si>
  <si>
    <t>xoantt</t>
  </si>
  <si>
    <t>E014540</t>
  </si>
  <si>
    <t>Lâm Bá Du</t>
  </si>
  <si>
    <t>dulb</t>
  </si>
  <si>
    <t>E080052</t>
  </si>
  <si>
    <t>Nguyễn Thị Thúy Hồng</t>
  </si>
  <si>
    <t>thuyhong</t>
  </si>
  <si>
    <t>E080174</t>
  </si>
  <si>
    <t>Võ Nhật Giang</t>
  </si>
  <si>
    <t>giangvn</t>
  </si>
  <si>
    <t>E240080</t>
  </si>
  <si>
    <t>Nguyễn Chí Bình</t>
  </si>
  <si>
    <t>binhnc</t>
  </si>
  <si>
    <t>E080053</t>
  </si>
  <si>
    <t>Nguyễn Thị Lê Dung</t>
  </si>
  <si>
    <t>dungntl</t>
  </si>
  <si>
    <t>E200071</t>
  </si>
  <si>
    <t>Nguyễn Thanh Khiết</t>
  </si>
  <si>
    <t>khietnt</t>
  </si>
  <si>
    <t>E014809</t>
  </si>
  <si>
    <t>Trần Thanh Phong</t>
  </si>
  <si>
    <t>phongtt3</t>
  </si>
  <si>
    <t>E280156</t>
  </si>
  <si>
    <t>Dư Thị Kiều Quí</t>
  </si>
  <si>
    <t>quidtk</t>
  </si>
  <si>
    <t>E040469</t>
  </si>
  <si>
    <t>Nguyễn Thị Linh Thùy</t>
  </si>
  <si>
    <t>thuyntl2</t>
  </si>
  <si>
    <t>E013985</t>
  </si>
  <si>
    <t>Huỳnh Thị Tuyết Nhi</t>
  </si>
  <si>
    <t>Nhihtt1</t>
  </si>
  <si>
    <t>E040295</t>
  </si>
  <si>
    <t>Lê Thị Thanh Tình</t>
  </si>
  <si>
    <t>tinhle</t>
  </si>
  <si>
    <t>E040405</t>
  </si>
  <si>
    <t>Hồ Thị Lan Anh</t>
  </si>
  <si>
    <t>anhhtl</t>
  </si>
  <si>
    <t>E011175</t>
  </si>
  <si>
    <t>Nguyễn Thị Thu Sa</t>
  </si>
  <si>
    <t>santt</t>
  </si>
  <si>
    <t>E140133</t>
  </si>
  <si>
    <t>Lê Thị Bích</t>
  </si>
  <si>
    <t>bichlt</t>
  </si>
  <si>
    <t>E011758</t>
  </si>
  <si>
    <t>Trần Thế Quang</t>
  </si>
  <si>
    <t>quangtt</t>
  </si>
  <si>
    <t>E200344</t>
  </si>
  <si>
    <t>Nguyễn Huỳnh Minh Thư</t>
  </si>
  <si>
    <t>thunhm1</t>
  </si>
  <si>
    <t>E090032</t>
  </si>
  <si>
    <t>Trần Anh Tuấn</t>
  </si>
  <si>
    <t>anhtuan</t>
  </si>
  <si>
    <t>E014663</t>
  </si>
  <si>
    <t>Trần Hữu Đạt</t>
  </si>
  <si>
    <t>datth2</t>
  </si>
  <si>
    <t>E240110</t>
  </si>
  <si>
    <t>Nguyễn Thị Hải Yến</t>
  </si>
  <si>
    <t>yennth3</t>
  </si>
  <si>
    <t>E040211</t>
  </si>
  <si>
    <t>Trần Thị Minh Luận</t>
  </si>
  <si>
    <t>luanttm</t>
  </si>
  <si>
    <t>E090075</t>
  </si>
  <si>
    <t>Phan Thị Mỹ Hằng</t>
  </si>
  <si>
    <t>hangptm</t>
  </si>
  <si>
    <t>E280005</t>
  </si>
  <si>
    <t>Phan Trung Thứ</t>
  </si>
  <si>
    <t>thupt</t>
  </si>
  <si>
    <t>E040325</t>
  </si>
  <si>
    <t>Nguyễn Hữu Dynh</t>
  </si>
  <si>
    <t>dynhnh</t>
  </si>
  <si>
    <t>E011509</t>
  </si>
  <si>
    <t>Phạm Vũ Bảo Nguyên</t>
  </si>
  <si>
    <t>nguyenpvb</t>
  </si>
  <si>
    <t>E240096</t>
  </si>
  <si>
    <t>Phạm Văn Hòa</t>
  </si>
  <si>
    <t>hoapv</t>
  </si>
  <si>
    <t>E040392</t>
  </si>
  <si>
    <t>Phạm Phương Uyên</t>
  </si>
  <si>
    <t>uyenpp2</t>
  </si>
  <si>
    <t>E040002</t>
  </si>
  <si>
    <t>Lê Thị Hoà Bình</t>
  </si>
  <si>
    <t>binhlth</t>
  </si>
  <si>
    <t>E140148</t>
  </si>
  <si>
    <t>Nguyễn Thị Như Hồng</t>
  </si>
  <si>
    <t>hongntn1</t>
  </si>
  <si>
    <t>E040291</t>
  </si>
  <si>
    <t>Doãn Lê Thanh Tú</t>
  </si>
  <si>
    <t>tudlt</t>
  </si>
  <si>
    <t>E280119</t>
  </si>
  <si>
    <t>Trương Thị Mỹ Hạnh</t>
  </si>
  <si>
    <t>hanhttm1</t>
  </si>
  <si>
    <t>E040422</t>
  </si>
  <si>
    <t>Nguyễn Hoàng Tuấn</t>
  </si>
  <si>
    <t>tuannh1</t>
  </si>
  <si>
    <t>E014778</t>
  </si>
  <si>
    <t>Trần Lê Hoài My</t>
  </si>
  <si>
    <t>mytlh</t>
  </si>
  <si>
    <t>E280153</t>
  </si>
  <si>
    <t>Đỗ Thị Ngọc Phúc</t>
  </si>
  <si>
    <t>phucdtn</t>
  </si>
  <si>
    <t>E040139</t>
  </si>
  <si>
    <t>Trịnh Thị Minh Nghĩa</t>
  </si>
  <si>
    <t>nghiattm</t>
  </si>
  <si>
    <t>E080017</t>
  </si>
  <si>
    <t>Lê Thị Ngọc Hiền</t>
  </si>
  <si>
    <t>hienltn</t>
  </si>
  <si>
    <t>E080166</t>
  </si>
  <si>
    <t>Phan Tuấn Anh</t>
  </si>
  <si>
    <t>anhpt9</t>
  </si>
  <si>
    <t>E080106</t>
  </si>
  <si>
    <t>Đỗ Thị Phương Thùy</t>
  </si>
  <si>
    <t>dtpthuy</t>
  </si>
  <si>
    <t>E014636</t>
  </si>
  <si>
    <t>Huỳnh Thị Ngọc Thúy</t>
  </si>
  <si>
    <t>thuyhtn</t>
  </si>
  <si>
    <t>E080109</t>
  </si>
  <si>
    <t>Nguyễn Thành Tuyết Như</t>
  </si>
  <si>
    <t>nhuntt</t>
  </si>
  <si>
    <t>E040073</t>
  </si>
  <si>
    <t>Đặng Vũ Ngọc</t>
  </si>
  <si>
    <t>ngocdang</t>
  </si>
  <si>
    <t>E012619</t>
  </si>
  <si>
    <t>Nguyễn Ngọc Thơ</t>
  </si>
  <si>
    <t>thonn</t>
  </si>
  <si>
    <t>E014107</t>
  </si>
  <si>
    <t>Võ Thị Kim Xuân</t>
  </si>
  <si>
    <t>xuanvtk</t>
  </si>
  <si>
    <t>E013187</t>
  </si>
  <si>
    <t>Nguyễn Hoàng Trúc Anh</t>
  </si>
  <si>
    <t>anhnht2</t>
  </si>
  <si>
    <t>E014745</t>
  </si>
  <si>
    <t>Dương Đại Phát</t>
  </si>
  <si>
    <t>phatdd</t>
  </si>
  <si>
    <t>E140136</t>
  </si>
  <si>
    <t>Nguyễn Thị Nhật Linh</t>
  </si>
  <si>
    <t>linhntn1</t>
  </si>
  <si>
    <t>E014694</t>
  </si>
  <si>
    <t>Trần Ngọc Nhân</t>
  </si>
  <si>
    <t>nhantn2</t>
  </si>
  <si>
    <t>E014702</t>
  </si>
  <si>
    <t>Nguyễn Gia Quốc Nhật</t>
  </si>
  <si>
    <t>nhatngq</t>
  </si>
  <si>
    <t>E090148</t>
  </si>
  <si>
    <t>Lê Quốc Duy</t>
  </si>
  <si>
    <t>duylq1</t>
  </si>
  <si>
    <t>E280075</t>
  </si>
  <si>
    <t>Lý Ái Thảo</t>
  </si>
  <si>
    <t>aithao</t>
  </si>
  <si>
    <t>E280163</t>
  </si>
  <si>
    <t>Tô Trần Thị Thúy</t>
  </si>
  <si>
    <t>thuyttt8</t>
  </si>
  <si>
    <t>E040117</t>
  </si>
  <si>
    <t>Võ Xuân Hoàn</t>
  </si>
  <si>
    <t>hoanvx</t>
  </si>
  <si>
    <t>E280106</t>
  </si>
  <si>
    <t>Nguyễn Thị Trường Giang</t>
  </si>
  <si>
    <t>nttgiang</t>
  </si>
  <si>
    <t>E040154</t>
  </si>
  <si>
    <t>Huỳnh Thuý Linh</t>
  </si>
  <si>
    <t>linhht1</t>
  </si>
  <si>
    <t>E240072</t>
  </si>
  <si>
    <t>Nguyễn Thu Thảo</t>
  </si>
  <si>
    <t>nguyenthuthao</t>
  </si>
  <si>
    <t>E010900</t>
  </si>
  <si>
    <t>Bùi Thúc Định</t>
  </si>
  <si>
    <t>dinhbui</t>
  </si>
  <si>
    <t>E040493</t>
  </si>
  <si>
    <t>Lưu Vũ Huy</t>
  </si>
  <si>
    <t>huylv2</t>
  </si>
  <si>
    <t>E200162</t>
  </si>
  <si>
    <t>Dương Công Lênh</t>
  </si>
  <si>
    <t>lenhdc</t>
  </si>
  <si>
    <t>E240087</t>
  </si>
  <si>
    <t>Bùi Thị Thanh Nhàn</t>
  </si>
  <si>
    <t>bttnhan</t>
  </si>
  <si>
    <t>E013804</t>
  </si>
  <si>
    <t>Ngô Thị Thanh Nga</t>
  </si>
  <si>
    <t>ngantt1</t>
  </si>
  <si>
    <t>E200365</t>
  </si>
  <si>
    <t>Trương Thị Mỹ Hiệp</t>
  </si>
  <si>
    <t>hiepttm</t>
  </si>
  <si>
    <t>E200396</t>
  </si>
  <si>
    <t>Trần Thùy Trúc Khuê</t>
  </si>
  <si>
    <t>khuettt</t>
  </si>
  <si>
    <t>E014347</t>
  </si>
  <si>
    <t>Đinh Nhật Hoàng</t>
  </si>
  <si>
    <t>hoangdn</t>
  </si>
  <si>
    <t>E080091</t>
  </si>
  <si>
    <t>Lê Thị Ngọc Thanh</t>
  </si>
  <si>
    <t>thanhltn</t>
  </si>
  <si>
    <t>E240059</t>
  </si>
  <si>
    <t>Hồ Ngọc Nhân</t>
  </si>
  <si>
    <t>nhanhn</t>
  </si>
  <si>
    <t>E014786</t>
  </si>
  <si>
    <t>Nguyễn Hữu Hiệp</t>
  </si>
  <si>
    <t>hiepnh2</t>
  </si>
  <si>
    <t>E200200</t>
  </si>
  <si>
    <t>Thiêm Quế Anh</t>
  </si>
  <si>
    <t>anhtq</t>
  </si>
  <si>
    <t>E010574</t>
  </si>
  <si>
    <t>Vũ Thị Thu Giang</t>
  </si>
  <si>
    <t>giangvtt</t>
  </si>
  <si>
    <t>E014409</t>
  </si>
  <si>
    <t>huongntt10</t>
  </si>
  <si>
    <t>E014180</t>
  </si>
  <si>
    <t>Nguyễn Thanh Thảo</t>
  </si>
  <si>
    <t>thaont3</t>
  </si>
  <si>
    <t>E240113</t>
  </si>
  <si>
    <t>Nguyễn Hữu Minh</t>
  </si>
  <si>
    <t>minhnh1</t>
  </si>
  <si>
    <t>E140121</t>
  </si>
  <si>
    <t>Lê Thị Ngọc Nhi</t>
  </si>
  <si>
    <t>nhiltn</t>
  </si>
  <si>
    <t>E140145</t>
  </si>
  <si>
    <t>Võ Do</t>
  </si>
  <si>
    <t>dov</t>
  </si>
  <si>
    <t>E140001</t>
  </si>
  <si>
    <t>Phạm Thị Minh Thư</t>
  </si>
  <si>
    <t>thuptm</t>
  </si>
  <si>
    <t>E140100</t>
  </si>
  <si>
    <t>Nguyễn Văn Đức</t>
  </si>
  <si>
    <t>vanduc</t>
  </si>
  <si>
    <t>E010902</t>
  </si>
  <si>
    <t>Nguyễn Thanh Danh</t>
  </si>
  <si>
    <t>danhnt</t>
  </si>
  <si>
    <t>E011016</t>
  </si>
  <si>
    <t>Trần Huy Vũ</t>
  </si>
  <si>
    <t>vutran</t>
  </si>
  <si>
    <t>E014599</t>
  </si>
  <si>
    <t>Nguyễn Ngọc Minh Tuyền</t>
  </si>
  <si>
    <t>tuyennnm</t>
  </si>
  <si>
    <t>E240050</t>
  </si>
  <si>
    <t>Văn Hoàng Yến Nhi</t>
  </si>
  <si>
    <t>nhivhy</t>
  </si>
  <si>
    <t>E014832</t>
  </si>
  <si>
    <t>Trần Đào Anh Kiệt</t>
  </si>
  <si>
    <t>kiettda</t>
  </si>
  <si>
    <t>E012826</t>
  </si>
  <si>
    <t>Nguyễn Thị Nhã Khuyến</t>
  </si>
  <si>
    <t>khuyenntn</t>
  </si>
  <si>
    <t>E080169</t>
  </si>
  <si>
    <t>kieuntt1</t>
  </si>
  <si>
    <t>E014698</t>
  </si>
  <si>
    <t>Trần Phạm Hồng Duyên</t>
  </si>
  <si>
    <t>duyentph</t>
  </si>
  <si>
    <t>E014571</t>
  </si>
  <si>
    <t>Phạm Anh Đào</t>
  </si>
  <si>
    <t>daopa</t>
  </si>
  <si>
    <t>E014308</t>
  </si>
  <si>
    <t>Châu Thị Mỹ Liễu</t>
  </si>
  <si>
    <t>lieuctm</t>
  </si>
  <si>
    <t>E014081</t>
  </si>
  <si>
    <t>Dương Thị Trà My</t>
  </si>
  <si>
    <t>mydtt1</t>
  </si>
  <si>
    <t>E014710</t>
  </si>
  <si>
    <t>Nguyễn Bá Cường</t>
  </si>
  <si>
    <t>cuongnb2</t>
  </si>
  <si>
    <t>E012351</t>
  </si>
  <si>
    <t>Nguyễn Minh Dương</t>
  </si>
  <si>
    <t>duongnm</t>
  </si>
  <si>
    <t>E013756</t>
  </si>
  <si>
    <t>Nguyễn Ngọc Thiên Nhi</t>
  </si>
  <si>
    <t>nhinnt</t>
  </si>
  <si>
    <t>E280081</t>
  </si>
  <si>
    <t>Lưu Quốc Việt</t>
  </si>
  <si>
    <t>vietluu</t>
  </si>
  <si>
    <t>E200357</t>
  </si>
  <si>
    <t>Lê Bùi Khánh Nhi</t>
  </si>
  <si>
    <t>nhilbk1</t>
  </si>
  <si>
    <t>E013473</t>
  </si>
  <si>
    <t>Trần Bảo Ngọc</t>
  </si>
  <si>
    <t>tbngoc</t>
  </si>
  <si>
    <t>E014604</t>
  </si>
  <si>
    <t>Hồ Lê Đắc Huy</t>
  </si>
  <si>
    <t>huyhld</t>
  </si>
  <si>
    <t>E080094</t>
  </si>
  <si>
    <t>Nguyễn Công Huân</t>
  </si>
  <si>
    <t>huannguyen</t>
  </si>
  <si>
    <t>E014117</t>
  </si>
  <si>
    <t>Mai Anh Tuấn</t>
  </si>
  <si>
    <t>tuanma</t>
  </si>
  <si>
    <t>E014614</t>
  </si>
  <si>
    <t>Lê Thị Cẩm Giang</t>
  </si>
  <si>
    <t>giangltc</t>
  </si>
  <si>
    <t>E014603</t>
  </si>
  <si>
    <t>Đỗ Thị Trà Vi</t>
  </si>
  <si>
    <t>vidtt1</t>
  </si>
  <si>
    <t>E014755</t>
  </si>
  <si>
    <t>Hoàng Hoài Thanh</t>
  </si>
  <si>
    <t>thanhhh1</t>
  </si>
  <si>
    <t>E014746</t>
  </si>
  <si>
    <t>Phạm Thị Mỹ Nhung</t>
  </si>
  <si>
    <t>nhungptm</t>
  </si>
  <si>
    <t>E040306</t>
  </si>
  <si>
    <t>Võ Thị Ái Lan</t>
  </si>
  <si>
    <t>lanvta</t>
  </si>
  <si>
    <t>E240071</t>
  </si>
  <si>
    <t>Trương Quỳnh Lưu</t>
  </si>
  <si>
    <t>luutq</t>
  </si>
  <si>
    <t>E240116</t>
  </si>
  <si>
    <t>Ngô Thanh Hòa</t>
  </si>
  <si>
    <t>hoant11</t>
  </si>
  <si>
    <t>E014635</t>
  </si>
  <si>
    <t>Võ Thị Huyền Mơ</t>
  </si>
  <si>
    <t>Movth</t>
  </si>
  <si>
    <t>E040126</t>
  </si>
  <si>
    <t>Nguyễn Thị Dung</t>
  </si>
  <si>
    <t>thidung</t>
  </si>
  <si>
    <t>E040072</t>
  </si>
  <si>
    <t>Bùi Thị Thu Hiền</t>
  </si>
  <si>
    <t>hienbtt</t>
  </si>
  <si>
    <t>E014607</t>
  </si>
  <si>
    <t>ngatt5</t>
  </si>
  <si>
    <t>E014094</t>
  </si>
  <si>
    <t>Hồ Thị Hồng Nhi</t>
  </si>
  <si>
    <t>nhihth</t>
  </si>
  <si>
    <t>E240005</t>
  </si>
  <si>
    <t>Nguyễn Thị Tường Vy</t>
  </si>
  <si>
    <t>vyntt</t>
  </si>
  <si>
    <t>E240098</t>
  </si>
  <si>
    <t>Lê Công Tuyển</t>
  </si>
  <si>
    <t>tuyenlc</t>
  </si>
  <si>
    <t>E014726</t>
  </si>
  <si>
    <t>Tô Vũ Hoàng Anh</t>
  </si>
  <si>
    <t>anhtvh</t>
  </si>
  <si>
    <t>E040494</t>
  </si>
  <si>
    <t>Nguyễn Quốc Vương</t>
  </si>
  <si>
    <t>vuongnq4</t>
  </si>
  <si>
    <t>E011272</t>
  </si>
  <si>
    <t>Nguyễn Thị Thủy</t>
  </si>
  <si>
    <t>nguyenthithuy</t>
  </si>
  <si>
    <t>E060028</t>
  </si>
  <si>
    <t>Lê Quốc Phong</t>
  </si>
  <si>
    <t>phonglq</t>
  </si>
  <si>
    <t>E240089</t>
  </si>
  <si>
    <t>Lê Thanh Thảo</t>
  </si>
  <si>
    <t>lethanhthao</t>
  </si>
  <si>
    <t>E040209</t>
  </si>
  <si>
    <t>Đinh Thị Ý Nhi</t>
  </si>
  <si>
    <t>nhidty</t>
  </si>
  <si>
    <t>E040338</t>
  </si>
  <si>
    <t>Nguyễn Thị Luynh Hồng</t>
  </si>
  <si>
    <t>hongntl</t>
  </si>
  <si>
    <t>E240045</t>
  </si>
  <si>
    <t>Trần Thị Mai Hân</t>
  </si>
  <si>
    <t>hanttm</t>
  </si>
  <si>
    <t>E240086</t>
  </si>
  <si>
    <t>Trương Thị Hồng Nhung</t>
  </si>
  <si>
    <t>tthnhung</t>
  </si>
  <si>
    <t>E080126</t>
  </si>
  <si>
    <t>Đỗ Xuân Quý</t>
  </si>
  <si>
    <t>quydx1</t>
  </si>
  <si>
    <t>E040347</t>
  </si>
  <si>
    <t>Nguyễn Đình Khoa</t>
  </si>
  <si>
    <t>dinhkhoa</t>
  </si>
  <si>
    <t>E240084</t>
  </si>
  <si>
    <t>Nguyễn Thị Bích Nga</t>
  </si>
  <si>
    <t>ngantb</t>
  </si>
  <si>
    <t>E140192</t>
  </si>
  <si>
    <t>Trần Thị Thu Cúc</t>
  </si>
  <si>
    <t>cucttt</t>
  </si>
  <si>
    <t>E140127</t>
  </si>
  <si>
    <t>Ngô Hồng Nhật</t>
  </si>
  <si>
    <t>E240060</t>
  </si>
  <si>
    <t>Nguyễn Thiên An</t>
  </si>
  <si>
    <t>anthien</t>
  </si>
  <si>
    <t>E014696</t>
  </si>
  <si>
    <t>Uông Thị Thanh Thảo</t>
  </si>
  <si>
    <t>thaoutt</t>
  </si>
  <si>
    <t>E040485</t>
  </si>
  <si>
    <t>Phan Đình Trác</t>
  </si>
  <si>
    <t>tracpd</t>
  </si>
  <si>
    <t>E040043</t>
  </si>
  <si>
    <t>Nguyễn Thị Tình</t>
  </si>
  <si>
    <t>tinhnt</t>
  </si>
  <si>
    <t>E140061</t>
  </si>
  <si>
    <t>Lê Thị Khánh Hằng</t>
  </si>
  <si>
    <t>hangltk</t>
  </si>
  <si>
    <t>E140129</t>
  </si>
  <si>
    <t>Nguyễn Việt Dũng</t>
  </si>
  <si>
    <t>dungnv2</t>
  </si>
  <si>
    <t>E012746</t>
  </si>
  <si>
    <t>Nguyễn Thị Lệ Huyền</t>
  </si>
  <si>
    <t>huyenntl</t>
  </si>
  <si>
    <t>E040364</t>
  </si>
  <si>
    <t>Phan Thị Bảo Trâm</t>
  </si>
  <si>
    <t>tramptb</t>
  </si>
  <si>
    <t>E040088</t>
  </si>
  <si>
    <t>Nguyễn Ngọc Hùng</t>
  </si>
  <si>
    <t>hungnn</t>
  </si>
  <si>
    <t>E140048</t>
  </si>
  <si>
    <t>Nguyễn Văn Phú</t>
  </si>
  <si>
    <t>phunv</t>
  </si>
  <si>
    <t>E080112</t>
  </si>
  <si>
    <t>Nguyễn Thái Nguyên</t>
  </si>
  <si>
    <t>nt.nguyen</t>
  </si>
  <si>
    <t>E140131</t>
  </si>
  <si>
    <t>Nguyễn Văn Quốc</t>
  </si>
  <si>
    <t>quocnv1</t>
  </si>
  <si>
    <t>E140013</t>
  </si>
  <si>
    <t>Trần Nguyễn Thị Diễm Phúc</t>
  </si>
  <si>
    <t>phuctntd</t>
  </si>
  <si>
    <t>E011285</t>
  </si>
  <si>
    <t>Cao Thị Ngọc Hà</t>
  </si>
  <si>
    <t>ctnha</t>
  </si>
  <si>
    <t>E014833</t>
  </si>
  <si>
    <t>Trần Thị Kim Trúc</t>
  </si>
  <si>
    <t>tructtk</t>
  </si>
  <si>
    <t>E011707</t>
  </si>
  <si>
    <t>Nguyễn Quốc Quý Duyên</t>
  </si>
  <si>
    <t>duyennqq</t>
  </si>
  <si>
    <t>E040483</t>
  </si>
  <si>
    <t>Nguyễn Thị Thu Nữ</t>
  </si>
  <si>
    <t>nuntt</t>
  </si>
  <si>
    <t>E040066</t>
  </si>
  <si>
    <t>Tạ Thanh Bảo</t>
  </si>
  <si>
    <t>ttbao</t>
  </si>
  <si>
    <t>E280137</t>
  </si>
  <si>
    <t>Hoàng Thanh Tùng</t>
  </si>
  <si>
    <t>tunght1</t>
  </si>
  <si>
    <t>E080099</t>
  </si>
  <si>
    <t>Nguyễn Thị Xuân Lộc</t>
  </si>
  <si>
    <t>locntx</t>
  </si>
  <si>
    <t>E080118</t>
  </si>
  <si>
    <t>Nguyễn Văn Hậu</t>
  </si>
  <si>
    <t>nguyenhau</t>
  </si>
  <si>
    <t>E014010</t>
  </si>
  <si>
    <t>Đỗ Lam Vi</t>
  </si>
  <si>
    <t>vidl</t>
  </si>
  <si>
    <t>E350061</t>
  </si>
  <si>
    <t>Dương Khánh Hạ</t>
  </si>
  <si>
    <t>hadk2</t>
  </si>
  <si>
    <t>E240105</t>
  </si>
  <si>
    <t>Nguyễn Thị Trà</t>
  </si>
  <si>
    <t>trant1</t>
  </si>
  <si>
    <t>E200383</t>
  </si>
  <si>
    <t>Bùi Nguyễn Tú Trinh</t>
  </si>
  <si>
    <t>trinhbnt</t>
  </si>
  <si>
    <t>E014425</t>
  </si>
  <si>
    <t>Phạm Thảo Nguyên</t>
  </si>
  <si>
    <t>nguyenpt1</t>
  </si>
  <si>
    <t>E013195</t>
  </si>
  <si>
    <t>Lý Kim Hoàng</t>
  </si>
  <si>
    <t>hoangly</t>
  </si>
  <si>
    <t>E013380</t>
  </si>
  <si>
    <t>Nguyễn Hoàng Bảo Ngân</t>
  </si>
  <si>
    <t>ngannhb</t>
  </si>
  <si>
    <t>E014623</t>
  </si>
  <si>
    <t>Nguyễn Thị Bích Thùy</t>
  </si>
  <si>
    <t>thuyntb4</t>
  </si>
  <si>
    <t>E014762</t>
  </si>
  <si>
    <t>Trịnh Diễm Trinh</t>
  </si>
  <si>
    <t>trinhtd1</t>
  </si>
  <si>
    <t>E012009</t>
  </si>
  <si>
    <t>Nguyễn Thị Thanh Xuân</t>
  </si>
  <si>
    <t>xuanntt</t>
  </si>
  <si>
    <t>E040491</t>
  </si>
  <si>
    <t>Võ Hữu Công</t>
  </si>
  <si>
    <t>congvh</t>
  </si>
  <si>
    <t>E012061</t>
  </si>
  <si>
    <t>Nguyễn Thị Thu</t>
  </si>
  <si>
    <t>ntthu</t>
  </si>
  <si>
    <t>E040316</t>
  </si>
  <si>
    <t>Trần Thị Lê Vân</t>
  </si>
  <si>
    <t>tranvan</t>
  </si>
  <si>
    <t>E014184</t>
  </si>
  <si>
    <t>Nguyễn Lâm Tâm Như</t>
  </si>
  <si>
    <t>nhunlt</t>
  </si>
  <si>
    <t>E040367</t>
  </si>
  <si>
    <t>Lương Thị Hoài Phượng</t>
  </si>
  <si>
    <t>phuonglth</t>
  </si>
  <si>
    <t>E040503</t>
  </si>
  <si>
    <t>Bạch Thị Hồng Hạnh</t>
  </si>
  <si>
    <t>hanhbth</t>
  </si>
  <si>
    <t>E240079</t>
  </si>
  <si>
    <t>Trần Thị Mỹ Trân</t>
  </si>
  <si>
    <t>tranttm</t>
  </si>
  <si>
    <t>E090087</t>
  </si>
  <si>
    <t>Trần Thị Hồng Na</t>
  </si>
  <si>
    <t>natth</t>
  </si>
  <si>
    <t>E140132</t>
  </si>
  <si>
    <t>Nguyễn Đức Vinh</t>
  </si>
  <si>
    <t>vinhnd1</t>
  </si>
  <si>
    <t>E090043</t>
  </si>
  <si>
    <t>Võ Thị Mỹ Hằng</t>
  </si>
  <si>
    <t>hangvtm</t>
  </si>
  <si>
    <t>E140026</t>
  </si>
  <si>
    <t>Hồ Thị Bảo Khánh</t>
  </si>
  <si>
    <t>khanhhtb</t>
  </si>
  <si>
    <t>E280147</t>
  </si>
  <si>
    <t>Nguyễn Thị Phương Mai</t>
  </si>
  <si>
    <t>maintp1</t>
  </si>
  <si>
    <t>E011774</t>
  </si>
  <si>
    <t>Đặng Thanh Bình</t>
  </si>
  <si>
    <t>binhdt</t>
  </si>
  <si>
    <t>E040261</t>
  </si>
  <si>
    <t>Nguyễn Thị Bích Thảo</t>
  </si>
  <si>
    <t>thaontb</t>
  </si>
  <si>
    <t>E012161</t>
  </si>
  <si>
    <t>Nguyễn Hoàng Hà</t>
  </si>
  <si>
    <t>nguyenhoangha</t>
  </si>
  <si>
    <t>E080088</t>
  </si>
  <si>
    <t>Nguyễn Thị Kim Thoa</t>
  </si>
  <si>
    <t>kimthoa</t>
  </si>
  <si>
    <t>E090151</t>
  </si>
  <si>
    <t>Võ Diệp Vi</t>
  </si>
  <si>
    <t>vivd</t>
  </si>
  <si>
    <t>E013665</t>
  </si>
  <si>
    <t>Đặng Thị Ngọc Huyền</t>
  </si>
  <si>
    <t>huyendtn</t>
  </si>
  <si>
    <t>E280100</t>
  </si>
  <si>
    <t>Võ Thủy Thương</t>
  </si>
  <si>
    <t>thuongvt</t>
  </si>
  <si>
    <t>E090061</t>
  </si>
  <si>
    <t>Phạm Thị Thanh Thu</t>
  </si>
  <si>
    <t>thuptt</t>
  </si>
  <si>
    <t>E090002</t>
  </si>
  <si>
    <t>Trần Đình Hoàng</t>
  </si>
  <si>
    <t>hoangtran</t>
  </si>
  <si>
    <t>E090137</t>
  </si>
  <si>
    <t>Dương Trung Mạnh</t>
  </si>
  <si>
    <t>manhdt</t>
  </si>
  <si>
    <t>E280132</t>
  </si>
  <si>
    <t>Đoàn Thị Hoàng Vi</t>
  </si>
  <si>
    <t>vidth</t>
  </si>
  <si>
    <t>E280032</t>
  </si>
  <si>
    <t>Cao Thị Bé</t>
  </si>
  <si>
    <t>bect</t>
  </si>
  <si>
    <t>E090060</t>
  </si>
  <si>
    <t>Nguyễn Sơn Tùng</t>
  </si>
  <si>
    <t>tungns</t>
  </si>
  <si>
    <t>E040059</t>
  </si>
  <si>
    <t>Nguyễn Văn Thuân</t>
  </si>
  <si>
    <t>thuannv</t>
  </si>
  <si>
    <t>E040381</t>
  </si>
  <si>
    <t>Lê Công Luận</t>
  </si>
  <si>
    <t>luanlc</t>
  </si>
  <si>
    <t>E090133</t>
  </si>
  <si>
    <t>Nguyễn Xuân Hải</t>
  </si>
  <si>
    <t>hainx</t>
  </si>
  <si>
    <t>E012950</t>
  </si>
  <si>
    <t>Nguyễn Thị Bảo Vân</t>
  </si>
  <si>
    <t>vanbao</t>
  </si>
  <si>
    <t>E040018</t>
  </si>
  <si>
    <t>Đinh Quang Hưng</t>
  </si>
  <si>
    <t>hungdq</t>
  </si>
  <si>
    <t>E090007</t>
  </si>
  <si>
    <t>Trương Thị Hoài Tâm</t>
  </si>
  <si>
    <t>tamtth</t>
  </si>
  <si>
    <t>E280063</t>
  </si>
  <si>
    <t>Huỳnh Thị Thu Hương</t>
  </si>
  <si>
    <t>huonghtt</t>
  </si>
  <si>
    <t>quynhnt3</t>
  </si>
  <si>
    <t>E350198</t>
  </si>
  <si>
    <t>Huỳnh Thiên Vũ</t>
  </si>
  <si>
    <t>VUHT4</t>
  </si>
  <si>
    <t>HO</t>
  </si>
  <si>
    <t>E350200</t>
  </si>
  <si>
    <t>Trương Công Tuấn</t>
  </si>
  <si>
    <t>TUANTC3</t>
  </si>
  <si>
    <t>E170001</t>
  </si>
  <si>
    <t>Lê Thị Hoa</t>
  </si>
  <si>
    <t>hoalt</t>
  </si>
  <si>
    <t>ABBANK Hưng Yên</t>
  </si>
  <si>
    <t>Vùng_1</t>
  </si>
  <si>
    <t>E013265</t>
  </si>
  <si>
    <t>Bùi Duy Khánh</t>
  </si>
  <si>
    <t>khanhbd</t>
  </si>
  <si>
    <t>ABBANK Quang Trung</t>
  </si>
  <si>
    <t>Vùng_4</t>
  </si>
  <si>
    <t>E013547</t>
  </si>
  <si>
    <t>Dương Lê Xuân Linh</t>
  </si>
  <si>
    <t>linhdlx1</t>
  </si>
  <si>
    <t>E013622</t>
  </si>
  <si>
    <t>Phan Diên Đức</t>
  </si>
  <si>
    <t>ducpd</t>
  </si>
  <si>
    <t>E014118</t>
  </si>
  <si>
    <t>Đỗ Thị Ngọc Tuyết</t>
  </si>
  <si>
    <t>tuyetdtn</t>
  </si>
  <si>
    <t>E014232</t>
  </si>
  <si>
    <t>Đạt Thị Thu Diệp</t>
  </si>
  <si>
    <t>diepdtt</t>
  </si>
  <si>
    <t>E014254</t>
  </si>
  <si>
    <t>Đỗ Thị Thanh Thảo</t>
  </si>
  <si>
    <t>thaodtt3</t>
  </si>
  <si>
    <t>E014316</t>
  </si>
  <si>
    <t>Đỗ Viết Mạnh Cường</t>
  </si>
  <si>
    <t>cuongdvm</t>
  </si>
  <si>
    <t>E014519</t>
  </si>
  <si>
    <t>Nguyễn Thị Diễm My</t>
  </si>
  <si>
    <t>myntd3</t>
  </si>
  <si>
    <t>E014533</t>
  </si>
  <si>
    <t>Ninh Văn Quân</t>
  </si>
  <si>
    <t>quannv1</t>
  </si>
  <si>
    <t>E014581</t>
  </si>
  <si>
    <t>Trần Thị Thu Phương</t>
  </si>
  <si>
    <t>phuongttt2</t>
  </si>
  <si>
    <t>E014649</t>
  </si>
  <si>
    <t>Phạm Thái Thanh</t>
  </si>
  <si>
    <t>thanhpt3</t>
  </si>
  <si>
    <t>E011212</t>
  </si>
  <si>
    <t>Trương Thanh Long</t>
  </si>
  <si>
    <t>longtt</t>
  </si>
  <si>
    <t>E013077</t>
  </si>
  <si>
    <t>Nguyễn Thanh Long</t>
  </si>
  <si>
    <t>longnt2</t>
  </si>
  <si>
    <t>E350146</t>
  </si>
  <si>
    <t>Lê Thị Thùy Linh</t>
  </si>
  <si>
    <t>linhltt3</t>
  </si>
  <si>
    <t>E023235</t>
  </si>
  <si>
    <t>Nguyễn Thị Thu Hiền</t>
  </si>
  <si>
    <t>hienntt3</t>
  </si>
  <si>
    <t>E023246</t>
  </si>
  <si>
    <t>Dương Thị Thư</t>
  </si>
  <si>
    <t>E023301</t>
  </si>
  <si>
    <t>Lưu Thị Lan</t>
  </si>
  <si>
    <t>lanlt</t>
  </si>
  <si>
    <t>E023341</t>
  </si>
  <si>
    <t>Trần Thị Thiện</t>
  </si>
  <si>
    <t>thientt1</t>
  </si>
  <si>
    <t>E023361</t>
  </si>
  <si>
    <t>Nguyễn Xuân Trường</t>
  </si>
  <si>
    <t>truongnx2</t>
  </si>
  <si>
    <t>E023401</t>
  </si>
  <si>
    <t>Ngô Vũ Hoàng Anh</t>
  </si>
  <si>
    <t>anhnvh</t>
  </si>
  <si>
    <t>E023402</t>
  </si>
  <si>
    <t>ngocnth3</t>
  </si>
  <si>
    <t>E023428</t>
  </si>
  <si>
    <t>yennth4</t>
  </si>
  <si>
    <t>E023429</t>
  </si>
  <si>
    <t>Lê Thu Hiền</t>
  </si>
  <si>
    <t>hienlt3</t>
  </si>
  <si>
    <t>E023440</t>
  </si>
  <si>
    <t>Nguyễn Thị Ngọc</t>
  </si>
  <si>
    <t>ngocnt2</t>
  </si>
  <si>
    <t>E023444</t>
  </si>
  <si>
    <t>Xuân Thị Ngọc Quế</t>
  </si>
  <si>
    <t>quextn</t>
  </si>
  <si>
    <t>E023500</t>
  </si>
  <si>
    <t>Đào Thị Quỳnh Trang</t>
  </si>
  <si>
    <t>trangdtq</t>
  </si>
  <si>
    <t>E023603</t>
  </si>
  <si>
    <t>Nguyễn Thị Hải</t>
  </si>
  <si>
    <t>haint4</t>
  </si>
  <si>
    <t>E023607</t>
  </si>
  <si>
    <t>Vương Thị Hường</t>
  </si>
  <si>
    <t>huongvt2</t>
  </si>
  <si>
    <t>E023736</t>
  </si>
  <si>
    <t>Trần Thị Vân</t>
  </si>
  <si>
    <t>vantt2</t>
  </si>
  <si>
    <t>E023796</t>
  </si>
  <si>
    <t>Nguyễn Thị Huyền Trang</t>
  </si>
  <si>
    <t>trangnth9</t>
  </si>
  <si>
    <t>E013903</t>
  </si>
  <si>
    <t>Nguyễn Xuân Quang Minh</t>
  </si>
  <si>
    <t>minhnxq</t>
  </si>
  <si>
    <t>E014279</t>
  </si>
  <si>
    <t>Nguyễn Thị Mộng Tuyền</t>
  </si>
  <si>
    <t>tuyenntm1</t>
  </si>
  <si>
    <t>E014620</t>
  </si>
  <si>
    <t>Hồ Thị Mai Ly</t>
  </si>
  <si>
    <t>lyhtm</t>
  </si>
  <si>
    <t>E021726</t>
  </si>
  <si>
    <t>Nguyễn Anh Tuấn</t>
  </si>
  <si>
    <t>tuan.nguyen</t>
  </si>
  <si>
    <t>E200150</t>
  </si>
  <si>
    <t>Nguyễn Hoàng Tuấn Anh</t>
  </si>
  <si>
    <t>anhhoang</t>
  </si>
  <si>
    <t>E200205</t>
  </si>
  <si>
    <t>Nguyễn Ngọc Đoan Trang</t>
  </si>
  <si>
    <t>trangnnd</t>
  </si>
  <si>
    <t>E200308</t>
  </si>
  <si>
    <t>Phạm Quốc Vương</t>
  </si>
  <si>
    <t>vuongpq</t>
  </si>
  <si>
    <t>E014557</t>
  </si>
  <si>
    <t>Nguyễn Thị Ngọc Lành</t>
  </si>
  <si>
    <t>lanhntn</t>
  </si>
  <si>
    <t>E020213</t>
  </si>
  <si>
    <t>Đỗ Lê Hoàng</t>
  </si>
  <si>
    <t>hoangdl</t>
  </si>
  <si>
    <t>ABBANK Hà Đông</t>
  </si>
  <si>
    <t>E020052</t>
  </si>
  <si>
    <t>Lê Thị Nga</t>
  </si>
  <si>
    <t>ngale</t>
  </si>
  <si>
    <t>E021585</t>
  </si>
  <si>
    <t>Phạm Thùy Linh</t>
  </si>
  <si>
    <t>Linh.pt</t>
  </si>
  <si>
    <t>E350201</t>
  </si>
  <si>
    <t>Lại Phương Thảo</t>
  </si>
  <si>
    <t>thaolp4</t>
  </si>
  <si>
    <t>E020494</t>
  </si>
  <si>
    <t>Phan Thị Ngân Hà</t>
  </si>
  <si>
    <t>haphan</t>
  </si>
  <si>
    <t>E024465</t>
  </si>
  <si>
    <t>Nguyễn Ngọc Bích</t>
  </si>
  <si>
    <t>bichnn3</t>
  </si>
  <si>
    <t>E110121</t>
  </si>
  <si>
    <t>Trần Hải Anh</t>
  </si>
  <si>
    <t>anhhai</t>
  </si>
  <si>
    <t>ABBANK Sơn La</t>
  </si>
  <si>
    <t>Vùng_6</t>
  </si>
  <si>
    <t>E110020</t>
  </si>
  <si>
    <t>Nguyễn Thị Mai Liên</t>
  </si>
  <si>
    <t>lienntm</t>
  </si>
  <si>
    <t>E110106</t>
  </si>
  <si>
    <t>Đào Thị Hồng</t>
  </si>
  <si>
    <t>hongdao</t>
  </si>
  <si>
    <t>E050413</t>
  </si>
  <si>
    <t>Lê Trung Hiếu</t>
  </si>
  <si>
    <t>hieult2</t>
  </si>
  <si>
    <t>ABBANK Bình Dương</t>
  </si>
  <si>
    <t>Vùng_5</t>
  </si>
  <si>
    <t>E020827</t>
  </si>
  <si>
    <t>Phạm Quý Đông</t>
  </si>
  <si>
    <t>dongpq</t>
  </si>
  <si>
    <t>E021055</t>
  </si>
  <si>
    <t>Trần Đình Trường</t>
  </si>
  <si>
    <t>truongtd</t>
  </si>
  <si>
    <t>E021330</t>
  </si>
  <si>
    <t>Nguyễn Đại Sỹ</t>
  </si>
  <si>
    <t>synd</t>
  </si>
  <si>
    <t>E021408</t>
  </si>
  <si>
    <t>Đào Công Thạo</t>
  </si>
  <si>
    <t>thaodc</t>
  </si>
  <si>
    <t>E021789</t>
  </si>
  <si>
    <t>Nguyễn Ngọc Doãn</t>
  </si>
  <si>
    <t>doannn</t>
  </si>
  <si>
    <t>E023023</t>
  </si>
  <si>
    <t>Phạm Văn Thiện</t>
  </si>
  <si>
    <t>thienpv</t>
  </si>
  <si>
    <t>E023104</t>
  </si>
  <si>
    <t>Trịnh Thành Đạt</t>
  </si>
  <si>
    <t>dattt3</t>
  </si>
  <si>
    <t>E023122</t>
  </si>
  <si>
    <t>Đỗ Duy Tùng</t>
  </si>
  <si>
    <t>tungdd</t>
  </si>
  <si>
    <t>E023147</t>
  </si>
  <si>
    <t>huongntt4</t>
  </si>
  <si>
    <t>E023195</t>
  </si>
  <si>
    <t>Nguyễn Tiến Đạt</t>
  </si>
  <si>
    <t>datnt4</t>
  </si>
  <si>
    <t>E023278</t>
  </si>
  <si>
    <t>Trần Duy Thiện</t>
  </si>
  <si>
    <t>thientd2</t>
  </si>
  <si>
    <t>E023334</t>
  </si>
  <si>
    <t>Lê Hoàng Anh</t>
  </si>
  <si>
    <t>anhlh1</t>
  </si>
  <si>
    <t>E023381</t>
  </si>
  <si>
    <t>Phan Văn Hưng</t>
  </si>
  <si>
    <t>hungpv1</t>
  </si>
  <si>
    <t>E023519</t>
  </si>
  <si>
    <t>Nguyễn Hồ Điệp</t>
  </si>
  <si>
    <t>diepnh</t>
  </si>
  <si>
    <t>E023594</t>
  </si>
  <si>
    <t>Đinh Tiến Đạt</t>
  </si>
  <si>
    <t>datdt1</t>
  </si>
  <si>
    <t>E023795</t>
  </si>
  <si>
    <t>Nguyễn Tùng Lâm</t>
  </si>
  <si>
    <t>lamnt5</t>
  </si>
  <si>
    <t>E023841</t>
  </si>
  <si>
    <t>Trần Thị Mỹ Hạnh</t>
  </si>
  <si>
    <t>hanhttm2</t>
  </si>
  <si>
    <t>E023910</t>
  </si>
  <si>
    <t>tungpd1</t>
  </si>
  <si>
    <t>E023974</t>
  </si>
  <si>
    <t>Nguyễn Xuân Cường</t>
  </si>
  <si>
    <t>cuongnx</t>
  </si>
  <si>
    <t>E024321</t>
  </si>
  <si>
    <t>Trần Văn Chung</t>
  </si>
  <si>
    <t>chungtv</t>
  </si>
  <si>
    <t>E024355</t>
  </si>
  <si>
    <t>Hoàng Phi Hùng</t>
  </si>
  <si>
    <t>hunghp1</t>
  </si>
  <si>
    <t>E024361</t>
  </si>
  <si>
    <t>Lê Phan Linh</t>
  </si>
  <si>
    <t>linhlp1</t>
  </si>
  <si>
    <t>E024387</t>
  </si>
  <si>
    <t>Nguyễn Mạnh Quân</t>
  </si>
  <si>
    <t>quannm6</t>
  </si>
  <si>
    <t>E024403</t>
  </si>
  <si>
    <t>Hà Hoàng Hiệp</t>
  </si>
  <si>
    <t>hiephh</t>
  </si>
  <si>
    <t>E024415</t>
  </si>
  <si>
    <t>Vũ Đình Hiệu</t>
  </si>
  <si>
    <t>hieuvd2</t>
  </si>
  <si>
    <t>E024505</t>
  </si>
  <si>
    <t>Trần Thiện Cương</t>
  </si>
  <si>
    <t>cuongtt2</t>
  </si>
  <si>
    <t>E024516</t>
  </si>
  <si>
    <t>Lê Đăng Thủy</t>
  </si>
  <si>
    <t>thuyld</t>
  </si>
  <si>
    <t>E024565</t>
  </si>
  <si>
    <t>Đỗ Văn Tiền</t>
  </si>
  <si>
    <t>tiendv4</t>
  </si>
  <si>
    <t>E024678</t>
  </si>
  <si>
    <t>Cao Hiếu</t>
  </si>
  <si>
    <t>hieuc</t>
  </si>
  <si>
    <t>E020756</t>
  </si>
  <si>
    <t>Dương Mạnh Cường</t>
  </si>
  <si>
    <t>cuongdm2</t>
  </si>
  <si>
    <t>E023226</t>
  </si>
  <si>
    <t>Nguyễn Hữu Thùy</t>
  </si>
  <si>
    <t>thuynh2</t>
  </si>
  <si>
    <t>E024121</t>
  </si>
  <si>
    <t>Phạm Ngọc Tú</t>
  </si>
  <si>
    <t>tupn</t>
  </si>
  <si>
    <t>E024135</t>
  </si>
  <si>
    <t>Nguyễn Thế Lực</t>
  </si>
  <si>
    <t>lucnt</t>
  </si>
  <si>
    <t>E022708</t>
  </si>
  <si>
    <t>huongntt1</t>
  </si>
  <si>
    <t>E022738</t>
  </si>
  <si>
    <t>Nguyễn Minh Nga</t>
  </si>
  <si>
    <t>nganm</t>
  </si>
  <si>
    <t>E022807</t>
  </si>
  <si>
    <t>Đinh Tuyết Mai</t>
  </si>
  <si>
    <t>maidt1</t>
  </si>
  <si>
    <t>E022848</t>
  </si>
  <si>
    <t>Đào Kiều Anh</t>
  </si>
  <si>
    <t>anhdk1</t>
  </si>
  <si>
    <t>E022954</t>
  </si>
  <si>
    <t>Trần Kim Phượng</t>
  </si>
  <si>
    <t>phuongtk</t>
  </si>
  <si>
    <t>E022964</t>
  </si>
  <si>
    <t>Đinh Thị Minh Thư</t>
  </si>
  <si>
    <t>thudtm1</t>
  </si>
  <si>
    <t>E022971</t>
  </si>
  <si>
    <t>Bàn Thị Hương</t>
  </si>
  <si>
    <t>huongbt1</t>
  </si>
  <si>
    <t>E022996</t>
  </si>
  <si>
    <t>Đỗ Mỹ Hạnh</t>
  </si>
  <si>
    <t>hanhdm1</t>
  </si>
  <si>
    <t>E023004</t>
  </si>
  <si>
    <t>Nguyễn Tiến Lộc</t>
  </si>
  <si>
    <t>locnt2</t>
  </si>
  <si>
    <t>E023008</t>
  </si>
  <si>
    <t>Bùi Thị Diệu Linh</t>
  </si>
  <si>
    <t>linhbtd</t>
  </si>
  <si>
    <t>E023033</t>
  </si>
  <si>
    <t>Vũ Thị Thu Hà</t>
  </si>
  <si>
    <t>havtt1</t>
  </si>
  <si>
    <t>E023034</t>
  </si>
  <si>
    <t>Phạm Thị Lan Phương</t>
  </si>
  <si>
    <t>phuongptl1</t>
  </si>
  <si>
    <t>E023126</t>
  </si>
  <si>
    <t>Lại Thị Bích Thảo</t>
  </si>
  <si>
    <t>thaoltb</t>
  </si>
  <si>
    <t>E023164</t>
  </si>
  <si>
    <t>Lê Lan Khanh</t>
  </si>
  <si>
    <t>khanhll</t>
  </si>
  <si>
    <t>E023213</t>
  </si>
  <si>
    <t>Phạm Thị Ánh Tuyết</t>
  </si>
  <si>
    <t>tuyetpta1</t>
  </si>
  <si>
    <t>E023221</t>
  </si>
  <si>
    <t>Nguyễn Thị Thanh Hà</t>
  </si>
  <si>
    <t>hantt4</t>
  </si>
  <si>
    <t>E023498</t>
  </si>
  <si>
    <t>Nguyễn Thị Mai Sao</t>
  </si>
  <si>
    <t>saontm</t>
  </si>
  <si>
    <t>E023995</t>
  </si>
  <si>
    <t>Nguyễn Thị Thu Hằng</t>
  </si>
  <si>
    <t>hangntt17</t>
  </si>
  <si>
    <t>E024120</t>
  </si>
  <si>
    <t>Lê Thị Thúy</t>
  </si>
  <si>
    <t>thuylt9</t>
  </si>
  <si>
    <t>E024515</t>
  </si>
  <si>
    <t>Phạm Đình Đạt</t>
  </si>
  <si>
    <t>datpd</t>
  </si>
  <si>
    <t>E350196</t>
  </si>
  <si>
    <t>Vũ Hoàng Nam</t>
  </si>
  <si>
    <t>NAMVH5</t>
  </si>
  <si>
    <t>E024609</t>
  </si>
  <si>
    <t>Bùi Phương Linh</t>
  </si>
  <si>
    <t>linhbp</t>
  </si>
  <si>
    <t>E024643</t>
  </si>
  <si>
    <t>Nguyễn Thu Hằng</t>
  </si>
  <si>
    <t>hangnt23</t>
  </si>
  <si>
    <t>E020737</t>
  </si>
  <si>
    <t>Nguyễn Văn Thắng</t>
  </si>
  <si>
    <t>thangnv1</t>
  </si>
  <si>
    <t>E022397</t>
  </si>
  <si>
    <t>Phan Thị Thủy</t>
  </si>
  <si>
    <t>thuyphan</t>
  </si>
  <si>
    <t>E022529</t>
  </si>
  <si>
    <t>Nguyễn Thị Hồng</t>
  </si>
  <si>
    <t>hongnt4</t>
  </si>
  <si>
    <t>E022619</t>
  </si>
  <si>
    <t>Ngô Duy Anh</t>
  </si>
  <si>
    <t>anhnd1</t>
  </si>
  <si>
    <t>E022960</t>
  </si>
  <si>
    <t>Nguyễn Diệu Linh</t>
  </si>
  <si>
    <t>linhnd1</t>
  </si>
  <si>
    <t>E023015</t>
  </si>
  <si>
    <t>Nguyễn Thị Thanh Hoa</t>
  </si>
  <si>
    <t>hoantt1</t>
  </si>
  <si>
    <t>E023191</t>
  </si>
  <si>
    <t>Phạm Thị Hồng Nhung</t>
  </si>
  <si>
    <t>nhungpth1</t>
  </si>
  <si>
    <t>E023340</t>
  </si>
  <si>
    <t>Nguyễn Mạnh Hùng</t>
  </si>
  <si>
    <t>hungnm1</t>
  </si>
  <si>
    <t>E024310</t>
  </si>
  <si>
    <t>Phạm Thị Hoàng Yến</t>
  </si>
  <si>
    <t>yenpth3</t>
  </si>
  <si>
    <t>E024362</t>
  </si>
  <si>
    <t>Đinh Thị Duyên</t>
  </si>
  <si>
    <t>duyendt5</t>
  </si>
  <si>
    <t>E350211</t>
  </si>
  <si>
    <t>Đỗ Thị Sang</t>
  </si>
  <si>
    <t>sangdt1</t>
  </si>
  <si>
    <t>E021084</t>
  </si>
  <si>
    <t>Đỗ Anh Thư</t>
  </si>
  <si>
    <t>thuanh</t>
  </si>
  <si>
    <t>E022522</t>
  </si>
  <si>
    <t>Lê Huy</t>
  </si>
  <si>
    <t>huy.le</t>
  </si>
  <si>
    <t>E022662</t>
  </si>
  <si>
    <t>Nguyễn Hoàng Cường</t>
  </si>
  <si>
    <t>cuongnh1</t>
  </si>
  <si>
    <t>E023201</t>
  </si>
  <si>
    <t>Lê Thị Bích Hạnh</t>
  </si>
  <si>
    <t>hanhltb1</t>
  </si>
  <si>
    <t>E023228</t>
  </si>
  <si>
    <t>Trịnh Công Cảnh</t>
  </si>
  <si>
    <t>canhtc</t>
  </si>
  <si>
    <t>E023457</t>
  </si>
  <si>
    <t>Mai Xuân Tài</t>
  </si>
  <si>
    <t>taimx</t>
  </si>
  <si>
    <t>E023544</t>
  </si>
  <si>
    <t>Trần Phương Hoa</t>
  </si>
  <si>
    <t>hoatp1</t>
  </si>
  <si>
    <t>E024133</t>
  </si>
  <si>
    <t>Nguyễn Thị Quỳnh</t>
  </si>
  <si>
    <t>E024155</t>
  </si>
  <si>
    <t>Trần Thị Thu Trang</t>
  </si>
  <si>
    <t>trangttt9</t>
  </si>
  <si>
    <t>E024265</t>
  </si>
  <si>
    <t>Nguyễn Ngọc Sáng</t>
  </si>
  <si>
    <t>sangnn</t>
  </si>
  <si>
    <t>E024267</t>
  </si>
  <si>
    <t>hangntt18</t>
  </si>
  <si>
    <t>E024625</t>
  </si>
  <si>
    <t>hienntt24</t>
  </si>
  <si>
    <t>E040160</t>
  </si>
  <si>
    <t>Lê Tự Quang Huy</t>
  </si>
  <si>
    <t>huyltq</t>
  </si>
  <si>
    <t>E023878</t>
  </si>
  <si>
    <t>Nguyễn Thị Thu Huyền</t>
  </si>
  <si>
    <t>huyenntt5</t>
  </si>
  <si>
    <t>E250008</t>
  </si>
  <si>
    <t>Trần Thị Minh Tuyền</t>
  </si>
  <si>
    <t>tuyenttm</t>
  </si>
  <si>
    <t>ABBANK Bình Phước</t>
  </si>
  <si>
    <t>E023897</t>
  </si>
  <si>
    <t>Nguyễn Huyền My</t>
  </si>
  <si>
    <t>mynh</t>
  </si>
  <si>
    <t>E023578</t>
  </si>
  <si>
    <t>Trần Thị Nhung</t>
  </si>
  <si>
    <t>nhungtt2</t>
  </si>
  <si>
    <t>E023972</t>
  </si>
  <si>
    <t>trangntt6</t>
  </si>
  <si>
    <t>E024048</t>
  </si>
  <si>
    <t>Chu Huệ Minh</t>
  </si>
  <si>
    <t>minhch</t>
  </si>
  <si>
    <t>E024284</t>
  </si>
  <si>
    <t>Bùi Đăng Dũng</t>
  </si>
  <si>
    <t>dungbd</t>
  </si>
  <si>
    <t>E024285</t>
  </si>
  <si>
    <t>Vũ Đăng Quang</t>
  </si>
  <si>
    <t>quangvd</t>
  </si>
  <si>
    <t>E021635</t>
  </si>
  <si>
    <t>Trần Thị Thu Trà</t>
  </si>
  <si>
    <t>trattt</t>
  </si>
  <si>
    <t>E022628</t>
  </si>
  <si>
    <t>Lê Tuấn Anh</t>
  </si>
  <si>
    <t>anhlt1</t>
  </si>
  <si>
    <t>E024471</t>
  </si>
  <si>
    <t>Trần Thị Hiền Anh</t>
  </si>
  <si>
    <t>anhtth3</t>
  </si>
  <si>
    <t>E021651</t>
  </si>
  <si>
    <t>Nguyễn Mai Phương</t>
  </si>
  <si>
    <t>maiphuong</t>
  </si>
  <si>
    <t>E021917</t>
  </si>
  <si>
    <t>Phạm Thị Thiết</t>
  </si>
  <si>
    <t>thietpt</t>
  </si>
  <si>
    <t>E022292</t>
  </si>
  <si>
    <t>Đinh Thị Thu Hương</t>
  </si>
  <si>
    <t>huongdinh</t>
  </si>
  <si>
    <t>E021252</t>
  </si>
  <si>
    <t>Phạm Thanh Hải</t>
  </si>
  <si>
    <t>haipham</t>
  </si>
  <si>
    <t>E021784</t>
  </si>
  <si>
    <t>ngatran</t>
  </si>
  <si>
    <t>E022278</t>
  </si>
  <si>
    <t>Nguyễn Minh Huyền</t>
  </si>
  <si>
    <t>minhhuyen</t>
  </si>
  <si>
    <t>E021089</t>
  </si>
  <si>
    <t>Nguyễn Thị Oanh</t>
  </si>
  <si>
    <t>oanhnt</t>
  </si>
  <si>
    <t>E023268</t>
  </si>
  <si>
    <t>Nguyễn Tuấn Anh</t>
  </si>
  <si>
    <t>anhnt8</t>
  </si>
  <si>
    <t>E020550</t>
  </si>
  <si>
    <t>Nhữ Minh Đức</t>
  </si>
  <si>
    <t>ducnhu</t>
  </si>
  <si>
    <t>E021295</t>
  </si>
  <si>
    <t>Phạm Thị Hạnh</t>
  </si>
  <si>
    <t>hanhpt</t>
  </si>
  <si>
    <t>E021548</t>
  </si>
  <si>
    <t>Hà Thị Thảo</t>
  </si>
  <si>
    <t>thaoht</t>
  </si>
  <si>
    <t>E022034</t>
  </si>
  <si>
    <t>Vũ Thị Lan Anh</t>
  </si>
  <si>
    <t>vu.anh</t>
  </si>
  <si>
    <t>E022068</t>
  </si>
  <si>
    <t>Phạm Trang Nhung</t>
  </si>
  <si>
    <t>nhungpham</t>
  </si>
  <si>
    <t>E022095</t>
  </si>
  <si>
    <t>Trần Trọng Hòa</t>
  </si>
  <si>
    <t>hoatt</t>
  </si>
  <si>
    <t>E022123</t>
  </si>
  <si>
    <t>Nguyễn Thị Nhàn</t>
  </si>
  <si>
    <t>nguyenthinhan</t>
  </si>
  <si>
    <t>E022199</t>
  </si>
  <si>
    <t>Lê Thị Hương</t>
  </si>
  <si>
    <t>huong.le</t>
  </si>
  <si>
    <t>E022525</t>
  </si>
  <si>
    <t>Lê Trọng Hiếu</t>
  </si>
  <si>
    <t>letronghieu</t>
  </si>
  <si>
    <t>E023599</t>
  </si>
  <si>
    <t>Ngô Thị Thu Hà</t>
  </si>
  <si>
    <t>hantt5</t>
  </si>
  <si>
    <t>E023663</t>
  </si>
  <si>
    <t>Phạm Minh Tân</t>
  </si>
  <si>
    <t>tanpm</t>
  </si>
  <si>
    <t>E023674</t>
  </si>
  <si>
    <t>Nguyễn Ngọc Thanh</t>
  </si>
  <si>
    <t>thanhnn2</t>
  </si>
  <si>
    <t>E023699</t>
  </si>
  <si>
    <t>Lương Thị Quỳnh</t>
  </si>
  <si>
    <t>quynhlt</t>
  </si>
  <si>
    <t>E023703</t>
  </si>
  <si>
    <t>Kim Đình Sơn</t>
  </si>
  <si>
    <t>sonkd</t>
  </si>
  <si>
    <t>E023724</t>
  </si>
  <si>
    <t>Đặng Thanh Minh</t>
  </si>
  <si>
    <t>minhdt1</t>
  </si>
  <si>
    <t>E023791</t>
  </si>
  <si>
    <t>Nguyễn Hoàng Quí</t>
  </si>
  <si>
    <t>quinh1</t>
  </si>
  <si>
    <t>E023799</t>
  </si>
  <si>
    <t>Nguyễn Công Sơn</t>
  </si>
  <si>
    <t>sonnc</t>
  </si>
  <si>
    <t>E023829</t>
  </si>
  <si>
    <t>Nguyễn Lan Anh</t>
  </si>
  <si>
    <t>anhnl1</t>
  </si>
  <si>
    <t>E023830</t>
  </si>
  <si>
    <t>Vũ Quang Huy</t>
  </si>
  <si>
    <t>huyvq2</t>
  </si>
  <si>
    <t>E023864</t>
  </si>
  <si>
    <t>Trần Thị Hồng Diễm</t>
  </si>
  <si>
    <t>diemtth</t>
  </si>
  <si>
    <t>E023885</t>
  </si>
  <si>
    <t>Phạm Thị Thanh Huyền</t>
  </si>
  <si>
    <t>huyenptt1</t>
  </si>
  <si>
    <t>E023933</t>
  </si>
  <si>
    <t>Hoàng Quốc Việt</t>
  </si>
  <si>
    <t>viethq</t>
  </si>
  <si>
    <t>E023939</t>
  </si>
  <si>
    <t>Nguyễn Hữu Tâm</t>
  </si>
  <si>
    <t>tamnh1</t>
  </si>
  <si>
    <t>E023982</t>
  </si>
  <si>
    <t>Bùi Xuân Vũ</t>
  </si>
  <si>
    <t>vubx</t>
  </si>
  <si>
    <t>E023983</t>
  </si>
  <si>
    <t>Nguyễn Phương Anh</t>
  </si>
  <si>
    <t>anhnp4</t>
  </si>
  <si>
    <t>E023989</t>
  </si>
  <si>
    <t>Nguyễn Thế Anh</t>
  </si>
  <si>
    <t>anhnt31</t>
  </si>
  <si>
    <t>E350195</t>
  </si>
  <si>
    <t>Hồ Trung Hiếu</t>
  </si>
  <si>
    <t>HIEUHT1</t>
  </si>
  <si>
    <t>E023998</t>
  </si>
  <si>
    <t>trangntt16</t>
  </si>
  <si>
    <t>E023999</t>
  </si>
  <si>
    <t>Phạm Văn Tùng</t>
  </si>
  <si>
    <t>tungpv2</t>
  </si>
  <si>
    <t>E024000</t>
  </si>
  <si>
    <t>Đặng Quang Trung</t>
  </si>
  <si>
    <t>TRUNGDQ2</t>
  </si>
  <si>
    <t>E024004</t>
  </si>
  <si>
    <t>Phạm Văn Quang</t>
  </si>
  <si>
    <t>QUANGPV1</t>
  </si>
  <si>
    <t>E024007</t>
  </si>
  <si>
    <t>Phan Văn Hoàn</t>
  </si>
  <si>
    <t>hoanpv</t>
  </si>
  <si>
    <t>E024009</t>
  </si>
  <si>
    <t>Đào Đình Thái</t>
  </si>
  <si>
    <t>thaidd1</t>
  </si>
  <si>
    <t>E024010</t>
  </si>
  <si>
    <t>Nguyễn Ngọc Trí</t>
  </si>
  <si>
    <t>trinn</t>
  </si>
  <si>
    <t>E024013</t>
  </si>
  <si>
    <t>Phạm Diệu Linh</t>
  </si>
  <si>
    <t>linhpd2</t>
  </si>
  <si>
    <t>E024014</t>
  </si>
  <si>
    <t>Nguyễn Lâm Hải</t>
  </si>
  <si>
    <t>hainl3</t>
  </si>
  <si>
    <t>E024015</t>
  </si>
  <si>
    <t>Chu Đức Chính</t>
  </si>
  <si>
    <t>chinhcd</t>
  </si>
  <si>
    <t>E024019</t>
  </si>
  <si>
    <t>Lưu Chấn Nam</t>
  </si>
  <si>
    <t>namlc</t>
  </si>
  <si>
    <t>E024039</t>
  </si>
  <si>
    <t>Nguyễn Thu Hà</t>
  </si>
  <si>
    <t>hant26</t>
  </si>
  <si>
    <t>E024216</t>
  </si>
  <si>
    <t>Trần Thị Yên Linh</t>
  </si>
  <si>
    <t>linhtty</t>
  </si>
  <si>
    <t>E024221</t>
  </si>
  <si>
    <t>Mạc Hùng Anh</t>
  </si>
  <si>
    <t>anhmh2</t>
  </si>
  <si>
    <t>E024222</t>
  </si>
  <si>
    <t>Trần Thị Thu Hà</t>
  </si>
  <si>
    <t>hattt10</t>
  </si>
  <si>
    <t>E024260</t>
  </si>
  <si>
    <t>Nguyễn Công Tuấn</t>
  </si>
  <si>
    <t>tuannc</t>
  </si>
  <si>
    <t>E024274</t>
  </si>
  <si>
    <t>Nguyễn Hà Trang</t>
  </si>
  <si>
    <t>trangnh7</t>
  </si>
  <si>
    <t>E024278</t>
  </si>
  <si>
    <t>Nguyễn Thùy Linh</t>
  </si>
  <si>
    <t>linhnt28</t>
  </si>
  <si>
    <t>E024295</t>
  </si>
  <si>
    <t>Phạm Minh Đức</t>
  </si>
  <si>
    <t>ducpm6</t>
  </si>
  <si>
    <t>E024296</t>
  </si>
  <si>
    <t>Giáp Văn Vĩnh</t>
  </si>
  <si>
    <t>vinhgv</t>
  </si>
  <si>
    <t>E024335</t>
  </si>
  <si>
    <t>Phạm Quỳnh Hoa</t>
  </si>
  <si>
    <t>hoapq</t>
  </si>
  <si>
    <t>E024336</t>
  </si>
  <si>
    <t>Nguyễn Thùy Nhung</t>
  </si>
  <si>
    <t>nhungnt12</t>
  </si>
  <si>
    <t>E024337</t>
  </si>
  <si>
    <t>Hồ Trọng Nguyên</t>
  </si>
  <si>
    <t>nguyenht3</t>
  </si>
  <si>
    <t>E024366</t>
  </si>
  <si>
    <t>Đặng Thanh Ngọc</t>
  </si>
  <si>
    <t>ngocdt4</t>
  </si>
  <si>
    <t>E024442</t>
  </si>
  <si>
    <t>Võ Thị Mỹ Duyên</t>
  </si>
  <si>
    <t>duyenvtm2</t>
  </si>
  <si>
    <t>E024491</t>
  </si>
  <si>
    <t>Nguyễn Danh Minh</t>
  </si>
  <si>
    <t>minhnd6</t>
  </si>
  <si>
    <t>E024503</t>
  </si>
  <si>
    <t>Đinh Thanh Biên</t>
  </si>
  <si>
    <t>biendt</t>
  </si>
  <si>
    <t>E023664</t>
  </si>
  <si>
    <t>Đặng Hồng Thắm</t>
  </si>
  <si>
    <t>thamdh</t>
  </si>
  <si>
    <t>E023669</t>
  </si>
  <si>
    <t>Nguyễn Anh Đức</t>
  </si>
  <si>
    <t>ducna</t>
  </si>
  <si>
    <t>E023702</t>
  </si>
  <si>
    <t>thunt2</t>
  </si>
  <si>
    <t>E023706</t>
  </si>
  <si>
    <t>Nguyễn Đắc Thủy</t>
  </si>
  <si>
    <t>thuynd</t>
  </si>
  <si>
    <t>E023707</t>
  </si>
  <si>
    <t>Trần Văn Ngọc</t>
  </si>
  <si>
    <t>ngoctv2</t>
  </si>
  <si>
    <t>E023725</t>
  </si>
  <si>
    <t>Ngô Đình Tùng</t>
  </si>
  <si>
    <t>tungnd3</t>
  </si>
  <si>
    <t>E023737</t>
  </si>
  <si>
    <t>Bùi Thị Thu Trang</t>
  </si>
  <si>
    <t>trangbtt1</t>
  </si>
  <si>
    <t>E023738</t>
  </si>
  <si>
    <t>Nguyễn Minh Trang</t>
  </si>
  <si>
    <t>trangnm1</t>
  </si>
  <si>
    <t>E023743</t>
  </si>
  <si>
    <t>Mai Gia Tú</t>
  </si>
  <si>
    <t>tumg</t>
  </si>
  <si>
    <t>E023745</t>
  </si>
  <si>
    <t>Cao Mạnh Hùng</t>
  </si>
  <si>
    <t>hungcm1</t>
  </si>
  <si>
    <t>E023755</t>
  </si>
  <si>
    <t>Vũ Thu Hiền</t>
  </si>
  <si>
    <t>hienvt1</t>
  </si>
  <si>
    <t>E023766</t>
  </si>
  <si>
    <t>Nguyễn Hữu Đại</t>
  </si>
  <si>
    <t>dainh1</t>
  </si>
  <si>
    <t>E023767</t>
  </si>
  <si>
    <t>Nguyễn Huy Quyết</t>
  </si>
  <si>
    <t>quyetnh</t>
  </si>
  <si>
    <t>E023768</t>
  </si>
  <si>
    <t>Hoàng Giang Sơn</t>
  </si>
  <si>
    <t>sonhg</t>
  </si>
  <si>
    <t>E024042</t>
  </si>
  <si>
    <t>Trần Quang Duy</t>
  </si>
  <si>
    <t>duytq2</t>
  </si>
  <si>
    <t>E024099</t>
  </si>
  <si>
    <t>Đàm Thị Hồng</t>
  </si>
  <si>
    <t>hongdt2</t>
  </si>
  <si>
    <t>E024100</t>
  </si>
  <si>
    <t>Nguyễn Hữu Quyền</t>
  </si>
  <si>
    <t>quyennh1</t>
  </si>
  <si>
    <t>E024214</t>
  </si>
  <si>
    <t>Ngạc Giang Tuấn</t>
  </si>
  <si>
    <t>tuanng</t>
  </si>
  <si>
    <t>E024215</t>
  </si>
  <si>
    <t>Nguyễn Khánh Ngọc</t>
  </si>
  <si>
    <t>ngocnk2</t>
  </si>
  <si>
    <t>E024218</t>
  </si>
  <si>
    <t>Nguyễn Đình Hoàng</t>
  </si>
  <si>
    <t>hoangnd3</t>
  </si>
  <si>
    <t>E024219</t>
  </si>
  <si>
    <t>Trần Quốc Cường</t>
  </si>
  <si>
    <t>cuongtq2</t>
  </si>
  <si>
    <t>E024245</t>
  </si>
  <si>
    <t>Trần Quốc Huy</t>
  </si>
  <si>
    <t>huytq7</t>
  </si>
  <si>
    <t>E024277</t>
  </si>
  <si>
    <t>Bùi Quang Đức</t>
  </si>
  <si>
    <t>ducbq</t>
  </si>
  <si>
    <t>E024279</t>
  </si>
  <si>
    <t>Đinh Thùy Linh</t>
  </si>
  <si>
    <t>linhdt12</t>
  </si>
  <si>
    <t>E024281</t>
  </si>
  <si>
    <t>hantt17</t>
  </si>
  <si>
    <t>E024283</t>
  </si>
  <si>
    <t>Vũ Thái Trung</t>
  </si>
  <si>
    <t>trungvt4</t>
  </si>
  <si>
    <t>E024331</t>
  </si>
  <si>
    <t>Nguyễn Tường Quân</t>
  </si>
  <si>
    <t>quannt</t>
  </si>
  <si>
    <t>E024333</t>
  </si>
  <si>
    <t>Hoàng Kiều Mạnh Hùng</t>
  </si>
  <si>
    <t>hunghkm</t>
  </si>
  <si>
    <t>E024681</t>
  </si>
  <si>
    <t>Lê Duy Cương</t>
  </si>
  <si>
    <t>cuongld1</t>
  </si>
  <si>
    <t>E020828</t>
  </si>
  <si>
    <t>Chu Thị Thủy</t>
  </si>
  <si>
    <t>thuyct</t>
  </si>
  <si>
    <t>E020945</t>
  </si>
  <si>
    <t>Nguyễn Thanh Tùng</t>
  </si>
  <si>
    <t>tungnt</t>
  </si>
  <si>
    <t>E022788</t>
  </si>
  <si>
    <t>Nguyễn Khánh Toàn</t>
  </si>
  <si>
    <t>toannk</t>
  </si>
  <si>
    <t>E023831</t>
  </si>
  <si>
    <t>Ngô Dũng Trí</t>
  </si>
  <si>
    <t>trind</t>
  </si>
  <si>
    <t>E023997</t>
  </si>
  <si>
    <t>Phạm Ngọc Hùng</t>
  </si>
  <si>
    <t>hungpn</t>
  </si>
  <si>
    <t>E024179</t>
  </si>
  <si>
    <t>Nguyễn Minh Hiếu</t>
  </si>
  <si>
    <t>hieunm4</t>
  </si>
  <si>
    <t>E024202</t>
  </si>
  <si>
    <t>Vũ Hồng Quân</t>
  </si>
  <si>
    <t>quanvh1</t>
  </si>
  <si>
    <t>E024217</t>
  </si>
  <si>
    <t>Nguyễn Hải Dương</t>
  </si>
  <si>
    <t>duongnh2</t>
  </si>
  <si>
    <t>E024297</t>
  </si>
  <si>
    <t>Hoàng Minh Đường</t>
  </si>
  <si>
    <t>duonghm</t>
  </si>
  <si>
    <t>E024298</t>
  </si>
  <si>
    <t>Lê Huy Nam Anh</t>
  </si>
  <si>
    <t>anhlhn</t>
  </si>
  <si>
    <t>E024304</t>
  </si>
  <si>
    <t>Hà Thiên Hương</t>
  </si>
  <si>
    <t>huonght4</t>
  </si>
  <si>
    <t>E024330</t>
  </si>
  <si>
    <t>Đồng Việt Thắng</t>
  </si>
  <si>
    <t>thangdv5</t>
  </si>
  <si>
    <t>E024334</t>
  </si>
  <si>
    <t>Nguyễn Đức Trường</t>
  </si>
  <si>
    <t>truongnd5</t>
  </si>
  <si>
    <t>E024421</t>
  </si>
  <si>
    <t>Nguyễn Bá Hòa</t>
  </si>
  <si>
    <t>hoanb</t>
  </si>
  <si>
    <t>E023632</t>
  </si>
  <si>
    <t>Cao Thanh Dương</t>
  </si>
  <si>
    <t>duongct</t>
  </si>
  <si>
    <t>E023732</t>
  </si>
  <si>
    <t>Nguyễn Bách Chiến</t>
  </si>
  <si>
    <t>chiennb</t>
  </si>
  <si>
    <t>E023742</t>
  </si>
  <si>
    <t>Hà Văn Thân</t>
  </si>
  <si>
    <t>thanhv</t>
  </si>
  <si>
    <t>E023780</t>
  </si>
  <si>
    <t>Nguyễn Thị Phương Chung</t>
  </si>
  <si>
    <t>chungntp</t>
  </si>
  <si>
    <t>E023930</t>
  </si>
  <si>
    <t>Trần Trường Giang</t>
  </si>
  <si>
    <t>GIANGTT1</t>
  </si>
  <si>
    <t>E023953</t>
  </si>
  <si>
    <t>Nguyễn Vương Hiển</t>
  </si>
  <si>
    <t>hiennv2</t>
  </si>
  <si>
    <t>E024052</t>
  </si>
  <si>
    <t>Phạm Thành Vinh</t>
  </si>
  <si>
    <t>vinhpt</t>
  </si>
  <si>
    <t>E024063</t>
  </si>
  <si>
    <t>Hoàng Thị Hường</t>
  </si>
  <si>
    <t>huonght3</t>
  </si>
  <si>
    <t>E024098</t>
  </si>
  <si>
    <t>Nguyễn Vân Trường</t>
  </si>
  <si>
    <t>truongnv4</t>
  </si>
  <si>
    <t>E024261</t>
  </si>
  <si>
    <t>anhnl3</t>
  </si>
  <si>
    <t>E024275</t>
  </si>
  <si>
    <t>Nguyễn Tiến Phong</t>
  </si>
  <si>
    <t>phongnt2</t>
  </si>
  <si>
    <t>E024276</t>
  </si>
  <si>
    <t>Phạm Thu Phương</t>
  </si>
  <si>
    <t>phuongpt7</t>
  </si>
  <si>
    <t>E024379</t>
  </si>
  <si>
    <t>thaontp25</t>
  </si>
  <si>
    <t>E024460</t>
  </si>
  <si>
    <t>Trần Việt Quân</t>
  </si>
  <si>
    <t>quantv</t>
  </si>
  <si>
    <t>E022950</t>
  </si>
  <si>
    <t>Trần Minh Ngọc</t>
  </si>
  <si>
    <t>ngoctm1</t>
  </si>
  <si>
    <t>E023151</t>
  </si>
  <si>
    <t>Ngô Minh Hoàng</t>
  </si>
  <si>
    <t>hoangnm1</t>
  </si>
  <si>
    <t>E023487</t>
  </si>
  <si>
    <t>Đào Khánh Ly</t>
  </si>
  <si>
    <t>lydk1</t>
  </si>
  <si>
    <t>E024288</t>
  </si>
  <si>
    <t>Quảng Thành Trung</t>
  </si>
  <si>
    <t>trungqt</t>
  </si>
  <si>
    <t>E024538</t>
  </si>
  <si>
    <t>trangnth25</t>
  </si>
  <si>
    <t>E021397</t>
  </si>
  <si>
    <t>Đoàn Mạnh Hiếu</t>
  </si>
  <si>
    <t>hieudoan</t>
  </si>
  <si>
    <t>E022056</t>
  </si>
  <si>
    <t>Đỗ Hồng Ngọc</t>
  </si>
  <si>
    <t>dhngoc</t>
  </si>
  <si>
    <t>E023514</t>
  </si>
  <si>
    <t>Nguyễn Trung Dũng</t>
  </si>
  <si>
    <t>dungnt5</t>
  </si>
  <si>
    <t>E023057</t>
  </si>
  <si>
    <t>Nguyễn Vân Anh</t>
  </si>
  <si>
    <t>anhnv2</t>
  </si>
  <si>
    <t>E023066</t>
  </si>
  <si>
    <t>Ngô Thị Bình</t>
  </si>
  <si>
    <t>binhnt3</t>
  </si>
  <si>
    <t>E023067</t>
  </si>
  <si>
    <t>Nguyễn Kim Dung</t>
  </si>
  <si>
    <t>dungnk1</t>
  </si>
  <si>
    <t>E023177</t>
  </si>
  <si>
    <t>Lương Thị Phương Thảo</t>
  </si>
  <si>
    <t>thaoltp1</t>
  </si>
  <si>
    <t>E023207</t>
  </si>
  <si>
    <t>Nguyễn Thị Thu Hoài</t>
  </si>
  <si>
    <t>hoaintt2</t>
  </si>
  <si>
    <t>E024198</t>
  </si>
  <si>
    <t>Nguyễn Thị Phượng</t>
  </si>
  <si>
    <t>phuongnt27</t>
  </si>
  <si>
    <t>E024466</t>
  </si>
  <si>
    <t>Nguyễn Thị Lệ</t>
  </si>
  <si>
    <t>lent5</t>
  </si>
  <si>
    <t>E022774</t>
  </si>
  <si>
    <t>Nguyễn Việt Hà</t>
  </si>
  <si>
    <t>hanv1</t>
  </si>
  <si>
    <t>E024086</t>
  </si>
  <si>
    <t>Nguyễn Ngọc Thư</t>
  </si>
  <si>
    <t>thunn1</t>
  </si>
  <si>
    <t>E024158</t>
  </si>
  <si>
    <t>Nguyễn Sỹ Quốc Phong</t>
  </si>
  <si>
    <t>phongnsq</t>
  </si>
  <si>
    <t>E024388</t>
  </si>
  <si>
    <t>thaontp26</t>
  </si>
  <si>
    <t>E022656</t>
  </si>
  <si>
    <t>Trương Thế Vinh</t>
  </si>
  <si>
    <t>vinhtt1</t>
  </si>
  <si>
    <t>E022750</t>
  </si>
  <si>
    <t>Trần Khánh Linh</t>
  </si>
  <si>
    <t>Linhtk1</t>
  </si>
  <si>
    <t>E024107</t>
  </si>
  <si>
    <t>Trần Thị Yến</t>
  </si>
  <si>
    <t>yentt1</t>
  </si>
  <si>
    <t>E024212</t>
  </si>
  <si>
    <t>Phạm Thị Kim Huế</t>
  </si>
  <si>
    <t>hueptk</t>
  </si>
  <si>
    <t>E014377</t>
  </si>
  <si>
    <t>Nguyễn Ngọc Đan Linh</t>
  </si>
  <si>
    <t>linhnnd</t>
  </si>
  <si>
    <t>E022205</t>
  </si>
  <si>
    <t>Lại Thúy Hằng</t>
  </si>
  <si>
    <t>hanglai</t>
  </si>
  <si>
    <t>E022430</t>
  </si>
  <si>
    <t>Bùi Phụng Dương</t>
  </si>
  <si>
    <t>duongbp</t>
  </si>
  <si>
    <t>E022856</t>
  </si>
  <si>
    <t>Vũ Thị Bích Thảo</t>
  </si>
  <si>
    <t>thaovtb</t>
  </si>
  <si>
    <t>E023175</t>
  </si>
  <si>
    <t>Nguyễn Tú Nam</t>
  </si>
  <si>
    <t>namnt3</t>
  </si>
  <si>
    <t>E024385</t>
  </si>
  <si>
    <t>Vũ Thu Uyên</t>
  </si>
  <si>
    <t>uyenvt3</t>
  </si>
  <si>
    <t>E024386</t>
  </si>
  <si>
    <t>Trần Thu Hồng</t>
  </si>
  <si>
    <t>hongtt1</t>
  </si>
  <si>
    <t>E024664</t>
  </si>
  <si>
    <t>Phạm Ngọc Trâm</t>
  </si>
  <si>
    <t>trampn</t>
  </si>
  <si>
    <t>E020600</t>
  </si>
  <si>
    <t>Nguyễn Thị Dựu</t>
  </si>
  <si>
    <t>duunt</t>
  </si>
  <si>
    <t>E022813</t>
  </si>
  <si>
    <t>Phạm Thanh Tùng</t>
  </si>
  <si>
    <t>tungpt1</t>
  </si>
  <si>
    <t>E023320</t>
  </si>
  <si>
    <t>Nguyễn Văn Nam</t>
  </si>
  <si>
    <t>namnv1</t>
  </si>
  <si>
    <t>E023689</t>
  </si>
  <si>
    <t>Trần Thị Lan Anh</t>
  </si>
  <si>
    <t>anhttl1</t>
  </si>
  <si>
    <t>E023695</t>
  </si>
  <si>
    <t>Mã Thị Phương Thanh</t>
  </si>
  <si>
    <t>thanhmtp</t>
  </si>
  <si>
    <t>E023715</t>
  </si>
  <si>
    <t>Đỗ Thị Hương Lan</t>
  </si>
  <si>
    <t>landth1</t>
  </si>
  <si>
    <t>E023716</t>
  </si>
  <si>
    <t>Ngô Thị Thu Hoài</t>
  </si>
  <si>
    <t>hoaintt3</t>
  </si>
  <si>
    <t>E023729</t>
  </si>
  <si>
    <t>Trần Thị Thùy</t>
  </si>
  <si>
    <t>thuytt4</t>
  </si>
  <si>
    <t>E023804</t>
  </si>
  <si>
    <t>Nguyễn Huyền Giang</t>
  </si>
  <si>
    <t>giangnh3</t>
  </si>
  <si>
    <t>E023809</t>
  </si>
  <si>
    <t>Nguyễn Hồng Vân</t>
  </si>
  <si>
    <t>vannh2</t>
  </si>
  <si>
    <t>E023815</t>
  </si>
  <si>
    <t>Vũ Thị Nguyệt Minh</t>
  </si>
  <si>
    <t>minhvtn</t>
  </si>
  <si>
    <t>E024186</t>
  </si>
  <si>
    <t>Nguyễn Hữu Quân</t>
  </si>
  <si>
    <t>quannh3</t>
  </si>
  <si>
    <t>E020042</t>
  </si>
  <si>
    <t>Nguyễn Kim Ngọc</t>
  </si>
  <si>
    <t>ngocnk</t>
  </si>
  <si>
    <t>E020224</t>
  </si>
  <si>
    <t>Chu Ngọc Sơn</t>
  </si>
  <si>
    <t>soncn</t>
  </si>
  <si>
    <t>E020498</t>
  </si>
  <si>
    <t>Đặng Thị Yến</t>
  </si>
  <si>
    <t>yendt</t>
  </si>
  <si>
    <t>E020572</t>
  </si>
  <si>
    <t>Dương Thị Thu Trang</t>
  </si>
  <si>
    <t>thutrang</t>
  </si>
  <si>
    <t>E020868</t>
  </si>
  <si>
    <t>Nguyễn Hồng Nhung</t>
  </si>
  <si>
    <t>nguyenhongnhung</t>
  </si>
  <si>
    <t>E020958</t>
  </si>
  <si>
    <t>Hoàng Công Định</t>
  </si>
  <si>
    <t>dinhhc</t>
  </si>
  <si>
    <t>E020977</t>
  </si>
  <si>
    <t>Nguyễn Minh Quân</t>
  </si>
  <si>
    <t>quannm</t>
  </si>
  <si>
    <t>E021068</t>
  </si>
  <si>
    <t>Hoàng Thị Quy</t>
  </si>
  <si>
    <t>quyht</t>
  </si>
  <si>
    <t>E021239</t>
  </si>
  <si>
    <t>Tạ Thị Liễu</t>
  </si>
  <si>
    <t>lieutt</t>
  </si>
  <si>
    <t>E021468</t>
  </si>
  <si>
    <t>Nguyễn Khánh Linh</t>
  </si>
  <si>
    <t>linhkhanh</t>
  </si>
  <si>
    <t>E021665</t>
  </si>
  <si>
    <t>Hoàng Thị Liên</t>
  </si>
  <si>
    <t>lienht</t>
  </si>
  <si>
    <t>E021668</t>
  </si>
  <si>
    <t>Đoàn Hoàng Anh</t>
  </si>
  <si>
    <t>doananh</t>
  </si>
  <si>
    <t>E021808</t>
  </si>
  <si>
    <t>nguyenmanhhung</t>
  </si>
  <si>
    <t>E022532</t>
  </si>
  <si>
    <t>Tăng Hoài Nam</t>
  </si>
  <si>
    <t>namtang</t>
  </si>
  <si>
    <t>E022548</t>
  </si>
  <si>
    <t>Lê Thị Cúc</t>
  </si>
  <si>
    <t>cuclt</t>
  </si>
  <si>
    <t>E022699</t>
  </si>
  <si>
    <t>Chu Thị Thùy Dương</t>
  </si>
  <si>
    <t>duongctt</t>
  </si>
  <si>
    <t>E022924</t>
  </si>
  <si>
    <t>Trần Thị Hà</t>
  </si>
  <si>
    <t>hatt2</t>
  </si>
  <si>
    <t>E022925</t>
  </si>
  <si>
    <t>Tô Thị Thanh Tâm</t>
  </si>
  <si>
    <t>tamttt1</t>
  </si>
  <si>
    <t>E023129</t>
  </si>
  <si>
    <t>Tạ Quang Thái</t>
  </si>
  <si>
    <t>thaitq1</t>
  </si>
  <si>
    <t>E023143</t>
  </si>
  <si>
    <t>Nguyễn Tống Hiệp</t>
  </si>
  <si>
    <t>hiepnt1</t>
  </si>
  <si>
    <t>E023238</t>
  </si>
  <si>
    <t>Lê Ngọc Thanh Đức</t>
  </si>
  <si>
    <t>duclnt</t>
  </si>
  <si>
    <t>E023682</t>
  </si>
  <si>
    <t>Nguyễn Bảo Huy</t>
  </si>
  <si>
    <t>huynb1</t>
  </si>
  <si>
    <t>E023876</t>
  </si>
  <si>
    <t>Bùi Thị Liễu</t>
  </si>
  <si>
    <t>lieubt1</t>
  </si>
  <si>
    <t>E024055</t>
  </si>
  <si>
    <t>Phạm Nhật Minh</t>
  </si>
  <si>
    <t>minhpn2</t>
  </si>
  <si>
    <t>E024114</t>
  </si>
  <si>
    <t>Lê Đức Anh</t>
  </si>
  <si>
    <t>anhld</t>
  </si>
  <si>
    <t>E024268</t>
  </si>
  <si>
    <t>Nguyễn Văn Phương</t>
  </si>
  <si>
    <t>phuongnv3</t>
  </si>
  <si>
    <t>E021251</t>
  </si>
  <si>
    <t>Lương Hồng Hạnh</t>
  </si>
  <si>
    <t>hanhlh</t>
  </si>
  <si>
    <t>E021333</t>
  </si>
  <si>
    <t>Lê Hà Huy</t>
  </si>
  <si>
    <t>huylh1</t>
  </si>
  <si>
    <t>E021346</t>
  </si>
  <si>
    <t>Nguyễn Bảo Trung</t>
  </si>
  <si>
    <t>trungnb</t>
  </si>
  <si>
    <t>E022513</t>
  </si>
  <si>
    <t>Hoàng Thị Vinh</t>
  </si>
  <si>
    <t>htvinh</t>
  </si>
  <si>
    <t>E022591</t>
  </si>
  <si>
    <t>Cao Thị Châu Giang</t>
  </si>
  <si>
    <t>giangctc</t>
  </si>
  <si>
    <t>E022639</t>
  </si>
  <si>
    <t>Nguyễn Thành Ngọc</t>
  </si>
  <si>
    <t>ngocnt1</t>
  </si>
  <si>
    <t>E023120</t>
  </si>
  <si>
    <t>Vũ Thị Vân Anh</t>
  </si>
  <si>
    <t>anhvtv1</t>
  </si>
  <si>
    <t>E023837</t>
  </si>
  <si>
    <t>Trần Kiều Trang</t>
  </si>
  <si>
    <t>trangtk</t>
  </si>
  <si>
    <t>E024054</t>
  </si>
  <si>
    <t>Trịnh Thu Trang</t>
  </si>
  <si>
    <t>trangtt8</t>
  </si>
  <si>
    <t>E024254</t>
  </si>
  <si>
    <t>Đinh Thị Lan Anh</t>
  </si>
  <si>
    <t>anhdtl3</t>
  </si>
  <si>
    <t>E021782</t>
  </si>
  <si>
    <t>Hoàng Thị Nhường</t>
  </si>
  <si>
    <t>nhuonght</t>
  </si>
  <si>
    <t>E260064</t>
  </si>
  <si>
    <t>Mai Hoàng Anh</t>
  </si>
  <si>
    <t>mhanh</t>
  </si>
  <si>
    <t>ABBANK An Giang</t>
  </si>
  <si>
    <t>Vùng_8</t>
  </si>
  <si>
    <t>E260022</t>
  </si>
  <si>
    <t>Phạm Thanh Nhanh</t>
  </si>
  <si>
    <t>nhanhpt</t>
  </si>
  <si>
    <t>E030075</t>
  </si>
  <si>
    <t>Nguyễn Anh Thư</t>
  </si>
  <si>
    <t>thuna</t>
  </si>
  <si>
    <t>E260016</t>
  </si>
  <si>
    <t>Thái Thị Thùy Trâm</t>
  </si>
  <si>
    <t>Tramttt1</t>
  </si>
  <si>
    <t>E260037</t>
  </si>
  <si>
    <t>Nguyễn Ngọc Hải Âu</t>
  </si>
  <si>
    <t>aunnh</t>
  </si>
  <si>
    <t>E260043</t>
  </si>
  <si>
    <t>Nguyễn Thanh Bình</t>
  </si>
  <si>
    <t>thanhbinh</t>
  </si>
  <si>
    <t>E260074</t>
  </si>
  <si>
    <t>Trần Nguyễn Như Quỳnh</t>
  </si>
  <si>
    <t>quynhtnn</t>
  </si>
  <si>
    <t>E260096</t>
  </si>
  <si>
    <t>Nguyễn Hồng UôL</t>
  </si>
  <si>
    <t>uolnh</t>
  </si>
  <si>
    <t>E260098</t>
  </si>
  <si>
    <t>Nguyễn Đức Tiến</t>
  </si>
  <si>
    <t>tiennd2</t>
  </si>
  <si>
    <t>E260099</t>
  </si>
  <si>
    <t>Lê Nguyễn Tiểu My</t>
  </si>
  <si>
    <t>mylnt</t>
  </si>
  <si>
    <t>E260102</t>
  </si>
  <si>
    <t>Võ Phạm Ngọc Hiền</t>
  </si>
  <si>
    <t>hienvpn</t>
  </si>
  <si>
    <t>E260104</t>
  </si>
  <si>
    <t>Lý Mai Tiến Vững</t>
  </si>
  <si>
    <t>vunglmt</t>
  </si>
  <si>
    <t>E030067</t>
  </si>
  <si>
    <t>Đỗ Thị Bích Thảo</t>
  </si>
  <si>
    <t>thaodtb</t>
  </si>
  <si>
    <t>E030084</t>
  </si>
  <si>
    <t>Nguyễn Thị Bích Tuyền</t>
  </si>
  <si>
    <t>tuyenntb</t>
  </si>
  <si>
    <t>E030199</t>
  </si>
  <si>
    <t>Võ Thị Thanh Trúc</t>
  </si>
  <si>
    <t>trucvtt</t>
  </si>
  <si>
    <t>E030306</t>
  </si>
  <si>
    <t>Bùi Thị Trúc Phương</t>
  </si>
  <si>
    <t>phuongbtt</t>
  </si>
  <si>
    <t>ABBANK Cần Thơ</t>
  </si>
  <si>
    <t>E030052</t>
  </si>
  <si>
    <t>Huỳnh Thị Tuyết Như</t>
  </si>
  <si>
    <t>nhuhtt</t>
  </si>
  <si>
    <t>E030231</t>
  </si>
  <si>
    <t>Phan Đức Duy</t>
  </si>
  <si>
    <t>duypd</t>
  </si>
  <si>
    <t>E060111</t>
  </si>
  <si>
    <t>Nguyễn Bá Thế</t>
  </si>
  <si>
    <t>thenb</t>
  </si>
  <si>
    <t>ABBANK Bà Rịa Vũng Tàu</t>
  </si>
  <si>
    <t>E060112</t>
  </si>
  <si>
    <t>Hồ Nguyệt Thu</t>
  </si>
  <si>
    <t>hnthu</t>
  </si>
  <si>
    <t>E060162</t>
  </si>
  <si>
    <t>Phạm Thị Sen</t>
  </si>
  <si>
    <t>senpham</t>
  </si>
  <si>
    <t>E060178</t>
  </si>
  <si>
    <t>Phạm Thế Trình</t>
  </si>
  <si>
    <t>trinhpt</t>
  </si>
  <si>
    <t>E060181</t>
  </si>
  <si>
    <t>Mai Thị Ngọc Thảo</t>
  </si>
  <si>
    <t>ngocthao</t>
  </si>
  <si>
    <t>E060228</t>
  </si>
  <si>
    <t>Ngô Quang Hà</t>
  </si>
  <si>
    <t>hanq</t>
  </si>
  <si>
    <t>E060242</t>
  </si>
  <si>
    <t>Huỳnh Thị Mỹ Duyên</t>
  </si>
  <si>
    <t>duyenhtm1</t>
  </si>
  <si>
    <t>E060243</t>
  </si>
  <si>
    <t>Phan Thị Bảo Ngọc</t>
  </si>
  <si>
    <t>ngocptb3</t>
  </si>
  <si>
    <t>E060244</t>
  </si>
  <si>
    <t>Trần Đạt Khoa</t>
  </si>
  <si>
    <t>khoatd1</t>
  </si>
  <si>
    <t>E010294</t>
  </si>
  <si>
    <t>Nguyễn Thị Minh Quyên</t>
  </si>
  <si>
    <t>quyenntm</t>
  </si>
  <si>
    <t>E060208</t>
  </si>
  <si>
    <t>Lê Thị Diễm</t>
  </si>
  <si>
    <t>diemlt</t>
  </si>
  <si>
    <t>E060240</t>
  </si>
  <si>
    <t>Trần Thị Gấm</t>
  </si>
  <si>
    <t>gamtt</t>
  </si>
  <si>
    <t>E060091</t>
  </si>
  <si>
    <t>Nguyễn Thị Minh Thùy</t>
  </si>
  <si>
    <t>thuyntm</t>
  </si>
  <si>
    <t>E060001</t>
  </si>
  <si>
    <t>Nguyễn Văn Chương</t>
  </si>
  <si>
    <t>chuongnv</t>
  </si>
  <si>
    <t>E060175</t>
  </si>
  <si>
    <t>Đoàn Kiều Anh</t>
  </si>
  <si>
    <t>anhdk</t>
  </si>
  <si>
    <t>E060180</t>
  </si>
  <si>
    <t>Trần Thị Bích Ngọc</t>
  </si>
  <si>
    <t>ngoc.ttb</t>
  </si>
  <si>
    <t>E060251</t>
  </si>
  <si>
    <t>Nguyễn Đức Toàn</t>
  </si>
  <si>
    <t>toannd3</t>
  </si>
  <si>
    <t>E060008</t>
  </si>
  <si>
    <t>Đào Hồng Lam</t>
  </si>
  <si>
    <t>lamdh</t>
  </si>
  <si>
    <t>E060023</t>
  </si>
  <si>
    <t>Đỗ Thị Kim Yến</t>
  </si>
  <si>
    <t>yendtk</t>
  </si>
  <si>
    <t>E060043</t>
  </si>
  <si>
    <t>Bùi Thị Lan Hương</t>
  </si>
  <si>
    <t>btlhuong</t>
  </si>
  <si>
    <t>E060045</t>
  </si>
  <si>
    <t>Cù Thị Huyền</t>
  </si>
  <si>
    <t>huyenct</t>
  </si>
  <si>
    <t>E060141</t>
  </si>
  <si>
    <t>Hoàng Thị Khoát</t>
  </si>
  <si>
    <t>khoatht</t>
  </si>
  <si>
    <t>E060163</t>
  </si>
  <si>
    <t>Phùng Thị Huyền</t>
  </si>
  <si>
    <t>phunghuyen</t>
  </si>
  <si>
    <t>E060167</t>
  </si>
  <si>
    <t>Bùi Quốc Cường</t>
  </si>
  <si>
    <t>cuongbq</t>
  </si>
  <si>
    <t>E060168</t>
  </si>
  <si>
    <t>Đỗ Hùng Thắng</t>
  </si>
  <si>
    <t>thangdh</t>
  </si>
  <si>
    <t>E350088</t>
  </si>
  <si>
    <t>Lê Thạch Thảo</t>
  </si>
  <si>
    <t>thaolt2</t>
  </si>
  <si>
    <t>E060236</t>
  </si>
  <si>
    <t>Vũ Nguyễn Vân Anh</t>
  </si>
  <si>
    <t>anhvnv</t>
  </si>
  <si>
    <t>E030170</t>
  </si>
  <si>
    <t>Võ Thành Duy</t>
  </si>
  <si>
    <t>vtduy</t>
  </si>
  <si>
    <t>ABBANK Sóc Trăng</t>
  </si>
  <si>
    <t>E014401</t>
  </si>
  <si>
    <t>Lê Anh Hải</t>
  </si>
  <si>
    <t>haila</t>
  </si>
  <si>
    <t>E030131</t>
  </si>
  <si>
    <t>Nguyễn Văn Thượng</t>
  </si>
  <si>
    <t>nguyenthuong</t>
  </si>
  <si>
    <t>E130212</t>
  </si>
  <si>
    <t>Nguyễn Thị Trung Anh</t>
  </si>
  <si>
    <t>anhntt4</t>
  </si>
  <si>
    <t>ABBANK Bắc Ninh</t>
  </si>
  <si>
    <t>E130227</t>
  </si>
  <si>
    <t>Nguyễn Đình Hiệp</t>
  </si>
  <si>
    <t>hiepnd</t>
  </si>
  <si>
    <t>E130230</t>
  </si>
  <si>
    <t>Nguyễn Vĩnh Hoạch</t>
  </si>
  <si>
    <t>hoachnv2</t>
  </si>
  <si>
    <t>E130231</t>
  </si>
  <si>
    <t>Nguyễn Thị Lan Anh</t>
  </si>
  <si>
    <t>anhntl9</t>
  </si>
  <si>
    <t>E130238</t>
  </si>
  <si>
    <t>Trần Ngọc Trang</t>
  </si>
  <si>
    <t>trangtn</t>
  </si>
  <si>
    <t>E130003</t>
  </si>
  <si>
    <t>Đỗ Thị Hằng</t>
  </si>
  <si>
    <t>hangdt</t>
  </si>
  <si>
    <t>E130114</t>
  </si>
  <si>
    <t>Nguyễn Xuân Bạch</t>
  </si>
  <si>
    <t>bachnguyen</t>
  </si>
  <si>
    <t>E130166</t>
  </si>
  <si>
    <t>Nguyễn Thị Nga</t>
  </si>
  <si>
    <t>nguyenthi.nga</t>
  </si>
  <si>
    <t>E130215</t>
  </si>
  <si>
    <t>Nguyễn Minh Anh</t>
  </si>
  <si>
    <t>anhnm8</t>
  </si>
  <si>
    <t>E130218</t>
  </si>
  <si>
    <t>Doãn Thế Được</t>
  </si>
  <si>
    <t>duocdt</t>
  </si>
  <si>
    <t>E350118</t>
  </si>
  <si>
    <t>Nguyễn Thị Thu Quỳnh</t>
  </si>
  <si>
    <t>quynhntt3</t>
  </si>
  <si>
    <t>E020178</t>
  </si>
  <si>
    <t>Trần Thị Thu Nga</t>
  </si>
  <si>
    <t>ngattt</t>
  </si>
  <si>
    <t>E020182</t>
  </si>
  <si>
    <t>Ngô Thị Thu Hường</t>
  </si>
  <si>
    <t>huongntt</t>
  </si>
  <si>
    <t>E130038</t>
  </si>
  <si>
    <t>Lê Thị Tuyến</t>
  </si>
  <si>
    <t>tuyenle</t>
  </si>
  <si>
    <t>E130159</t>
  </si>
  <si>
    <t>Nguyễn Thị Trang</t>
  </si>
  <si>
    <t>thi.trang</t>
  </si>
  <si>
    <t>E021865</t>
  </si>
  <si>
    <t>Phạm Thị Việt Anh</t>
  </si>
  <si>
    <t>ptvanh</t>
  </si>
  <si>
    <t>ABBANK Đông Hà Nội</t>
  </si>
  <si>
    <t>E022076</t>
  </si>
  <si>
    <t>Đinh Thị Thu Trang</t>
  </si>
  <si>
    <t>trangdinh</t>
  </si>
  <si>
    <t>E024017</t>
  </si>
  <si>
    <t>Đinh Đức Anh</t>
  </si>
  <si>
    <t>anhdd6</t>
  </si>
  <si>
    <t>E024067</t>
  </si>
  <si>
    <t>Trịnh Thị Thùy Linh</t>
  </si>
  <si>
    <t>linhttt6</t>
  </si>
  <si>
    <t>E050377</t>
  </si>
  <si>
    <t>Nguyễn Văn Huyên</t>
  </si>
  <si>
    <t>huyennv</t>
  </si>
  <si>
    <t>E050336</t>
  </si>
  <si>
    <t>Trần Huỳnh Tuyết Nhi</t>
  </si>
  <si>
    <t>nhitht</t>
  </si>
  <si>
    <t>E050365</t>
  </si>
  <si>
    <t>ntdmy</t>
  </si>
  <si>
    <t>E050421</t>
  </si>
  <si>
    <t>Đặng Thị Thắm</t>
  </si>
  <si>
    <t>thamdt</t>
  </si>
  <si>
    <t>E050367</t>
  </si>
  <si>
    <t>Nguyễn Quỳnh Trang</t>
  </si>
  <si>
    <t>trangnq1</t>
  </si>
  <si>
    <t>E050420</t>
  </si>
  <si>
    <t>Bùi Huy Tuấn</t>
  </si>
  <si>
    <t>tuanbh</t>
  </si>
  <si>
    <t>E160031</t>
  </si>
  <si>
    <t>Nguyễn Hùng Cường</t>
  </si>
  <si>
    <t>hungcuong</t>
  </si>
  <si>
    <t>ABBANK Bến Lức</t>
  </si>
  <si>
    <t>E160043</t>
  </si>
  <si>
    <t>Phạm Thị Thanh Thúy</t>
  </si>
  <si>
    <t>thuypham</t>
  </si>
  <si>
    <t>E160151</t>
  </si>
  <si>
    <t>Nguyễn Thị Kim Hương</t>
  </si>
  <si>
    <t>huongntk1</t>
  </si>
  <si>
    <t>E010347</t>
  </si>
  <si>
    <t>Lưu Minh Thiện</t>
  </si>
  <si>
    <t>thienlm</t>
  </si>
  <si>
    <t>ABBANK Chánh Hưng</t>
  </si>
  <si>
    <t>E050004</t>
  </si>
  <si>
    <t>Phạm Ngọc Bính</t>
  </si>
  <si>
    <t>binhpn</t>
  </si>
  <si>
    <t>E050082</t>
  </si>
  <si>
    <t>Đòan Quốc Tuấn</t>
  </si>
  <si>
    <t>tuandq</t>
  </si>
  <si>
    <t>E050111</t>
  </si>
  <si>
    <t>Hồ Văn Hoàng</t>
  </si>
  <si>
    <t>hoanghv</t>
  </si>
  <si>
    <t>E050112</t>
  </si>
  <si>
    <t>Mai Hoàng Dũng</t>
  </si>
  <si>
    <t>dungmh</t>
  </si>
  <si>
    <t>E280004</t>
  </si>
  <si>
    <t>Trần Thị Ánh Hồng</t>
  </si>
  <si>
    <t>hongtta</t>
  </si>
  <si>
    <t>E300070</t>
  </si>
  <si>
    <t>Lê Khánh Hòa</t>
  </si>
  <si>
    <t>hoalk</t>
  </si>
  <si>
    <t>E050173</t>
  </si>
  <si>
    <t>Võ Minh Vương</t>
  </si>
  <si>
    <t>vuongvm</t>
  </si>
  <si>
    <t>E050227</t>
  </si>
  <si>
    <t>Nguyễn Phước Thịnh</t>
  </si>
  <si>
    <t>thinhnp</t>
  </si>
  <si>
    <t>E050296</t>
  </si>
  <si>
    <t>Trần Thiên Trang</t>
  </si>
  <si>
    <t>trangthien</t>
  </si>
  <si>
    <t>E050322</t>
  </si>
  <si>
    <t>Hoàng Thị Thanh Phương</t>
  </si>
  <si>
    <t>httphuong</t>
  </si>
  <si>
    <t>E050382</t>
  </si>
  <si>
    <t>Lê Mạnh Phường</t>
  </si>
  <si>
    <t>phuonglm1</t>
  </si>
  <si>
    <t>E011058</t>
  </si>
  <si>
    <t>Nguyễn Thành Đức</t>
  </si>
  <si>
    <t>ntduc</t>
  </si>
  <si>
    <t>ABBANK Long An</t>
  </si>
  <si>
    <t>E050358</t>
  </si>
  <si>
    <t>Nguyễn Thị Ngọc Hường</t>
  </si>
  <si>
    <t>huongntn</t>
  </si>
  <si>
    <t>E050400</t>
  </si>
  <si>
    <t>Trần Hồng Phúc</t>
  </si>
  <si>
    <t>phucth</t>
  </si>
  <si>
    <t>E050402</t>
  </si>
  <si>
    <t>Thái Thanh Phong</t>
  </si>
  <si>
    <t>phongtt1</t>
  </si>
  <si>
    <t>E050454</t>
  </si>
  <si>
    <t>Trần Thị Kim Vân</t>
  </si>
  <si>
    <t>vanttk</t>
  </si>
  <si>
    <t>E050433</t>
  </si>
  <si>
    <t>Nguyễn Thị Hoàng Mai</t>
  </si>
  <si>
    <t>mainth3</t>
  </si>
  <si>
    <t>E250018</t>
  </si>
  <si>
    <t>Lê Hoàng Nhã</t>
  </si>
  <si>
    <t>nhalh</t>
  </si>
  <si>
    <t>E250043</t>
  </si>
  <si>
    <t>Nguyễn Tuấn An</t>
  </si>
  <si>
    <t>ntan</t>
  </si>
  <si>
    <t>E250003</t>
  </si>
  <si>
    <t>Vũ Thị Kim Ngọc</t>
  </si>
  <si>
    <t>vtkngoc</t>
  </si>
  <si>
    <t>E250010</t>
  </si>
  <si>
    <t>Trần Thị Phương Nga</t>
  </si>
  <si>
    <t>ngattp</t>
  </si>
  <si>
    <t>E250108</t>
  </si>
  <si>
    <t>Nguyễn Thị Cẩm Thu</t>
  </si>
  <si>
    <t>thuntc1</t>
  </si>
  <si>
    <t>E250070</t>
  </si>
  <si>
    <t>Lưu Thúy Vy</t>
  </si>
  <si>
    <t>vylt</t>
  </si>
  <si>
    <t>E250075</t>
  </si>
  <si>
    <t>Nguyễn Phi Hải</t>
  </si>
  <si>
    <t>hainp</t>
  </si>
  <si>
    <t>E250082</t>
  </si>
  <si>
    <t>Phan Minh Hải</t>
  </si>
  <si>
    <t>haipm</t>
  </si>
  <si>
    <t>E250093</t>
  </si>
  <si>
    <t>linhltt1</t>
  </si>
  <si>
    <t>E250097</t>
  </si>
  <si>
    <t>Vũ Trường Lâm</t>
  </si>
  <si>
    <t>lamvt2</t>
  </si>
  <si>
    <t>E250116</t>
  </si>
  <si>
    <t>Ngô Duy Tôn</t>
  </si>
  <si>
    <t>tonnd</t>
  </si>
  <si>
    <t>E250117</t>
  </si>
  <si>
    <t>Lê Thị Thu</t>
  </si>
  <si>
    <t>thult2</t>
  </si>
  <si>
    <t>E110145</t>
  </si>
  <si>
    <t>Hà Văn Hồng</t>
  </si>
  <si>
    <t>honghv</t>
  </si>
  <si>
    <t>E250112</t>
  </si>
  <si>
    <t>Nguyễn Thị Khánh Linh</t>
  </si>
  <si>
    <t>linhntk3</t>
  </si>
  <si>
    <t>E250119</t>
  </si>
  <si>
    <t>Lê Thị Đức Hạnh</t>
  </si>
  <si>
    <t>hanhltd</t>
  </si>
  <si>
    <t>E250120</t>
  </si>
  <si>
    <t>Trần Minh Huy</t>
  </si>
  <si>
    <t>huytm1</t>
  </si>
  <si>
    <t>E050028</t>
  </si>
  <si>
    <t>Phạm Thị Quyền</t>
  </si>
  <si>
    <t>quyenpham</t>
  </si>
  <si>
    <t>E050103</t>
  </si>
  <si>
    <t>Trần Thị Lệ Thắm</t>
  </si>
  <si>
    <t>thamttl</t>
  </si>
  <si>
    <t>E050106</t>
  </si>
  <si>
    <t>Hà Thị Quyên</t>
  </si>
  <si>
    <t>quyenha</t>
  </si>
  <si>
    <t>E250068</t>
  </si>
  <si>
    <t>Nguyễn Thị Thi</t>
  </si>
  <si>
    <t>thithi</t>
  </si>
  <si>
    <t>E250100</t>
  </si>
  <si>
    <t>Lê Thị Thanh Hằng</t>
  </si>
  <si>
    <t>hangltt1</t>
  </si>
  <si>
    <t>E250102</t>
  </si>
  <si>
    <t>Trịnh Mỹ Hảo</t>
  </si>
  <si>
    <t>haotm</t>
  </si>
  <si>
    <t>E250130</t>
  </si>
  <si>
    <t>Nguyễn Thị Gái</t>
  </si>
  <si>
    <t>gaint1</t>
  </si>
  <si>
    <t>E350068</t>
  </si>
  <si>
    <t>Nguyễn Thị Thanh Trúc</t>
  </si>
  <si>
    <t>trucntt2</t>
  </si>
  <si>
    <t>E250109</t>
  </si>
  <si>
    <t>tinhnt1</t>
  </si>
  <si>
    <t>E013691</t>
  </si>
  <si>
    <t>Nguyễn Văn Pốt</t>
  </si>
  <si>
    <t>potnv</t>
  </si>
  <si>
    <t>E013475</t>
  </si>
  <si>
    <t>Nguyễn Tuấn Khanh</t>
  </si>
  <si>
    <t>KHANHNT2</t>
  </si>
  <si>
    <t>E013490</t>
  </si>
  <si>
    <t>Trần Thanh Bình</t>
  </si>
  <si>
    <t>tranbinh</t>
  </si>
  <si>
    <t>E014478</t>
  </si>
  <si>
    <t>Nguyễn Quang Trinh</t>
  </si>
  <si>
    <t>trinhnq</t>
  </si>
  <si>
    <t>E100094</t>
  </si>
  <si>
    <t>nguyenthithutrang</t>
  </si>
  <si>
    <t>ABBANK Quảng Ninh</t>
  </si>
  <si>
    <t>E030156</t>
  </si>
  <si>
    <t>Võ Chí Thành</t>
  </si>
  <si>
    <t>thanhvc</t>
  </si>
  <si>
    <t>E030077</t>
  </si>
  <si>
    <t>Trần Thanh Thủy</t>
  </si>
  <si>
    <t>thuytran</t>
  </si>
  <si>
    <t>E030142</t>
  </si>
  <si>
    <t>Đỗ Thị Thanh Hảo</t>
  </si>
  <si>
    <t>E030280</t>
  </si>
  <si>
    <t>Ngô Thị Nhi</t>
  </si>
  <si>
    <t>nhingo</t>
  </si>
  <si>
    <t>E030294</t>
  </si>
  <si>
    <t>Lê Thị Quỳnh Anh</t>
  </si>
  <si>
    <t>anhltq3</t>
  </si>
  <si>
    <t>E030316</t>
  </si>
  <si>
    <t>Lê Vân Anh</t>
  </si>
  <si>
    <t>anhlv1</t>
  </si>
  <si>
    <t>E030319</t>
  </si>
  <si>
    <t>Biền Thị Bích Trâm</t>
  </si>
  <si>
    <t>trambtb</t>
  </si>
  <si>
    <t>E030339</t>
  </si>
  <si>
    <t>Lê Nguyên Hạnh</t>
  </si>
  <si>
    <t>hanhln3</t>
  </si>
  <si>
    <t>E030149</t>
  </si>
  <si>
    <t>Vũ Thị Thanh Nga</t>
  </si>
  <si>
    <t>ngavtt</t>
  </si>
  <si>
    <t>E030178</t>
  </si>
  <si>
    <t>Nguyễn Thị Hải Yến</t>
  </si>
  <si>
    <t>haiyen</t>
  </si>
  <si>
    <t>E030188</t>
  </si>
  <si>
    <t>Nguyễn Phương Nhung</t>
  </si>
  <si>
    <t>nhungnp</t>
  </si>
  <si>
    <t>E030283</t>
  </si>
  <si>
    <t>Hà Thị Phương Liên</t>
  </si>
  <si>
    <t>lienhtp</t>
  </si>
  <si>
    <t>E030300</t>
  </si>
  <si>
    <t>Nguyễn Thị Bảo Hân</t>
  </si>
  <si>
    <t>hanntb</t>
  </si>
  <si>
    <t>E350194</t>
  </si>
  <si>
    <t>Bùi Văn Chinh</t>
  </si>
  <si>
    <t>CHINHBV</t>
  </si>
  <si>
    <t>E230019</t>
  </si>
  <si>
    <t>Nguyễn Thị Ngọc Diễm</t>
  </si>
  <si>
    <t>ngocdiem</t>
  </si>
  <si>
    <t>E014402</t>
  </si>
  <si>
    <t>Nguyễn Hoàng Việt</t>
  </si>
  <si>
    <t>vietnh1</t>
  </si>
  <si>
    <t>E011050</t>
  </si>
  <si>
    <t>Nguyễn Thị Ngọc Tuyền</t>
  </si>
  <si>
    <t>tuyenntn</t>
  </si>
  <si>
    <t>E013572</t>
  </si>
  <si>
    <t>Huỳnh Hoài Phong</t>
  </si>
  <si>
    <t>phonghh</t>
  </si>
  <si>
    <t>E014006</t>
  </si>
  <si>
    <t>Nguyễn Văn Thoại</t>
  </si>
  <si>
    <t>thoainv</t>
  </si>
  <si>
    <t>E014369</t>
  </si>
  <si>
    <t>Nguyễn Báu Bảo Ngọc</t>
  </si>
  <si>
    <t>ngocnbb</t>
  </si>
  <si>
    <t>E014506</t>
  </si>
  <si>
    <t>Vũ Nguyễn Thùy Trang</t>
  </si>
  <si>
    <t>trangvnt</t>
  </si>
  <si>
    <t>E014512</t>
  </si>
  <si>
    <t>Nguyễn Mạnh Đoàn</t>
  </si>
  <si>
    <t>doannm1</t>
  </si>
  <si>
    <t>E014574</t>
  </si>
  <si>
    <t>Mai Trung Hiệp</t>
  </si>
  <si>
    <t>hiepmt</t>
  </si>
  <si>
    <t>E014590</t>
  </si>
  <si>
    <t>Ngô Lê Gia Luật</t>
  </si>
  <si>
    <t>luatnlg</t>
  </si>
  <si>
    <t>E014591</t>
  </si>
  <si>
    <t>Lê Hoàng Nhật Tân</t>
  </si>
  <si>
    <t>tanlhn</t>
  </si>
  <si>
    <t>E014756</t>
  </si>
  <si>
    <t>Phạm Hà Như Phụng</t>
  </si>
  <si>
    <t>phungphn</t>
  </si>
  <si>
    <t>E150301</t>
  </si>
  <si>
    <t>Đoàn Thị Thủy Tiên</t>
  </si>
  <si>
    <t>tiendtt</t>
  </si>
  <si>
    <t>ABBANK Đồng Nai</t>
  </si>
  <si>
    <t>E200328</t>
  </si>
  <si>
    <t>Nguyễn An Lành</t>
  </si>
  <si>
    <t>lanhna</t>
  </si>
  <si>
    <t>E150286</t>
  </si>
  <si>
    <t>Nguyễn Thị Lan</t>
  </si>
  <si>
    <t>lannt4</t>
  </si>
  <si>
    <t>E250124</t>
  </si>
  <si>
    <t>Trần Viết Quang Vinh</t>
  </si>
  <si>
    <t>vinhtvq</t>
  </si>
  <si>
    <t>E050055</t>
  </si>
  <si>
    <t>Phạm Tuấn Anh</t>
  </si>
  <si>
    <t>anhpt</t>
  </si>
  <si>
    <t>E250123</t>
  </si>
  <si>
    <t>Đỗ Thị Liên Hương</t>
  </si>
  <si>
    <t>huongdtl</t>
  </si>
  <si>
    <t>E050328</t>
  </si>
  <si>
    <t>Phạm Công Tiến</t>
  </si>
  <si>
    <t>tienpc</t>
  </si>
  <si>
    <t>E200376</t>
  </si>
  <si>
    <t>Hồ Hữu Hạnh</t>
  </si>
  <si>
    <t>hanhhh</t>
  </si>
  <si>
    <t>E250037</t>
  </si>
  <si>
    <t>Trần Mạnh Chí</t>
  </si>
  <si>
    <t>chitm</t>
  </si>
  <si>
    <t>E250065</t>
  </si>
  <si>
    <t>Phạm Thị Tuyết Hạnh</t>
  </si>
  <si>
    <t>hanhptt</t>
  </si>
  <si>
    <t>E250088</t>
  </si>
  <si>
    <t>Nguyễn Hoàng Bá Vương</t>
  </si>
  <si>
    <t>vuongnhb</t>
  </si>
  <si>
    <t>E250129</t>
  </si>
  <si>
    <t>Lê Trọng Hải Bình</t>
  </si>
  <si>
    <t>binhlth1</t>
  </si>
  <si>
    <t>E110192</t>
  </si>
  <si>
    <t>Lò Thị Thảo</t>
  </si>
  <si>
    <t>thaolt1</t>
  </si>
  <si>
    <t>E021878</t>
  </si>
  <si>
    <t>Nguyễn Công Cường</t>
  </si>
  <si>
    <t>cuongcong</t>
  </si>
  <si>
    <t>ABBANK Đại Kim</t>
  </si>
  <si>
    <t>E021093</t>
  </si>
  <si>
    <t>Dương Thị Nhung</t>
  </si>
  <si>
    <t>nhungduong</t>
  </si>
  <si>
    <t>E022773</t>
  </si>
  <si>
    <t>Thạch Thị Thanh</t>
  </si>
  <si>
    <t>thanhtt1</t>
  </si>
  <si>
    <t>E024373</t>
  </si>
  <si>
    <t>Nguyễn Thị Hà Trang</t>
  </si>
  <si>
    <t>trangnth23</t>
  </si>
  <si>
    <t>E024628</t>
  </si>
  <si>
    <t>Nguyễn Thùy Dung</t>
  </si>
  <si>
    <t>dungnt26</t>
  </si>
  <si>
    <t>E020612</t>
  </si>
  <si>
    <t>Phạm Thu Huyền</t>
  </si>
  <si>
    <t>huyenpt</t>
  </si>
  <si>
    <t>E022933</t>
  </si>
  <si>
    <t>Vũ Minh Đức</t>
  </si>
  <si>
    <t>ducvm1</t>
  </si>
  <si>
    <t>E190187</t>
  </si>
  <si>
    <t>Đỗ Hồng Liên</t>
  </si>
  <si>
    <t>LIENDH</t>
  </si>
  <si>
    <t>ABBANK Thái Nguyên</t>
  </si>
  <si>
    <t>E190174</t>
  </si>
  <si>
    <t>Nguyễn Văn Thìn</t>
  </si>
  <si>
    <t>thinnv</t>
  </si>
  <si>
    <t>E190079</t>
  </si>
  <si>
    <t>yendo</t>
  </si>
  <si>
    <t>E190175</t>
  </si>
  <si>
    <t>Lê Hải Yến</t>
  </si>
  <si>
    <t>yenlh</t>
  </si>
  <si>
    <t>E190204</t>
  </si>
  <si>
    <t>Vũ Thị Vân</t>
  </si>
  <si>
    <t>vanvt3</t>
  </si>
  <si>
    <t>E190199</t>
  </si>
  <si>
    <t>huyenlt9</t>
  </si>
  <si>
    <t>E014739</t>
  </si>
  <si>
    <t>Điền Hòa Anh</t>
  </si>
  <si>
    <t>anhdh7</t>
  </si>
  <si>
    <t>ABBANK Tp.HCM</t>
  </si>
  <si>
    <t>E010624</t>
  </si>
  <si>
    <t>Trịnh Nguyễn Thuỳ Dương</t>
  </si>
  <si>
    <t>duongtnt1</t>
  </si>
  <si>
    <t>E014390</t>
  </si>
  <si>
    <t>Huỳnh Thị Thúy Kiều</t>
  </si>
  <si>
    <t>kieuhtt</t>
  </si>
  <si>
    <t>E021444</t>
  </si>
  <si>
    <t>Trần Lan Anh</t>
  </si>
  <si>
    <t>anhtl</t>
  </si>
  <si>
    <t>ABBANK Đào Tấn</t>
  </si>
  <si>
    <t>E020061</t>
  </si>
  <si>
    <t>Lê Thị Dương</t>
  </si>
  <si>
    <t>duonglt</t>
  </si>
  <si>
    <t>E020066</t>
  </si>
  <si>
    <t>Nguyễn Thị Hoài An</t>
  </si>
  <si>
    <t>annth</t>
  </si>
  <si>
    <t>E022904</t>
  </si>
  <si>
    <t>Trần Thị Huyền</t>
  </si>
  <si>
    <t>huyentt3</t>
  </si>
  <si>
    <t>E024494</t>
  </si>
  <si>
    <t>Lê Phương Chi</t>
  </si>
  <si>
    <t>chilp2</t>
  </si>
  <si>
    <t>E022659</t>
  </si>
  <si>
    <t>trangnth2</t>
  </si>
  <si>
    <t>E022834</t>
  </si>
  <si>
    <t>Phạm Thị Bích Ngọc</t>
  </si>
  <si>
    <t>ngocptb1</t>
  </si>
  <si>
    <t>E050327</t>
  </si>
  <si>
    <t>Nguyễn Thị Yến Thi</t>
  </si>
  <si>
    <t>thinty</t>
  </si>
  <si>
    <t>E050435</t>
  </si>
  <si>
    <t>Trần Ngọc Hiệu</t>
  </si>
  <si>
    <t>hieutn1</t>
  </si>
  <si>
    <t>E050436</t>
  </si>
  <si>
    <t>Trần Hải Hồng Quân</t>
  </si>
  <si>
    <t>quanthh</t>
  </si>
  <si>
    <t>E250077</t>
  </si>
  <si>
    <t>Nguyễn Thanh Quý</t>
  </si>
  <si>
    <t>quynt2</t>
  </si>
  <si>
    <t>E050085</t>
  </si>
  <si>
    <t>Nguyễn Thị Thanh Hòa</t>
  </si>
  <si>
    <t>hoantt3</t>
  </si>
  <si>
    <t>E050391</t>
  </si>
  <si>
    <t>Lê Thị Ngọc Trâm</t>
  </si>
  <si>
    <t>tramltn</t>
  </si>
  <si>
    <t>E050407</t>
  </si>
  <si>
    <t>Phạm Hạ Uyên</t>
  </si>
  <si>
    <t>uyenph</t>
  </si>
  <si>
    <t>E350220</t>
  </si>
  <si>
    <t>Lê Thị Ngọc Ánh</t>
  </si>
  <si>
    <t>anhltn5</t>
  </si>
  <si>
    <t>E320040</t>
  </si>
  <si>
    <t>Hoàng Hải Vinh</t>
  </si>
  <si>
    <t>vinhhh</t>
  </si>
  <si>
    <t>ABBANK Điện Biên</t>
  </si>
  <si>
    <t>E320033</t>
  </si>
  <si>
    <t>Hồ Tiến Hoàng</t>
  </si>
  <si>
    <t>hoanght</t>
  </si>
  <si>
    <t>E020074</t>
  </si>
  <si>
    <t>Phan Thị Vân</t>
  </si>
  <si>
    <t>phan.van</t>
  </si>
  <si>
    <t>ABBANK Đinh Tiên Hoàng</t>
  </si>
  <si>
    <t>E020019</t>
  </si>
  <si>
    <t>Phạm Ngọc Hà</t>
  </si>
  <si>
    <t>hapn</t>
  </si>
  <si>
    <t>E050388</t>
  </si>
  <si>
    <t>Huỳnh Thị Hân</t>
  </si>
  <si>
    <t>hanht</t>
  </si>
  <si>
    <t>E050404</t>
  </si>
  <si>
    <t>Nguyễn Thị Hồng Trang</t>
  </si>
  <si>
    <t>trangnth5</t>
  </si>
  <si>
    <t>E050410</t>
  </si>
  <si>
    <t>Dương Trường Diện</t>
  </si>
  <si>
    <t>diendt</t>
  </si>
  <si>
    <t>E050425</t>
  </si>
  <si>
    <t>Hồ Thị Thanh Hằng</t>
  </si>
  <si>
    <t>hanghtt2</t>
  </si>
  <si>
    <t>E050428</t>
  </si>
  <si>
    <t>Hoàng Tuấn Anh</t>
  </si>
  <si>
    <t>anhht3</t>
  </si>
  <si>
    <t>E050070</t>
  </si>
  <si>
    <t>Nguyễn Thị Huyền</t>
  </si>
  <si>
    <t>thihuyen</t>
  </si>
  <si>
    <t>E050342</t>
  </si>
  <si>
    <t>Đinh Thị Huệ</t>
  </si>
  <si>
    <t>huedt</t>
  </si>
  <si>
    <t>E050354</t>
  </si>
  <si>
    <t>Đỗ Thị Kim Oanh</t>
  </si>
  <si>
    <t>oanhdtk1</t>
  </si>
  <si>
    <t>E020533</t>
  </si>
  <si>
    <t>Nguyễn Khắc Tuân</t>
  </si>
  <si>
    <t>tuannk</t>
  </si>
  <si>
    <t>E130046</t>
  </si>
  <si>
    <t>Lê Thịnh</t>
  </si>
  <si>
    <t>thinhl</t>
  </si>
  <si>
    <t>E022959</t>
  </si>
  <si>
    <t>Đàm Anh Tú</t>
  </si>
  <si>
    <t>tuda1</t>
  </si>
  <si>
    <t>E023373</t>
  </si>
  <si>
    <t>Đoàn Như Quỳnh</t>
  </si>
  <si>
    <t>quynhdn1</t>
  </si>
  <si>
    <t>E250090</t>
  </si>
  <si>
    <t>Cao Ngọc Tiền</t>
  </si>
  <si>
    <t>tiencn</t>
  </si>
  <si>
    <t>E250127</t>
  </si>
  <si>
    <t>Nguyễn Thị Thu Đào</t>
  </si>
  <si>
    <t>daontt2</t>
  </si>
  <si>
    <t>E160162</t>
  </si>
  <si>
    <t>Trần Nam Hải</t>
  </si>
  <si>
    <t>haitn1</t>
  </si>
  <si>
    <t>E010950</t>
  </si>
  <si>
    <t>Từ Văn Tèo</t>
  </si>
  <si>
    <t>teotv</t>
  </si>
  <si>
    <t>E160045</t>
  </si>
  <si>
    <t>Trà Thanh Vũ</t>
  </si>
  <si>
    <t>vutra</t>
  </si>
  <si>
    <t>E160002</t>
  </si>
  <si>
    <t>Lê Thị Vẩn</t>
  </si>
  <si>
    <t>vanlt</t>
  </si>
  <si>
    <t>E160096</t>
  </si>
  <si>
    <t>Nguyễn Hoàng Gia</t>
  </si>
  <si>
    <t>gianh</t>
  </si>
  <si>
    <t>E160110</t>
  </si>
  <si>
    <t>Nguyễn Văn Ẩn</t>
  </si>
  <si>
    <t>annv</t>
  </si>
  <si>
    <t>E160160</t>
  </si>
  <si>
    <t>Võ Tuấn Anh</t>
  </si>
  <si>
    <t>anhvt8</t>
  </si>
  <si>
    <t>E160164</t>
  </si>
  <si>
    <t>Trang Chang</t>
  </si>
  <si>
    <t>changt</t>
  </si>
  <si>
    <t>E160076</t>
  </si>
  <si>
    <t>Lê Minh Tài</t>
  </si>
  <si>
    <t>tailm</t>
  </si>
  <si>
    <t>E160117</t>
  </si>
  <si>
    <t>Võ Quỳnh Như</t>
  </si>
  <si>
    <t>nhuvq1</t>
  </si>
  <si>
    <t>E230094</t>
  </si>
  <si>
    <t>Trần Văn Bé Hai</t>
  </si>
  <si>
    <t>haitvb</t>
  </si>
  <si>
    <t>E350075</t>
  </si>
  <si>
    <t>Trương Quang Minh</t>
  </si>
  <si>
    <t>minhtq3</t>
  </si>
  <si>
    <t>E011047</t>
  </si>
  <si>
    <t>Hà Hữu Tân</t>
  </si>
  <si>
    <t>tanhh</t>
  </si>
  <si>
    <t>E090104</t>
  </si>
  <si>
    <t>Nguyễn Vũ Hoàng</t>
  </si>
  <si>
    <t>nguyenhoang</t>
  </si>
  <si>
    <t>E180046</t>
  </si>
  <si>
    <t>Đào Khánh Linh</t>
  </si>
  <si>
    <t>linhdk</t>
  </si>
  <si>
    <t>E220058</t>
  </si>
  <si>
    <t>Dương Đồng Tâm</t>
  </si>
  <si>
    <t>tamdd</t>
  </si>
  <si>
    <t>E260069</t>
  </si>
  <si>
    <t>Vương Vũ Quan</t>
  </si>
  <si>
    <t>quanvv</t>
  </si>
  <si>
    <t>E350186</t>
  </si>
  <si>
    <t>Trần Lâm Hùng</t>
  </si>
  <si>
    <t>HUNGTL1</t>
  </si>
  <si>
    <t>E350187</t>
  </si>
  <si>
    <t>Trần Văn Duy</t>
  </si>
  <si>
    <t>DUYTV2</t>
  </si>
  <si>
    <t>E350189</t>
  </si>
  <si>
    <t>Trịnh Trần Hoàng Vũ</t>
  </si>
  <si>
    <t>VUTTH</t>
  </si>
  <si>
    <t>E350190</t>
  </si>
  <si>
    <t>Dương Đình Tình</t>
  </si>
  <si>
    <t>TINHDD2</t>
  </si>
  <si>
    <t>E350191</t>
  </si>
  <si>
    <t>Phạm Đình Cương</t>
  </si>
  <si>
    <t>CUONGPD1</t>
  </si>
  <si>
    <t>E350192</t>
  </si>
  <si>
    <t>Nguyễn Mạnh Tuấn</t>
  </si>
  <si>
    <t>TUANNM8</t>
  </si>
  <si>
    <t>E350193</t>
  </si>
  <si>
    <t>Nguyễn Thị Giang</t>
  </si>
  <si>
    <t>GIANGNT23</t>
  </si>
  <si>
    <t>E012954</t>
  </si>
  <si>
    <t>Đặng Lê Bảo Vân</t>
  </si>
  <si>
    <t>vanle</t>
  </si>
  <si>
    <t>E350173</t>
  </si>
  <si>
    <t>Đặng Văn Hiếu</t>
  </si>
  <si>
    <t>HIEUDV1</t>
  </si>
  <si>
    <t>E160055</t>
  </si>
  <si>
    <t>Phan Thị Huỳnh Chi</t>
  </si>
  <si>
    <t>chipth</t>
  </si>
  <si>
    <t>E160058</t>
  </si>
  <si>
    <t>Phan Thị Kim Oanh</t>
  </si>
  <si>
    <t>oanhphan</t>
  </si>
  <si>
    <t>E160085</t>
  </si>
  <si>
    <t>duyenhtm</t>
  </si>
  <si>
    <t>E160116</t>
  </si>
  <si>
    <t>Trương Thị Thanh Trúc</t>
  </si>
  <si>
    <t>tructtt1</t>
  </si>
  <si>
    <t>E010170</t>
  </si>
  <si>
    <t>Dương Thị Ngọc Lài</t>
  </si>
  <si>
    <t>laidtn</t>
  </si>
  <si>
    <t>E160148</t>
  </si>
  <si>
    <t>Nguyễn Thị Diễm Trinh</t>
  </si>
  <si>
    <t>trinhntd</t>
  </si>
  <si>
    <t>E150260</t>
  </si>
  <si>
    <t>Trần Thị Vân Anh</t>
  </si>
  <si>
    <t>anhttv2</t>
  </si>
  <si>
    <t>E150256</t>
  </si>
  <si>
    <t>ngalt1</t>
  </si>
  <si>
    <t>E150296</t>
  </si>
  <si>
    <t>Đỗ Thị Hoàng Châu</t>
  </si>
  <si>
    <t>chaudth</t>
  </si>
  <si>
    <t>E150309</t>
  </si>
  <si>
    <t>Trương Như Nguyện</t>
  </si>
  <si>
    <t>nguyentn</t>
  </si>
  <si>
    <t>E150281</t>
  </si>
  <si>
    <t>Nguyễn Văn Nhân</t>
  </si>
  <si>
    <t>nhannv3</t>
  </si>
  <si>
    <t>E150313</t>
  </si>
  <si>
    <t>Nguyễn Thế Nhật</t>
  </si>
  <si>
    <t>nhatnt</t>
  </si>
  <si>
    <t>E011893</t>
  </si>
  <si>
    <t>Nguyễn Văn Tùng</t>
  </si>
  <si>
    <t>tungnv</t>
  </si>
  <si>
    <t>ABBANK Lũy Bán Bích</t>
  </si>
  <si>
    <t>E014705</t>
  </si>
  <si>
    <t>Nguyễn Ngọc Thu Duyên</t>
  </si>
  <si>
    <t>duyennnt</t>
  </si>
  <si>
    <t>E200382</t>
  </si>
  <si>
    <t>Trần Lê Minh Nguyệt</t>
  </si>
  <si>
    <t>nguyettlm</t>
  </si>
  <si>
    <t>E014718</t>
  </si>
  <si>
    <t>Nguyễn Thị Kim Phượng</t>
  </si>
  <si>
    <t>phuongntk5</t>
  </si>
  <si>
    <t>E014655</t>
  </si>
  <si>
    <t>Lê Hải Sơn</t>
  </si>
  <si>
    <t>sonlh3</t>
  </si>
  <si>
    <t>E350233</t>
  </si>
  <si>
    <t>Phạm Thế Hưng</t>
  </si>
  <si>
    <t>HUNGPT3</t>
  </si>
  <si>
    <t>E014769</t>
  </si>
  <si>
    <t>Nguyễn Thanh Phong</t>
  </si>
  <si>
    <t>phongnt3</t>
  </si>
  <si>
    <t>E012432</t>
  </si>
  <si>
    <t>Huỳnh Thị Kim Tiền</t>
  </si>
  <si>
    <t>tienhtk</t>
  </si>
  <si>
    <t>E013370</t>
  </si>
  <si>
    <t>Hồ Ngọc Thanh</t>
  </si>
  <si>
    <t>thanhho</t>
  </si>
  <si>
    <t>E014538</t>
  </si>
  <si>
    <t>Nguyễn Ngọc Uyên Nhân</t>
  </si>
  <si>
    <t>nhannnu</t>
  </si>
  <si>
    <t>E014634</t>
  </si>
  <si>
    <t>Huỳnh Nguyễn Ngọc Long</t>
  </si>
  <si>
    <t>longhnn</t>
  </si>
  <si>
    <t>E014810</t>
  </si>
  <si>
    <t>Đặng Hữu Thanh</t>
  </si>
  <si>
    <t>thanhdh2</t>
  </si>
  <si>
    <t>E190149</t>
  </si>
  <si>
    <t>Mạc Đăng Khoa</t>
  </si>
  <si>
    <t>khoamd</t>
  </si>
  <si>
    <t>E190014</t>
  </si>
  <si>
    <t>Nguyễn Hương Giang</t>
  </si>
  <si>
    <t>nhgiang</t>
  </si>
  <si>
    <t>E190015</t>
  </si>
  <si>
    <t>Phạm Thị Hải Yến</t>
  </si>
  <si>
    <t>yenpth</t>
  </si>
  <si>
    <t>E190161</t>
  </si>
  <si>
    <t>Nguyễn Thị Phương</t>
  </si>
  <si>
    <t>phuongnt5</t>
  </si>
  <si>
    <t>E190192</t>
  </si>
  <si>
    <t>Hà Quang Dũng</t>
  </si>
  <si>
    <t>dunghq3</t>
  </si>
  <si>
    <t>E180016</t>
  </si>
  <si>
    <t>Nguyễn Thanh Đạt</t>
  </si>
  <si>
    <t>datnt</t>
  </si>
  <si>
    <t>E180021</t>
  </si>
  <si>
    <t>Huỳnh Mỹ Linh</t>
  </si>
  <si>
    <t>linhhm</t>
  </si>
  <si>
    <t>E180056</t>
  </si>
  <si>
    <t>Phạm Nguyễn Ngọc</t>
  </si>
  <si>
    <t>ngocpn1</t>
  </si>
  <si>
    <t>E180065</t>
  </si>
  <si>
    <t>Võ Thị Bích Loan</t>
  </si>
  <si>
    <t>loanvtb1</t>
  </si>
  <si>
    <t>E180070</t>
  </si>
  <si>
    <t>Lâm Ngọc Yến</t>
  </si>
  <si>
    <t>yenln2</t>
  </si>
  <si>
    <t>E110002</t>
  </si>
  <si>
    <t>Cầm Thị Phương Vân</t>
  </si>
  <si>
    <t>vanctp</t>
  </si>
  <si>
    <t>E110043</t>
  </si>
  <si>
    <t>Lê Văn Lập</t>
  </si>
  <si>
    <t>laplv</t>
  </si>
  <si>
    <t>E110044</t>
  </si>
  <si>
    <t>Lê Công Hữu</t>
  </si>
  <si>
    <t>huulc</t>
  </si>
  <si>
    <t>E110084</t>
  </si>
  <si>
    <t>Đinh Thị Quỳnh Phượng</t>
  </si>
  <si>
    <t>phuongdtq</t>
  </si>
  <si>
    <t>E110090</t>
  </si>
  <si>
    <t>Phạm Thế Hùng</t>
  </si>
  <si>
    <t>hungphamthe</t>
  </si>
  <si>
    <t>E021244</t>
  </si>
  <si>
    <t>Phan Công Thành</t>
  </si>
  <si>
    <t>thanhpc</t>
  </si>
  <si>
    <t>E110029</t>
  </si>
  <si>
    <t>Lương Thị Yến Hưng</t>
  </si>
  <si>
    <t>hunglty</t>
  </si>
  <si>
    <t>E110048</t>
  </si>
  <si>
    <t>Cầm Thu Hà</t>
  </si>
  <si>
    <t>hact</t>
  </si>
  <si>
    <t>E110057</t>
  </si>
  <si>
    <t>Lường Thùy Dương</t>
  </si>
  <si>
    <t>duongluong</t>
  </si>
  <si>
    <t>E110066</t>
  </si>
  <si>
    <t>Tòng Thị Chi</t>
  </si>
  <si>
    <t>chitong</t>
  </si>
  <si>
    <t>E110160</t>
  </si>
  <si>
    <t>ngatt1</t>
  </si>
  <si>
    <t>E110071</t>
  </si>
  <si>
    <t>Vũ Hoàng Long</t>
  </si>
  <si>
    <t>longvh</t>
  </si>
  <si>
    <t>E110081</t>
  </si>
  <si>
    <t>Trần Phương Anh</t>
  </si>
  <si>
    <t>anhtp</t>
  </si>
  <si>
    <t>E110062</t>
  </si>
  <si>
    <t>Nguyễn Thanh Tú</t>
  </si>
  <si>
    <t>tunt</t>
  </si>
  <si>
    <t>E110102</t>
  </si>
  <si>
    <t>Phan Thị Phương Thảo</t>
  </si>
  <si>
    <t>thaophan</t>
  </si>
  <si>
    <t>E110183</t>
  </si>
  <si>
    <t>Nguyễn Khánh Hằng</t>
  </si>
  <si>
    <t>hangnk</t>
  </si>
  <si>
    <t>E110100</t>
  </si>
  <si>
    <t>Đặng Thanh Mai</t>
  </si>
  <si>
    <t>maidt</t>
  </si>
  <si>
    <t>E110171</t>
  </si>
  <si>
    <t>Lường Văn Tư</t>
  </si>
  <si>
    <t>tulv</t>
  </si>
  <si>
    <t>E110184</t>
  </si>
  <si>
    <t>Mai Đình Phúc</t>
  </si>
  <si>
    <t>phucmd</t>
  </si>
  <si>
    <t>E110185</t>
  </si>
  <si>
    <t>Trương Minh Dương</t>
  </si>
  <si>
    <t>duongtm1</t>
  </si>
  <si>
    <t>E020142</t>
  </si>
  <si>
    <t>Nguyễn Thị Mai Chang</t>
  </si>
  <si>
    <t>changntm</t>
  </si>
  <si>
    <t>ABBANK Tây Hà Nội</t>
  </si>
  <si>
    <t>E350108</t>
  </si>
  <si>
    <t>Hoàng Thị Huyền</t>
  </si>
  <si>
    <t>huyenht3</t>
  </si>
  <si>
    <t>E023889</t>
  </si>
  <si>
    <t>Dương Thị Dịu Hương</t>
  </si>
  <si>
    <t>HUONGDTD</t>
  </si>
  <si>
    <t>E024614</t>
  </si>
  <si>
    <t>hienlt7</t>
  </si>
  <si>
    <t>E021899</t>
  </si>
  <si>
    <t>Nguyễn Thị Lịch</t>
  </si>
  <si>
    <t>lichnt1</t>
  </si>
  <si>
    <t>E022148</t>
  </si>
  <si>
    <t>Đặng Thị Thu Hà</t>
  </si>
  <si>
    <t>dtt.ha</t>
  </si>
  <si>
    <t>E022209</t>
  </si>
  <si>
    <t>Hoàng Thị Mai Phương</t>
  </si>
  <si>
    <t>phuonghtm</t>
  </si>
  <si>
    <t>E023248</t>
  </si>
  <si>
    <t>Quách Tuấn Vũ</t>
  </si>
  <si>
    <t>vuqt</t>
  </si>
  <si>
    <t>E024242</t>
  </si>
  <si>
    <t>Đỗ Phương Trình</t>
  </si>
  <si>
    <t>trinhdp</t>
  </si>
  <si>
    <t>E350077</t>
  </si>
  <si>
    <t>Hoàng Thị Hương Mơ</t>
  </si>
  <si>
    <t>mohth</t>
  </si>
  <si>
    <t>E024567</t>
  </si>
  <si>
    <t>Đỗ Giang Sơn</t>
  </si>
  <si>
    <t>sondg</t>
  </si>
  <si>
    <t>ABBANK Nam Thăng Long</t>
  </si>
  <si>
    <t>E021560</t>
  </si>
  <si>
    <t>Nguyễn Thị Thanh Dung</t>
  </si>
  <si>
    <t>thanhdung</t>
  </si>
  <si>
    <t>E023184</t>
  </si>
  <si>
    <t>Đào Thị Yến</t>
  </si>
  <si>
    <t>yendt1</t>
  </si>
  <si>
    <t>E023901</t>
  </si>
  <si>
    <t>Tô Thị Phương Anh</t>
  </si>
  <si>
    <t>ANHTTP2</t>
  </si>
  <si>
    <t>E024638</t>
  </si>
  <si>
    <t>Đặng Thị Trang</t>
  </si>
  <si>
    <t>trangdt7</t>
  </si>
  <si>
    <t>E022038</t>
  </si>
  <si>
    <t>Ninh Thị Ngoan</t>
  </si>
  <si>
    <t>ngoannt1</t>
  </si>
  <si>
    <t>E022295</t>
  </si>
  <si>
    <t>Đặng Trung Hiếu</t>
  </si>
  <si>
    <t>dthieu</t>
  </si>
  <si>
    <t>E022352</t>
  </si>
  <si>
    <t>Dương Thị Lan</t>
  </si>
  <si>
    <t>dtlan</t>
  </si>
  <si>
    <t>E230093</t>
  </si>
  <si>
    <t>nganntk3</t>
  </si>
  <si>
    <t>ABBANK Tiền Giang</t>
  </si>
  <si>
    <t>E230097</t>
  </si>
  <si>
    <t>diemntn2</t>
  </si>
  <si>
    <t>E230099</t>
  </si>
  <si>
    <t>Lê Thị Thùy Trang</t>
  </si>
  <si>
    <t>trangltt3</t>
  </si>
  <si>
    <t>E230002</t>
  </si>
  <si>
    <t>Lưu Thanh Tuyền</t>
  </si>
  <si>
    <t>tuyenluu</t>
  </si>
  <si>
    <t>E230027</t>
  </si>
  <si>
    <t>Phan Thị Hồng Vân</t>
  </si>
  <si>
    <t>vanpth</t>
  </si>
  <si>
    <t>E230046</t>
  </si>
  <si>
    <t>Bùi Thị Thúy Cầm</t>
  </si>
  <si>
    <t>cambtt</t>
  </si>
  <si>
    <t>E230070</t>
  </si>
  <si>
    <t>Nguyễn Hoàng Tấn Phát</t>
  </si>
  <si>
    <t>phatnht</t>
  </si>
  <si>
    <t>E230084</t>
  </si>
  <si>
    <t>Phạm Thị Ngọc Trâm</t>
  </si>
  <si>
    <t>tramptn</t>
  </si>
  <si>
    <t>E230088</t>
  </si>
  <si>
    <t>Nguyễn Hữu An</t>
  </si>
  <si>
    <t>annh1</t>
  </si>
  <si>
    <t>E230106</t>
  </si>
  <si>
    <t>Nguyễn Ngọc Châu</t>
  </si>
  <si>
    <t>chaunn</t>
  </si>
  <si>
    <t>E120279</t>
  </si>
  <si>
    <t>Nguyễn Thu Hương</t>
  </si>
  <si>
    <t>huongnt34</t>
  </si>
  <si>
    <t>ABBANK Hải Phòng</t>
  </si>
  <si>
    <t>E020999</t>
  </si>
  <si>
    <t>huongnguyenthu</t>
  </si>
  <si>
    <t>E100005</t>
  </si>
  <si>
    <t>Lê Thị Hường</t>
  </si>
  <si>
    <t>thihuong</t>
  </si>
  <si>
    <t>E120020</t>
  </si>
  <si>
    <t>Lưu Thị Thùy Linh</t>
  </si>
  <si>
    <t>linhltt</t>
  </si>
  <si>
    <t>E120021</t>
  </si>
  <si>
    <t>Lê Thị Ngọc Anh</t>
  </si>
  <si>
    <t>anhltn</t>
  </si>
  <si>
    <t>E120048</t>
  </si>
  <si>
    <t>Quan Dục Din</t>
  </si>
  <si>
    <t>dinqd</t>
  </si>
  <si>
    <t>E120104</t>
  </si>
  <si>
    <t>Đặng Tuấn Dũng</t>
  </si>
  <si>
    <t>dungdt2</t>
  </si>
  <si>
    <t>E120210</t>
  </si>
  <si>
    <t>Cao Thị Kiều Duyên</t>
  </si>
  <si>
    <t>duyenctk</t>
  </si>
  <si>
    <t>E120224</t>
  </si>
  <si>
    <t>Lương Huyền Trang</t>
  </si>
  <si>
    <t>tranglh2</t>
  </si>
  <si>
    <t>E120239</t>
  </si>
  <si>
    <t>Đỗ Thu Hiền</t>
  </si>
  <si>
    <t>hiendt2</t>
  </si>
  <si>
    <t>E120246</t>
  </si>
  <si>
    <t>Nguyễn Phương Thảo</t>
  </si>
  <si>
    <t>thaonp7</t>
  </si>
  <si>
    <t>E120276</t>
  </si>
  <si>
    <t>Đỗ Thị Lệ Quyên</t>
  </si>
  <si>
    <t>quyendtl</t>
  </si>
  <si>
    <t>E014066</t>
  </si>
  <si>
    <t>Lê Hồng Quyến</t>
  </si>
  <si>
    <t>quyenlh</t>
  </si>
  <si>
    <t>E014613</t>
  </si>
  <si>
    <t>Lại Ngọc Bảo Trâm</t>
  </si>
  <si>
    <t>tramlnb1</t>
  </si>
  <si>
    <t>E200364</t>
  </si>
  <si>
    <t>Trần Thị Bích Tuyền</t>
  </si>
  <si>
    <t>tuyenttb</t>
  </si>
  <si>
    <t>E200109</t>
  </si>
  <si>
    <t>Ban Long Phu</t>
  </si>
  <si>
    <t>phubl</t>
  </si>
  <si>
    <t>E014454</t>
  </si>
  <si>
    <t>Trần Trọng Phúc</t>
  </si>
  <si>
    <t>phuctt</t>
  </si>
  <si>
    <t>E014573</t>
  </si>
  <si>
    <t>Hà Thị Khánh Ly</t>
  </si>
  <si>
    <t>lyhtk</t>
  </si>
  <si>
    <t>E031028</t>
  </si>
  <si>
    <t>Nguyễn Thị Như Ngọc</t>
  </si>
  <si>
    <t>ntnngoc</t>
  </si>
  <si>
    <t>ABBANK Nghệ An</t>
  </si>
  <si>
    <t>E310013</t>
  </si>
  <si>
    <t>Nguyễn Văn Việt</t>
  </si>
  <si>
    <t>vietnv</t>
  </si>
  <si>
    <t>E310044</t>
  </si>
  <si>
    <t>Nguyễn Quốc Việt</t>
  </si>
  <si>
    <t>vietnq1</t>
  </si>
  <si>
    <t>E350096</t>
  </si>
  <si>
    <t>Phan Thị Phương</t>
  </si>
  <si>
    <t>phuongpt8</t>
  </si>
  <si>
    <t>E310004</t>
  </si>
  <si>
    <t>Trần Thị Giang</t>
  </si>
  <si>
    <t>trangiang</t>
  </si>
  <si>
    <t>E310007</t>
  </si>
  <si>
    <t>Nguyễn Thị Phương Trang</t>
  </si>
  <si>
    <t>ntptrang</t>
  </si>
  <si>
    <t>E310016</t>
  </si>
  <si>
    <t>Trần Thị Quỳnh Giang</t>
  </si>
  <si>
    <t>giangttq</t>
  </si>
  <si>
    <t>E310021</t>
  </si>
  <si>
    <t>Nguyễn Thị Thảo</t>
  </si>
  <si>
    <t>thaothi</t>
  </si>
  <si>
    <t>E310031</t>
  </si>
  <si>
    <t>Hồ Thị Hoa</t>
  </si>
  <si>
    <t>hoaho</t>
  </si>
  <si>
    <t>E310032</t>
  </si>
  <si>
    <t>Lương Thị Hiền Trang</t>
  </si>
  <si>
    <t>luongtrang</t>
  </si>
  <si>
    <t>E310045</t>
  </si>
  <si>
    <t>Phùng Thị Huyền Vân</t>
  </si>
  <si>
    <t>vanpth2</t>
  </si>
  <si>
    <t>E022269</t>
  </si>
  <si>
    <t>Nguyễn Cảnh Hưng</t>
  </si>
  <si>
    <t>canhhung</t>
  </si>
  <si>
    <t>E020116</t>
  </si>
  <si>
    <t>Nguyễn Thị Hiếu</t>
  </si>
  <si>
    <t>hieunt</t>
  </si>
  <si>
    <t>E022246</t>
  </si>
  <si>
    <t>hong.nguyen</t>
  </si>
  <si>
    <t>E023719</t>
  </si>
  <si>
    <t>Nguyễn Thúy Anh</t>
  </si>
  <si>
    <t>anhnt13</t>
  </si>
  <si>
    <t>E021357</t>
  </si>
  <si>
    <t>Ngô Thị Liên</t>
  </si>
  <si>
    <t>lienthi</t>
  </si>
  <si>
    <t>E020872</t>
  </si>
  <si>
    <t>Ngô Thị Thanh Thủy</t>
  </si>
  <si>
    <t>ngothuy</t>
  </si>
  <si>
    <t>ABBANK Hoàng Cầu</t>
  </si>
  <si>
    <t>E021035</t>
  </si>
  <si>
    <t>Vũ Đình Công</t>
  </si>
  <si>
    <t>congvd2</t>
  </si>
  <si>
    <t>E021279</t>
  </si>
  <si>
    <t>Nguyễn Thị Thạch Chúc</t>
  </si>
  <si>
    <t>chucntt</t>
  </si>
  <si>
    <t>E021413</t>
  </si>
  <si>
    <t>linhthuy</t>
  </si>
  <si>
    <t>E022101</t>
  </si>
  <si>
    <t>Vương Thanh Huấn</t>
  </si>
  <si>
    <t>huanvt</t>
  </si>
  <si>
    <t>E022332</t>
  </si>
  <si>
    <t>Điền Thị Thùy Linh</t>
  </si>
  <si>
    <t>dttlinh</t>
  </si>
  <si>
    <t>E022987</t>
  </si>
  <si>
    <t>Vũ Thị Hoài</t>
  </si>
  <si>
    <t>hoaivt</t>
  </si>
  <si>
    <t>E023653</t>
  </si>
  <si>
    <t>Trần Lệ Thủy</t>
  </si>
  <si>
    <t>thuytl</t>
  </si>
  <si>
    <t>E023657</t>
  </si>
  <si>
    <t>Đào Thị Mai Anh</t>
  </si>
  <si>
    <t>anhdtm2</t>
  </si>
  <si>
    <t>E023761</t>
  </si>
  <si>
    <t>Hoàng Đức Lương</t>
  </si>
  <si>
    <t>luonghd1</t>
  </si>
  <si>
    <t>E024151</t>
  </si>
  <si>
    <t>Phạm Hồng Quân</t>
  </si>
  <si>
    <t>quanph2</t>
  </si>
  <si>
    <t>E024292</t>
  </si>
  <si>
    <t>Trần Vân Anh</t>
  </si>
  <si>
    <t>anhtv4</t>
  </si>
  <si>
    <t>E024627</t>
  </si>
  <si>
    <t>Đoàn Thị Khuy</t>
  </si>
  <si>
    <t>khuydt</t>
  </si>
  <si>
    <t>E021091</t>
  </si>
  <si>
    <t>Vũ Minh Thương</t>
  </si>
  <si>
    <t>thuongvm</t>
  </si>
  <si>
    <t>E021723</t>
  </si>
  <si>
    <t>Phan Khánh Ly</t>
  </si>
  <si>
    <t>lypk</t>
  </si>
  <si>
    <t>E110038</t>
  </si>
  <si>
    <t>linhntp</t>
  </si>
  <si>
    <t>E110070</t>
  </si>
  <si>
    <t>Lê Thị Trang</t>
  </si>
  <si>
    <t>letrang</t>
  </si>
  <si>
    <t>E110072</t>
  </si>
  <si>
    <t>Hà Trung Tiến</t>
  </si>
  <si>
    <t>tienht</t>
  </si>
  <si>
    <t>E110085</t>
  </si>
  <si>
    <t>Hà Mỹ Hạnh</t>
  </si>
  <si>
    <t>hanhha</t>
  </si>
  <si>
    <t>E110120</t>
  </si>
  <si>
    <t>Nguyễn Như Ngọc</t>
  </si>
  <si>
    <t>ngocnhu</t>
  </si>
  <si>
    <t>E110126</t>
  </si>
  <si>
    <t>Nguyễn Thị Mai Trang</t>
  </si>
  <si>
    <t>ntmtrang</t>
  </si>
  <si>
    <t>E110129</t>
  </si>
  <si>
    <t>hoa.ntt</t>
  </si>
  <si>
    <t>E110164</t>
  </si>
  <si>
    <t>Lường Thị Hưng</t>
  </si>
  <si>
    <t>hunglt1</t>
  </si>
  <si>
    <t>E110173</t>
  </si>
  <si>
    <t>Đoàn Phương Anh</t>
  </si>
  <si>
    <t>anhdp1</t>
  </si>
  <si>
    <t>E110069</t>
  </si>
  <si>
    <t>Đặng Văn Hải</t>
  </si>
  <si>
    <t>haidv</t>
  </si>
  <si>
    <t>E110152</t>
  </si>
  <si>
    <t>Lê Thị Quỳnh</t>
  </si>
  <si>
    <t>lequynh</t>
  </si>
  <si>
    <t>E110180</t>
  </si>
  <si>
    <t>Trần Thị Hà Tiên</t>
  </si>
  <si>
    <t>tientth1</t>
  </si>
  <si>
    <t>E110189</t>
  </si>
  <si>
    <t>Hoàng Hoa Anh Thùy</t>
  </si>
  <si>
    <t>thuyhha</t>
  </si>
  <si>
    <t>E021843</t>
  </si>
  <si>
    <t>Mai Li La</t>
  </si>
  <si>
    <t>maill</t>
  </si>
  <si>
    <t>E022344</t>
  </si>
  <si>
    <t>Hạ Huy Nam</t>
  </si>
  <si>
    <t>namha</t>
  </si>
  <si>
    <t>E023237</t>
  </si>
  <si>
    <t>Vũ Minh Phúc</t>
  </si>
  <si>
    <t>phucvm</t>
  </si>
  <si>
    <t>E023710</t>
  </si>
  <si>
    <t>Phan Thị Hồng</t>
  </si>
  <si>
    <t>hongpt2</t>
  </si>
  <si>
    <t>E023888</t>
  </si>
  <si>
    <t>uyennn1</t>
  </si>
  <si>
    <t>E024109</t>
  </si>
  <si>
    <t>Bạch Việt Trinh</t>
  </si>
  <si>
    <t>trinhbv</t>
  </si>
  <si>
    <t>E024454</t>
  </si>
  <si>
    <t>Phan Thùy Dung</t>
  </si>
  <si>
    <t>dungpt11</t>
  </si>
  <si>
    <t>E024607</t>
  </si>
  <si>
    <t>Phạm Huyền Anh</t>
  </si>
  <si>
    <t>anhph3</t>
  </si>
  <si>
    <t>E024640</t>
  </si>
  <si>
    <t>Hoàng Thị Thúy Nga</t>
  </si>
  <si>
    <t>ngahtt2</t>
  </si>
  <si>
    <t>E350079</t>
  </si>
  <si>
    <t>Mai Thị Thu Phương</t>
  </si>
  <si>
    <t>phuongmtt</t>
  </si>
  <si>
    <t>E021033</t>
  </si>
  <si>
    <t>Bùi Thị Phương Thanh</t>
  </si>
  <si>
    <t>thanhbtp</t>
  </si>
  <si>
    <t>E023568</t>
  </si>
  <si>
    <t>Trần Minh Hằng</t>
  </si>
  <si>
    <t>hangtm1</t>
  </si>
  <si>
    <t>E021146</t>
  </si>
  <si>
    <t>Võ Thành Trung</t>
  </si>
  <si>
    <t>trungvt</t>
  </si>
  <si>
    <t>E022472</t>
  </si>
  <si>
    <t>Đoàn Như Đức</t>
  </si>
  <si>
    <t>ducdn</t>
  </si>
  <si>
    <t>E023193</t>
  </si>
  <si>
    <t>Vũ Đức Thiện</t>
  </si>
  <si>
    <t>thienvd</t>
  </si>
  <si>
    <t>E023613</t>
  </si>
  <si>
    <t>tungns1</t>
  </si>
  <si>
    <t>E023615</t>
  </si>
  <si>
    <t>Hoàng Thế Hùng</t>
  </si>
  <si>
    <t>hunght</t>
  </si>
  <si>
    <t>E024463</t>
  </si>
  <si>
    <t>Nguyễn Trung Kiên</t>
  </si>
  <si>
    <t>kiennt6</t>
  </si>
  <si>
    <t>E022711</t>
  </si>
  <si>
    <t>Nguyễn Thị Hường</t>
  </si>
  <si>
    <t>huongnt3</t>
  </si>
  <si>
    <t>E022886</t>
  </si>
  <si>
    <t>Phạm Thị Thanh Thảo</t>
  </si>
  <si>
    <t>thaoptt2</t>
  </si>
  <si>
    <t>E023296</t>
  </si>
  <si>
    <t>Trần Thị Thủy Tiên</t>
  </si>
  <si>
    <t>tienttt1</t>
  </si>
  <si>
    <t>E024016</t>
  </si>
  <si>
    <t>Hà Đình Dự</t>
  </si>
  <si>
    <t>duhd</t>
  </si>
  <si>
    <t>E020124</t>
  </si>
  <si>
    <t>Nguyễn Thu Giang</t>
  </si>
  <si>
    <t>giangthu</t>
  </si>
  <si>
    <t>E020588</t>
  </si>
  <si>
    <t>Nguyễn Thúy Nguyệt</t>
  </si>
  <si>
    <t>thuynguyet</t>
  </si>
  <si>
    <t>E290114</t>
  </si>
  <si>
    <t>Trịnh Văn Nu</t>
  </si>
  <si>
    <t>nutv</t>
  </si>
  <si>
    <t>ABBANK Đồng Tháp</t>
  </si>
  <si>
    <t>E290115</t>
  </si>
  <si>
    <t>Lê Đăng Khoa</t>
  </si>
  <si>
    <t>khoald2</t>
  </si>
  <si>
    <t>E170009</t>
  </si>
  <si>
    <t>Lê Văn Thành</t>
  </si>
  <si>
    <t>thanhlv</t>
  </si>
  <si>
    <t>E020199</t>
  </si>
  <si>
    <t>Đoàn Trần Huy</t>
  </si>
  <si>
    <t>huydt</t>
  </si>
  <si>
    <t>E170148</t>
  </si>
  <si>
    <t>Lê Đình Chinh</t>
  </si>
  <si>
    <t>chinhld</t>
  </si>
  <si>
    <t>E020467</t>
  </si>
  <si>
    <t>Trần Huy Trung</t>
  </si>
  <si>
    <t>trungth</t>
  </si>
  <si>
    <t>E170007</t>
  </si>
  <si>
    <t>Đặng Thị Kim Thoan</t>
  </si>
  <si>
    <t>thoandtk</t>
  </si>
  <si>
    <t>E170019</t>
  </si>
  <si>
    <t>hung.manh</t>
  </si>
  <si>
    <t>E014015</t>
  </si>
  <si>
    <t>Nguyễn Đình Khôi</t>
  </si>
  <si>
    <t>khoind</t>
  </si>
  <si>
    <t>E020548</t>
  </si>
  <si>
    <t>Nguyễn Thị Thanh Nga</t>
  </si>
  <si>
    <t>thanhnga</t>
  </si>
  <si>
    <t>E020822</t>
  </si>
  <si>
    <t>Vũ Tuyết Anh</t>
  </si>
  <si>
    <t>tuyetanh</t>
  </si>
  <si>
    <t>E020860</t>
  </si>
  <si>
    <t>Phạm Thị Huyền Trang</t>
  </si>
  <si>
    <t>phamtrang</t>
  </si>
  <si>
    <t>E022158</t>
  </si>
  <si>
    <t>Nguyễn Thế Cường</t>
  </si>
  <si>
    <t>cuongthe</t>
  </si>
  <si>
    <t>E022212</t>
  </si>
  <si>
    <t>Phạm Thị Nhâm</t>
  </si>
  <si>
    <t>nhampt</t>
  </si>
  <si>
    <t>E022226</t>
  </si>
  <si>
    <t>Nghiêm Thị Tuyến</t>
  </si>
  <si>
    <t>tuyennghiem</t>
  </si>
  <si>
    <t>E022232</t>
  </si>
  <si>
    <t>thaolp</t>
  </si>
  <si>
    <t>E022498</t>
  </si>
  <si>
    <t>thithu</t>
  </si>
  <si>
    <t>E022926</t>
  </si>
  <si>
    <t>Vũ Nguyễn Hà Phương</t>
  </si>
  <si>
    <t>phuongvnh</t>
  </si>
  <si>
    <t>E023080</t>
  </si>
  <si>
    <t>Nguyễn Huyền Anh</t>
  </si>
  <si>
    <t>anhnh2</t>
  </si>
  <si>
    <t>E023123</t>
  </si>
  <si>
    <t>Nguyễn Thị Sao Mai</t>
  </si>
  <si>
    <t>maints1</t>
  </si>
  <si>
    <t>E023124</t>
  </si>
  <si>
    <t>Nguyễn Thị Khánh Huyền</t>
  </si>
  <si>
    <t>huyenntk</t>
  </si>
  <si>
    <t>E023155</t>
  </si>
  <si>
    <t>binhnt4</t>
  </si>
  <si>
    <t>E023163</t>
  </si>
  <si>
    <t>Lê Phương Nhung</t>
  </si>
  <si>
    <t>nhunglp1</t>
  </si>
  <si>
    <t>E023352</t>
  </si>
  <si>
    <t>Nguyễn Minh Ngọc</t>
  </si>
  <si>
    <t>ngocnm2</t>
  </si>
  <si>
    <t>E023358</t>
  </si>
  <si>
    <t>Nguyễn Quỳnh Anh</t>
  </si>
  <si>
    <t>anhnq2</t>
  </si>
  <si>
    <t>E020446</t>
  </si>
  <si>
    <t>hangntt</t>
  </si>
  <si>
    <t>E020562</t>
  </si>
  <si>
    <t>Nguyễn Duy</t>
  </si>
  <si>
    <t>duyn</t>
  </si>
  <si>
    <t>E020717</t>
  </si>
  <si>
    <t>Nguyễn Thị Hương Giang</t>
  </si>
  <si>
    <t>nguyengiang</t>
  </si>
  <si>
    <t>E021415</t>
  </si>
  <si>
    <t>Lê Thị Ánh Ngọc</t>
  </si>
  <si>
    <t>ngoclta</t>
  </si>
  <si>
    <t>E021944</t>
  </si>
  <si>
    <t>tqhuy</t>
  </si>
  <si>
    <t>E022955</t>
  </si>
  <si>
    <t>Nguyễn Thị Mai Anh</t>
  </si>
  <si>
    <t>anhntm1</t>
  </si>
  <si>
    <t>E023439</t>
  </si>
  <si>
    <t>Trần Thị Tú Anh</t>
  </si>
  <si>
    <t>anhttt1</t>
  </si>
  <si>
    <t>E023459</t>
  </si>
  <si>
    <t>Nguyễn Đỗ Bảo Trân</t>
  </si>
  <si>
    <t>tranndb</t>
  </si>
  <si>
    <t>E020311</t>
  </si>
  <si>
    <t>Đào Thu Phương</t>
  </si>
  <si>
    <t>phuongdt</t>
  </si>
  <si>
    <t>E020314</t>
  </si>
  <si>
    <t>Nguyễn Khánh Phương</t>
  </si>
  <si>
    <t>phuongnk</t>
  </si>
  <si>
    <t>E020317</t>
  </si>
  <si>
    <t>Ngô Thị Hoài</t>
  </si>
  <si>
    <t>hoaingo</t>
  </si>
  <si>
    <t>E020321</t>
  </si>
  <si>
    <t>Phạm Hồng Tuân</t>
  </si>
  <si>
    <t>tuanph</t>
  </si>
  <si>
    <t>E020323</t>
  </si>
  <si>
    <t>Vũ Thị Quỳnh Trang</t>
  </si>
  <si>
    <t>trangvtq</t>
  </si>
  <si>
    <t>E020330</t>
  </si>
  <si>
    <t>Bùi Thị Liên Hương</t>
  </si>
  <si>
    <t>huongbtl</t>
  </si>
  <si>
    <t>E020547</t>
  </si>
  <si>
    <t>Lê Minh Ngọc</t>
  </si>
  <si>
    <t>ngoclm</t>
  </si>
  <si>
    <t>E020559</t>
  </si>
  <si>
    <t>Nguyễn Thị Hương Quê</t>
  </si>
  <si>
    <t>quenth</t>
  </si>
  <si>
    <t>E023458</t>
  </si>
  <si>
    <t>Lê Thị Phương Anh</t>
  </si>
  <si>
    <t>anhltp</t>
  </si>
  <si>
    <t>E023580</t>
  </si>
  <si>
    <t>Lâm Thu Hương</t>
  </si>
  <si>
    <t>huonglt1</t>
  </si>
  <si>
    <t>E023843</t>
  </si>
  <si>
    <t>Nguyễn Ngọc Duy</t>
  </si>
  <si>
    <t>duynn</t>
  </si>
  <si>
    <t>E023883</t>
  </si>
  <si>
    <t>Viên Nhật Linh</t>
  </si>
  <si>
    <t>linhvn2</t>
  </si>
  <si>
    <t>E023884</t>
  </si>
  <si>
    <t>Cao Huyền Diệu</t>
  </si>
  <si>
    <t>dieuch</t>
  </si>
  <si>
    <t>E020010</t>
  </si>
  <si>
    <t>Nguyễn Thị Thỏa</t>
  </si>
  <si>
    <t>thoant</t>
  </si>
  <si>
    <t>E020202</t>
  </si>
  <si>
    <t>Đặng Thị Thảo</t>
  </si>
  <si>
    <t>thaodang</t>
  </si>
  <si>
    <t>E020225</t>
  </si>
  <si>
    <t>Phạm Thị Thúy Ngọc</t>
  </si>
  <si>
    <t>ngocptt</t>
  </si>
  <si>
    <t>E020265</t>
  </si>
  <si>
    <t>Nguyễn Hoài Thanh</t>
  </si>
  <si>
    <t>thanhnh</t>
  </si>
  <si>
    <t>E020499</t>
  </si>
  <si>
    <t>anhltl</t>
  </si>
  <si>
    <t>E020521</t>
  </si>
  <si>
    <t>Trần Thu Huyền</t>
  </si>
  <si>
    <t>thuhuyen</t>
  </si>
  <si>
    <t>E020637</t>
  </si>
  <si>
    <t>Nguyễn Anh Sơn</t>
  </si>
  <si>
    <t>sonna</t>
  </si>
  <si>
    <t>E020648</t>
  </si>
  <si>
    <t>Thạch Hương Loan</t>
  </si>
  <si>
    <t>loanth</t>
  </si>
  <si>
    <t>E020680</t>
  </si>
  <si>
    <t>Trần Thị Thanh Nga</t>
  </si>
  <si>
    <t>tranthanhnga</t>
  </si>
  <si>
    <t>E021110</t>
  </si>
  <si>
    <t>Nguyễn Thị Lan Hương</t>
  </si>
  <si>
    <t>huongntl</t>
  </si>
  <si>
    <t>E021156</t>
  </si>
  <si>
    <t>Lê Thị Thu Huyền</t>
  </si>
  <si>
    <t>huyenltt</t>
  </si>
  <si>
    <t>E021178</t>
  </si>
  <si>
    <t>nguyenthithuhuong</t>
  </si>
  <si>
    <t>E021236</t>
  </si>
  <si>
    <t>Ngô Thị Hà Thu</t>
  </si>
  <si>
    <t>thunth</t>
  </si>
  <si>
    <t>E021253</t>
  </si>
  <si>
    <t>Trương Thị Phương Anh</t>
  </si>
  <si>
    <t>anhttp</t>
  </si>
  <si>
    <t>E021262</t>
  </si>
  <si>
    <t>Đinh Thị Minh Phúc</t>
  </si>
  <si>
    <t>phucdtm</t>
  </si>
  <si>
    <t>E021265</t>
  </si>
  <si>
    <t>ngalt</t>
  </si>
  <si>
    <t>E021691</t>
  </si>
  <si>
    <t>Trần Thị Đông</t>
  </si>
  <si>
    <t>dongtt</t>
  </si>
  <si>
    <t>E021750</t>
  </si>
  <si>
    <t>Đặng Quỳnh Trang</t>
  </si>
  <si>
    <t>trangdang</t>
  </si>
  <si>
    <t>E021881</t>
  </si>
  <si>
    <t>Nguyễn Thị Bích Ngọc</t>
  </si>
  <si>
    <t>ngocbich</t>
  </si>
  <si>
    <t>E021906</t>
  </si>
  <si>
    <t>Hoàng Nam Phương</t>
  </si>
  <si>
    <t>phuonghn</t>
  </si>
  <si>
    <t>E021956</t>
  </si>
  <si>
    <t>Bùi Thu Thủy</t>
  </si>
  <si>
    <t>thuybt</t>
  </si>
  <si>
    <t>E022112</t>
  </si>
  <si>
    <t>Đỗ Thị Thanh Hằng</t>
  </si>
  <si>
    <t>dothithanhhang</t>
  </si>
  <si>
    <t>E022717</t>
  </si>
  <si>
    <t>Bùi Thị Nhung</t>
  </si>
  <si>
    <t>nhungbt</t>
  </si>
  <si>
    <t>E022720</t>
  </si>
  <si>
    <t>Vũ Thị Trang</t>
  </si>
  <si>
    <t>trangvt1</t>
  </si>
  <si>
    <t>E022824</t>
  </si>
  <si>
    <t>Phạm Thị Hương Giang</t>
  </si>
  <si>
    <t>giangpth1</t>
  </si>
  <si>
    <t>E022843</t>
  </si>
  <si>
    <t>Lại Thị Kim Anh</t>
  </si>
  <si>
    <t>anhltk1</t>
  </si>
  <si>
    <t>E022849</t>
  </si>
  <si>
    <t>Nguyễn Thị Minh Tuyền</t>
  </si>
  <si>
    <t>tuyenntm</t>
  </si>
  <si>
    <t>E022851</t>
  </si>
  <si>
    <t>Đặng Huyền Bảo Trâm</t>
  </si>
  <si>
    <t>tramdhb</t>
  </si>
  <si>
    <t>E022872</t>
  </si>
  <si>
    <t>Trương Thị Loan</t>
  </si>
  <si>
    <t>loantt1</t>
  </si>
  <si>
    <t>E022936</t>
  </si>
  <si>
    <t>Đỗ Mạnh Đông</t>
  </si>
  <si>
    <t>dongdm</t>
  </si>
  <si>
    <t>E022970</t>
  </si>
  <si>
    <t>Nguyễn Thị Thanh Huyền</t>
  </si>
  <si>
    <t>huyenntt1</t>
  </si>
  <si>
    <t>E022991</t>
  </si>
  <si>
    <t>Hoàng Đức Huy</t>
  </si>
  <si>
    <t>huyhd</t>
  </si>
  <si>
    <t>E023271</t>
  </si>
  <si>
    <t>Lâm Ngọc Ánh</t>
  </si>
  <si>
    <t>anhln4</t>
  </si>
  <si>
    <t>E023292</t>
  </si>
  <si>
    <t>Trần Thị Phương</t>
  </si>
  <si>
    <t>phuongtt2</t>
  </si>
  <si>
    <t>E023308</t>
  </si>
  <si>
    <t>Nguyễn Thu Trà</t>
  </si>
  <si>
    <t>trant2</t>
  </si>
  <si>
    <t>E023475</t>
  </si>
  <si>
    <t>Nguyễn Hoàng Giang</t>
  </si>
  <si>
    <t>giangnh1</t>
  </si>
  <si>
    <t>E024347</t>
  </si>
  <si>
    <t>Vũ Anh Thư</t>
  </si>
  <si>
    <t>thuva2</t>
  </si>
  <si>
    <t>E021106</t>
  </si>
  <si>
    <t>Trịnh Thị Đào</t>
  </si>
  <si>
    <t>daott</t>
  </si>
  <si>
    <t>E023186</t>
  </si>
  <si>
    <t>anhvt1</t>
  </si>
  <si>
    <t>E023326</t>
  </si>
  <si>
    <t>Phạm Văn Hào</t>
  </si>
  <si>
    <t>haopv</t>
  </si>
  <si>
    <t>E023327</t>
  </si>
  <si>
    <t>Nguyễn Trường Giang</t>
  </si>
  <si>
    <t>giangnt3</t>
  </si>
  <si>
    <t>E023891</t>
  </si>
  <si>
    <t>Nguyễn Đăng Khánh</t>
  </si>
  <si>
    <t>khanhnd1</t>
  </si>
  <si>
    <t>E023923</t>
  </si>
  <si>
    <t>Nguyễn Quang Thái</t>
  </si>
  <si>
    <t>thainq1</t>
  </si>
  <si>
    <t>E022069</t>
  </si>
  <si>
    <t>linhnguyenthuy</t>
  </si>
  <si>
    <t>E020017</t>
  </si>
  <si>
    <t>Ngô Thị Bình Trang</t>
  </si>
  <si>
    <t>trangntb</t>
  </si>
  <si>
    <t>E020076</t>
  </si>
  <si>
    <t>Quyền Thị Bích Thảo</t>
  </si>
  <si>
    <t>thaoqtb</t>
  </si>
  <si>
    <t>E022178</t>
  </si>
  <si>
    <t>Vũ Minh Hải</t>
  </si>
  <si>
    <t>haivm</t>
  </si>
  <si>
    <t>E022342</t>
  </si>
  <si>
    <t>Vũ Duy Thắng</t>
  </si>
  <si>
    <t>thangvd</t>
  </si>
  <si>
    <t>E022757</t>
  </si>
  <si>
    <t>Phùng Thị Thanh Hoa</t>
  </si>
  <si>
    <t>hoaptt</t>
  </si>
  <si>
    <t>E022298</t>
  </si>
  <si>
    <t>Vũ Thị Thu Quỳnh</t>
  </si>
  <si>
    <t>quynhvu</t>
  </si>
  <si>
    <t>E024237</t>
  </si>
  <si>
    <t>Đặng Bảo Long</t>
  </si>
  <si>
    <t>longdb1</t>
  </si>
  <si>
    <t>E021983</t>
  </si>
  <si>
    <t>Đỗ Thu Trà</t>
  </si>
  <si>
    <t>tradt1</t>
  </si>
  <si>
    <t>E023464</t>
  </si>
  <si>
    <t>Bùi Cẩm Vân</t>
  </si>
  <si>
    <t>vanbc</t>
  </si>
  <si>
    <t>E023476</t>
  </si>
  <si>
    <t>Nguyễn Thị Minh Thu</t>
  </si>
  <si>
    <t>thuntm2</t>
  </si>
  <si>
    <t>E350112</t>
  </si>
  <si>
    <t>Nguyễn Trung Nghĩa</t>
  </si>
  <si>
    <t>nghiant3</t>
  </si>
  <si>
    <t>E350151</t>
  </si>
  <si>
    <t>Nguyễn Chí Vinh</t>
  </si>
  <si>
    <t>vinhnc1</t>
  </si>
  <si>
    <t>E011761</t>
  </si>
  <si>
    <t>Vũ Thị Hương</t>
  </si>
  <si>
    <t>vuthihuong</t>
  </si>
  <si>
    <t>E020369</t>
  </si>
  <si>
    <t>huyennt</t>
  </si>
  <si>
    <t>E020370</t>
  </si>
  <si>
    <t>Phạm Ngân Giang</t>
  </si>
  <si>
    <t>giangpn</t>
  </si>
  <si>
    <t>E020371</t>
  </si>
  <si>
    <t>Lương Thị Thu Trang</t>
  </si>
  <si>
    <t>trangluong</t>
  </si>
  <si>
    <t>E021487</t>
  </si>
  <si>
    <t>Trần Nam Sơn</t>
  </si>
  <si>
    <t>sonnam</t>
  </si>
  <si>
    <t>E022147</t>
  </si>
  <si>
    <t>Trần Thị Diệu Linh</t>
  </si>
  <si>
    <t>ttdlinh</t>
  </si>
  <si>
    <t>E022197</t>
  </si>
  <si>
    <t>nttra</t>
  </si>
  <si>
    <t>E014267</t>
  </si>
  <si>
    <t>Hà Ngọc Diệu</t>
  </si>
  <si>
    <t>dieuhn</t>
  </si>
  <si>
    <t>E014643</t>
  </si>
  <si>
    <t>Dương Xuân Huy</t>
  </si>
  <si>
    <t>huydx</t>
  </si>
  <si>
    <t>E340083</t>
  </si>
  <si>
    <t>Hoàng Mạnh Cường</t>
  </si>
  <si>
    <t>cuonghm3</t>
  </si>
  <si>
    <t>E014330</t>
  </si>
  <si>
    <t>Trịnh Thành Phước</t>
  </si>
  <si>
    <t>phuoctt</t>
  </si>
  <si>
    <t>E024320</t>
  </si>
  <si>
    <t>Trần Trung Tính</t>
  </si>
  <si>
    <t>tinhtt3</t>
  </si>
  <si>
    <t>E024478</t>
  </si>
  <si>
    <t>Trần Hoài Bảo Lâm</t>
  </si>
  <si>
    <t>lamthb</t>
  </si>
  <si>
    <t>E024479</t>
  </si>
  <si>
    <t>Phạm Ngọc Quang</t>
  </si>
  <si>
    <t>quangpn</t>
  </si>
  <si>
    <t>E024521</t>
  </si>
  <si>
    <t>Bùi Thị Thúy Quỳnh</t>
  </si>
  <si>
    <t>quynhbtt</t>
  </si>
  <si>
    <t>E024522</t>
  </si>
  <si>
    <t>Lê Thị Thùy</t>
  </si>
  <si>
    <t>thuylt10</t>
  </si>
  <si>
    <t>E024523</t>
  </si>
  <si>
    <t>Nguyễn Song Toàn</t>
  </si>
  <si>
    <t>toanns</t>
  </si>
  <si>
    <t>E024563</t>
  </si>
  <si>
    <t>Tạ Minh Sơn</t>
  </si>
  <si>
    <t>sontm2</t>
  </si>
  <si>
    <t>E024592</t>
  </si>
  <si>
    <t>Phạm Hoàng Tùng</t>
  </si>
  <si>
    <t>tungph3</t>
  </si>
  <si>
    <t>E024593</t>
  </si>
  <si>
    <t>Nguyễn Thu An</t>
  </si>
  <si>
    <t>annt7</t>
  </si>
  <si>
    <t>E024646</t>
  </si>
  <si>
    <t>Nguyễn Thị Liên</t>
  </si>
  <si>
    <t>liennt6</t>
  </si>
  <si>
    <t>E340014</t>
  </si>
  <si>
    <t>Chu Hồng Hạnh</t>
  </si>
  <si>
    <t>hanhch</t>
  </si>
  <si>
    <t>E340017</t>
  </si>
  <si>
    <t>Nguyễn Trọng Tiến</t>
  </si>
  <si>
    <t>tientrong</t>
  </si>
  <si>
    <t>E340045</t>
  </si>
  <si>
    <t>Hoàng Trung Thành</t>
  </si>
  <si>
    <t>thanhhoang</t>
  </si>
  <si>
    <t>E340059</t>
  </si>
  <si>
    <t>Lý Thục Linh</t>
  </si>
  <si>
    <t>linhlt1</t>
  </si>
  <si>
    <t>E341001</t>
  </si>
  <si>
    <t>Lương Thị Mai Băng</t>
  </si>
  <si>
    <t>bangltm</t>
  </si>
  <si>
    <t>E340023</t>
  </si>
  <si>
    <t>Lâm Phương Hồng</t>
  </si>
  <si>
    <t>honglp</t>
  </si>
  <si>
    <t>E340038</t>
  </si>
  <si>
    <t>Lý Thị Diệu Hồng</t>
  </si>
  <si>
    <t>hongltd</t>
  </si>
  <si>
    <t>E340064</t>
  </si>
  <si>
    <t>Hoàng Thị Thúy An</t>
  </si>
  <si>
    <t>anhtt2</t>
  </si>
  <si>
    <t>E340066</t>
  </si>
  <si>
    <t>Bế Thị Luyến</t>
  </si>
  <si>
    <t>luyenbt</t>
  </si>
  <si>
    <t>E340079</t>
  </si>
  <si>
    <t>THAOLTP2</t>
  </si>
  <si>
    <t>E340081</t>
  </si>
  <si>
    <t>Phạm Nguyễn Ngọc Hân</t>
  </si>
  <si>
    <t>hanpnn</t>
  </si>
  <si>
    <t>E340084</t>
  </si>
  <si>
    <t>Đỗ Hà Quỳnh Anh</t>
  </si>
  <si>
    <t>anhdhq</t>
  </si>
  <si>
    <t>E022852</t>
  </si>
  <si>
    <t>Nguyễn Văn Linh</t>
  </si>
  <si>
    <t>linhnv3</t>
  </si>
  <si>
    <t>E350199</t>
  </si>
  <si>
    <t>Võ Đức Hiệp</t>
  </si>
  <si>
    <t>HIEPVD2</t>
  </si>
  <si>
    <t>E024647</t>
  </si>
  <si>
    <t>Hoàng Ngọc Phương</t>
  </si>
  <si>
    <t>phuonghn1</t>
  </si>
  <si>
    <t>E020604</t>
  </si>
  <si>
    <t>Nguyễn Chí Nguyện</t>
  </si>
  <si>
    <t>nguyennc</t>
  </si>
  <si>
    <t>E020953</t>
  </si>
  <si>
    <t>ngocnm1</t>
  </si>
  <si>
    <t>E021100</t>
  </si>
  <si>
    <t>Vũ Thị Yến</t>
  </si>
  <si>
    <t>yenvt</t>
  </si>
  <si>
    <t>E021105</t>
  </si>
  <si>
    <t>Võ Thu Hiền</t>
  </si>
  <si>
    <t>hienvt</t>
  </si>
  <si>
    <t>E021109</t>
  </si>
  <si>
    <t>Phạm Thị Hạnh Tú</t>
  </si>
  <si>
    <t>tupth</t>
  </si>
  <si>
    <t>E021684</t>
  </si>
  <si>
    <t>Nguyễn Thanh Hải</t>
  </si>
  <si>
    <t>thanhhai</t>
  </si>
  <si>
    <t>E021702</t>
  </si>
  <si>
    <t>Hoàng Minh Hồng</t>
  </si>
  <si>
    <t>honghm</t>
  </si>
  <si>
    <t>E022022</t>
  </si>
  <si>
    <t>Nguyễn Hoàng Tùng</t>
  </si>
  <si>
    <t>tungnh</t>
  </si>
  <si>
    <t>E022045</t>
  </si>
  <si>
    <t>thuy.linh</t>
  </si>
  <si>
    <t>E022063</t>
  </si>
  <si>
    <t>Hoàng Trọng Dương</t>
  </si>
  <si>
    <t>duonght1</t>
  </si>
  <si>
    <t>E022126</t>
  </si>
  <si>
    <t>Trần Văn Hiển</t>
  </si>
  <si>
    <t>hientv</t>
  </si>
  <si>
    <t>E022198</t>
  </si>
  <si>
    <t>Đào Thu Hương</t>
  </si>
  <si>
    <t>dthuong</t>
  </si>
  <si>
    <t>E022251</t>
  </si>
  <si>
    <t>Ngô Thanh Thủy</t>
  </si>
  <si>
    <t>ngo.thuy</t>
  </si>
  <si>
    <t>E022353</t>
  </si>
  <si>
    <t>Lê Ngọc Thúy</t>
  </si>
  <si>
    <t>lnthuy</t>
  </si>
  <si>
    <t>E022411</t>
  </si>
  <si>
    <t>Lê Thị Thùy Dung</t>
  </si>
  <si>
    <t>dungltt</t>
  </si>
  <si>
    <t>E023011</t>
  </si>
  <si>
    <t>Đặng Thanh Hải</t>
  </si>
  <si>
    <t>haidt</t>
  </si>
  <si>
    <t>E024020</t>
  </si>
  <si>
    <t>Võ Hoàng Hiệp</t>
  </si>
  <si>
    <t>hiepvh</t>
  </si>
  <si>
    <t>E024023</t>
  </si>
  <si>
    <t>Nguyễn Viết Đức</t>
  </si>
  <si>
    <t>ducnv7</t>
  </si>
  <si>
    <t>E024071</t>
  </si>
  <si>
    <t>Nguyễn Thắng Tùng</t>
  </si>
  <si>
    <t>tungnt17</t>
  </si>
  <si>
    <t>E024082</t>
  </si>
  <si>
    <t>Hoàng Thị Hải Yến</t>
  </si>
  <si>
    <t>yenhth6</t>
  </si>
  <si>
    <t>E024101</t>
  </si>
  <si>
    <t>Nguyễn Khắc Duy</t>
  </si>
  <si>
    <t>duynk4</t>
  </si>
  <si>
    <t>E024112</t>
  </si>
  <si>
    <t>Trần Bá Tấn</t>
  </si>
  <si>
    <t>tantb</t>
  </si>
  <si>
    <t>E024153</t>
  </si>
  <si>
    <t>Nguyễn Hoàng Long</t>
  </si>
  <si>
    <t>longnh8</t>
  </si>
  <si>
    <t>E024174</t>
  </si>
  <si>
    <t>Nguyễn Hữu Trung</t>
  </si>
  <si>
    <t>trungnh5</t>
  </si>
  <si>
    <t>E024181</t>
  </si>
  <si>
    <t>Lê Quang Chương</t>
  </si>
  <si>
    <t>chuonglq</t>
  </si>
  <si>
    <t>E024226</t>
  </si>
  <si>
    <t>Bùi Hoàng Minh</t>
  </si>
  <si>
    <t>minhbh</t>
  </si>
  <si>
    <t>E024227</t>
  </si>
  <si>
    <t>Trần Trung Đức</t>
  </si>
  <si>
    <t>ductt3</t>
  </si>
  <si>
    <t>E024236</t>
  </si>
  <si>
    <t>ducnt14</t>
  </si>
  <si>
    <t>E024263</t>
  </si>
  <si>
    <t>Phạm Minh Sang</t>
  </si>
  <si>
    <t>sangpm2</t>
  </si>
  <si>
    <t>E024307</t>
  </si>
  <si>
    <t>Hoàng Anh Tú</t>
  </si>
  <si>
    <t>tuha4</t>
  </si>
  <si>
    <t>E024656</t>
  </si>
  <si>
    <t>Đoàn Văn Thịnh</t>
  </si>
  <si>
    <t>thinhdv</t>
  </si>
  <si>
    <t>E024657</t>
  </si>
  <si>
    <t>ngoclm1</t>
  </si>
  <si>
    <t>E024659</t>
  </si>
  <si>
    <t>Dương Khả Tú</t>
  </si>
  <si>
    <t>tudk</t>
  </si>
  <si>
    <t>E350111</t>
  </si>
  <si>
    <t>Trần Hoàng Lâm</t>
  </si>
  <si>
    <t>LAMTH3</t>
  </si>
  <si>
    <t>E022833</t>
  </si>
  <si>
    <t>Nguyễn Thành Long</t>
  </si>
  <si>
    <t>longnt1</t>
  </si>
  <si>
    <t>E023202</t>
  </si>
  <si>
    <t>Nguyễn Lương Huynh</t>
  </si>
  <si>
    <t>huynhnl</t>
  </si>
  <si>
    <t>E024171</t>
  </si>
  <si>
    <t>Phạm Thu Hương</t>
  </si>
  <si>
    <t>huongpt7</t>
  </si>
  <si>
    <t>E024367</t>
  </si>
  <si>
    <t>Nguyễn Thị Vân Anh</t>
  </si>
  <si>
    <t>anhntv12</t>
  </si>
  <si>
    <t>E024485</t>
  </si>
  <si>
    <t>bichnn4</t>
  </si>
  <si>
    <t>E020160</t>
  </si>
  <si>
    <t>Phạm Thị Lan Anh</t>
  </si>
  <si>
    <t>anhptl</t>
  </si>
  <si>
    <t>E020794</t>
  </si>
  <si>
    <t>Phạm Hồng Ánh</t>
  </si>
  <si>
    <t>anhph</t>
  </si>
  <si>
    <t>E021166</t>
  </si>
  <si>
    <t>Mai Thị Nhung</t>
  </si>
  <si>
    <t>nhungmt</t>
  </si>
  <si>
    <t>E021417</t>
  </si>
  <si>
    <t>Vũ Thị Hà</t>
  </si>
  <si>
    <t>havu</t>
  </si>
  <si>
    <t>E020830</t>
  </si>
  <si>
    <t>Cao Thái Hà</t>
  </si>
  <si>
    <t>hacao</t>
  </si>
  <si>
    <t>E023468</t>
  </si>
  <si>
    <t>Lưu Hồng Nhung</t>
  </si>
  <si>
    <t>nhunglh</t>
  </si>
  <si>
    <t>E170026</t>
  </si>
  <si>
    <t>Bùi Hồng Oanh</t>
  </si>
  <si>
    <t>oanhbh</t>
  </si>
  <si>
    <t>E021144</t>
  </si>
  <si>
    <t>Đặng Thị Thùy</t>
  </si>
  <si>
    <t>thuydang</t>
  </si>
  <si>
    <t>E022079</t>
  </si>
  <si>
    <t>yen.nth</t>
  </si>
  <si>
    <t>E022118</t>
  </si>
  <si>
    <t>Đinh Thị Ngữ</t>
  </si>
  <si>
    <t>ngudt</t>
  </si>
  <si>
    <t>E022520</t>
  </si>
  <si>
    <t>nguyen.maiphuong</t>
  </si>
  <si>
    <t>E022637</t>
  </si>
  <si>
    <t>Đồng Hữu Thuyên</t>
  </si>
  <si>
    <t>thuyendh</t>
  </si>
  <si>
    <t>E022644</t>
  </si>
  <si>
    <t>Nguyễn Thị Tuyết Nhung</t>
  </si>
  <si>
    <t>nhungntt</t>
  </si>
  <si>
    <t>E023272</t>
  </si>
  <si>
    <t>Bùi Hoàng Anh</t>
  </si>
  <si>
    <t>anhbh</t>
  </si>
  <si>
    <t>E023353</t>
  </si>
  <si>
    <t>Đàm Minh Châu</t>
  </si>
  <si>
    <t>chaudm1</t>
  </si>
  <si>
    <t>E023502</t>
  </si>
  <si>
    <t>Lại Quỳnh Lê</t>
  </si>
  <si>
    <t>lelq</t>
  </si>
  <si>
    <t>E023524</t>
  </si>
  <si>
    <t>Phan Thị Thanh Vân</t>
  </si>
  <si>
    <t>vanptt1</t>
  </si>
  <si>
    <t>E023708</t>
  </si>
  <si>
    <t>Vũ Lệ Thủy</t>
  </si>
  <si>
    <t>vulethuy</t>
  </si>
  <si>
    <t>E024193</t>
  </si>
  <si>
    <t>Nguyễn Ngọc Minh</t>
  </si>
  <si>
    <t>minhnn6</t>
  </si>
  <si>
    <t>E024455</t>
  </si>
  <si>
    <t>Ngô Hồng Thái</t>
  </si>
  <si>
    <t>thainh6</t>
  </si>
  <si>
    <t>E024506</t>
  </si>
  <si>
    <t>Trần Thị Quỳnh Hoa</t>
  </si>
  <si>
    <t>hoattq</t>
  </si>
  <si>
    <t>E021594</t>
  </si>
  <si>
    <t>Tô Thanh Bình</t>
  </si>
  <si>
    <t>binhtt2</t>
  </si>
  <si>
    <t>E021634</t>
  </si>
  <si>
    <t>nt.anh</t>
  </si>
  <si>
    <t>E021654</t>
  </si>
  <si>
    <t>Ngô Thùy Linh</t>
  </si>
  <si>
    <t>linhngo</t>
  </si>
  <si>
    <t>E022744</t>
  </si>
  <si>
    <t>Nguyễn Thị Hồng Nhung</t>
  </si>
  <si>
    <t>nhungnth1</t>
  </si>
  <si>
    <t>E022972</t>
  </si>
  <si>
    <t>Nguyễn Tuyết Trinh</t>
  </si>
  <si>
    <t>trinhnt1</t>
  </si>
  <si>
    <t>E023058</t>
  </si>
  <si>
    <t>Nguyễn Thị Hạnh Loan</t>
  </si>
  <si>
    <t>loannth</t>
  </si>
  <si>
    <t>E023059</t>
  </si>
  <si>
    <t>Nguyễn Ngọc Hạnh</t>
  </si>
  <si>
    <t>hanhnn</t>
  </si>
  <si>
    <t>E023133</t>
  </si>
  <si>
    <t>Nguyễn Thành Nam</t>
  </si>
  <si>
    <t>namnt2</t>
  </si>
  <si>
    <t>E024604</t>
  </si>
  <si>
    <t>Nguyễn Mỹ Linh</t>
  </si>
  <si>
    <t>linhnm3</t>
  </si>
  <si>
    <t>E350138</t>
  </si>
  <si>
    <t>Đỗ Thị Hồng Anh</t>
  </si>
  <si>
    <t>anhdth4</t>
  </si>
  <si>
    <t>E350150</t>
  </si>
  <si>
    <t>Nguyễn Thị Thanh Nguyệt</t>
  </si>
  <si>
    <t>nguyetntt3</t>
  </si>
  <si>
    <t>E023806</t>
  </si>
  <si>
    <t>Nghiêm Trung Vinh</t>
  </si>
  <si>
    <t>vinhnt1</t>
  </si>
  <si>
    <t>E022409</t>
  </si>
  <si>
    <t>Vương Thu Hà</t>
  </si>
  <si>
    <t>havuong</t>
  </si>
  <si>
    <t>E023733</t>
  </si>
  <si>
    <t>Bùi Thị Thanh Bình</t>
  </si>
  <si>
    <t>binhbtt</t>
  </si>
  <si>
    <t>E023859</t>
  </si>
  <si>
    <t>Vũ Thị Huệ</t>
  </si>
  <si>
    <t>huevt1</t>
  </si>
  <si>
    <t>E022977</t>
  </si>
  <si>
    <t>Phạm Văn Phúc</t>
  </si>
  <si>
    <t>phucpv</t>
  </si>
  <si>
    <t>E023515</t>
  </si>
  <si>
    <t>Trần Đức Văn Nhân</t>
  </si>
  <si>
    <t>nhantdv</t>
  </si>
  <si>
    <t>E024246</t>
  </si>
  <si>
    <t>Phạm Đức Mạnh</t>
  </si>
  <si>
    <t>manhpd1</t>
  </si>
  <si>
    <t>E024539</t>
  </si>
  <si>
    <t>Nguyễn Tuệ Đức</t>
  </si>
  <si>
    <t>ducnt15</t>
  </si>
  <si>
    <t>E021769</t>
  </si>
  <si>
    <t>Lại Vân Anh</t>
  </si>
  <si>
    <t>anhlai</t>
  </si>
  <si>
    <t>E022524</t>
  </si>
  <si>
    <t>Nguyễn Thị Thùy Dương</t>
  </si>
  <si>
    <t>duong.ntt</t>
  </si>
  <si>
    <t>E023506</t>
  </si>
  <si>
    <t>Võ Thị Thanh Tâm</t>
  </si>
  <si>
    <t>tamvtt1</t>
  </si>
  <si>
    <t>E023610</t>
  </si>
  <si>
    <t>hieult3</t>
  </si>
  <si>
    <t>E023893</t>
  </si>
  <si>
    <t>Ngô Thị Diệu Quỳnh</t>
  </si>
  <si>
    <t>quynhntd</t>
  </si>
  <si>
    <t>E023993</t>
  </si>
  <si>
    <t>Lê Công Minh</t>
  </si>
  <si>
    <t>minhlc1</t>
  </si>
  <si>
    <t>E024175</t>
  </si>
  <si>
    <t>Nguyễn Thị Hiện</t>
  </si>
  <si>
    <t>hiennt21</t>
  </si>
  <si>
    <t>E024232</t>
  </si>
  <si>
    <t>namnt11</t>
  </si>
  <si>
    <t>E024255</t>
  </si>
  <si>
    <t>Nguyễn Thị Hà</t>
  </si>
  <si>
    <t>hant27</t>
  </si>
  <si>
    <t>E024548</t>
  </si>
  <si>
    <t>Nguyễn Thị Kiều Ly</t>
  </si>
  <si>
    <t>lyntk2</t>
  </si>
  <si>
    <t>E024612</t>
  </si>
  <si>
    <t>Phạm Minh Ngọc</t>
  </si>
  <si>
    <t>ngocpm1</t>
  </si>
  <si>
    <t>E350110</t>
  </si>
  <si>
    <t>Trương Anna Quỳnh</t>
  </si>
  <si>
    <t>quynhta</t>
  </si>
  <si>
    <t>E350127</t>
  </si>
  <si>
    <t>Ngô Thị Minh Trang</t>
  </si>
  <si>
    <t>trangntm7</t>
  </si>
  <si>
    <t>E022541</t>
  </si>
  <si>
    <t>Đào Minh Tuấn</t>
  </si>
  <si>
    <t>tuandao</t>
  </si>
  <si>
    <t>E020711</t>
  </si>
  <si>
    <t>Đoàn Thuỳ Dương</t>
  </si>
  <si>
    <t>duongdt1</t>
  </si>
  <si>
    <t>E023285</t>
  </si>
  <si>
    <t>Nguyễn Hoàng Phương Linh</t>
  </si>
  <si>
    <t>linhnhp</t>
  </si>
  <si>
    <t>E020683</t>
  </si>
  <si>
    <t>Lê Thị Hải Linh</t>
  </si>
  <si>
    <t>linhlth</t>
  </si>
  <si>
    <t>E020695</t>
  </si>
  <si>
    <t>Đỗ Thị Thanh Vân</t>
  </si>
  <si>
    <t>vandtt</t>
  </si>
  <si>
    <t>E020722</t>
  </si>
  <si>
    <t>Phạm Huyền Trang</t>
  </si>
  <si>
    <t>phtrang</t>
  </si>
  <si>
    <t>E020747</t>
  </si>
  <si>
    <t>Nguyễn Hải Yến</t>
  </si>
  <si>
    <t>yennh</t>
  </si>
  <si>
    <t>E020761</t>
  </si>
  <si>
    <t>ngavu</t>
  </si>
  <si>
    <t>E020795</t>
  </si>
  <si>
    <t>Trần Bích Ngọc</t>
  </si>
  <si>
    <t>ngoctb</t>
  </si>
  <si>
    <t>E020943</t>
  </si>
  <si>
    <t>Cung Thị Thu Hằng</t>
  </si>
  <si>
    <t>hangcung</t>
  </si>
  <si>
    <t>E020959</t>
  </si>
  <si>
    <t>nguyenthithanhha</t>
  </si>
  <si>
    <t>E021020</t>
  </si>
  <si>
    <t>Nguyễn Phương Dung</t>
  </si>
  <si>
    <t>dungnp</t>
  </si>
  <si>
    <t>E021056</t>
  </si>
  <si>
    <t>Vũ Thị Minh Huyền</t>
  </si>
  <si>
    <t>huyenvtm</t>
  </si>
  <si>
    <t>E021057</t>
  </si>
  <si>
    <t>Lê Ngọc Trâm</t>
  </si>
  <si>
    <t>tramln</t>
  </si>
  <si>
    <t>E021067</t>
  </si>
  <si>
    <t>Nguyễn Thị Vương Nhàn</t>
  </si>
  <si>
    <t>nhanntv</t>
  </si>
  <si>
    <t>E021073</t>
  </si>
  <si>
    <t>Lê Thị Ưng</t>
  </si>
  <si>
    <t>unglt</t>
  </si>
  <si>
    <t>E023165</t>
  </si>
  <si>
    <t>Hoàng Phụng Anh</t>
  </si>
  <si>
    <t>E023211</t>
  </si>
  <si>
    <t>Lục Thị Quỳnh Chi</t>
  </si>
  <si>
    <t>chiltq</t>
  </si>
  <si>
    <t>E023220</t>
  </si>
  <si>
    <t>Phạm Văn Ngọc</t>
  </si>
  <si>
    <t>ngocpv</t>
  </si>
  <si>
    <t>E023227</t>
  </si>
  <si>
    <t>Nguyễn Quang Hưng</t>
  </si>
  <si>
    <t>hungnq2</t>
  </si>
  <si>
    <t>E023346</t>
  </si>
  <si>
    <t>Nguyễn Ngọc Trang</t>
  </si>
  <si>
    <t>trangnn1</t>
  </si>
  <si>
    <t>E023347</t>
  </si>
  <si>
    <t>Nguyễn Thị Phương Anh</t>
  </si>
  <si>
    <t>anhntp2</t>
  </si>
  <si>
    <t>E023388</t>
  </si>
  <si>
    <t>Lê Phương Thúy</t>
  </si>
  <si>
    <t>thuylp</t>
  </si>
  <si>
    <t>E023405</t>
  </si>
  <si>
    <t>Trần Minh Thảo</t>
  </si>
  <si>
    <t>thaotm</t>
  </si>
  <si>
    <t>E023415</t>
  </si>
  <si>
    <t>Chử Đức Anh</t>
  </si>
  <si>
    <t>anhcd</t>
  </si>
  <si>
    <t>E023417</t>
  </si>
  <si>
    <t>Nguyễn Thị Minh Trang</t>
  </si>
  <si>
    <t>trangntm1</t>
  </si>
  <si>
    <t>E023432</t>
  </si>
  <si>
    <t>Nguyễn Thị Trà My</t>
  </si>
  <si>
    <t>myntt1</t>
  </si>
  <si>
    <t>E023499</t>
  </si>
  <si>
    <t>thaonp5</t>
  </si>
  <si>
    <t>E024380</t>
  </si>
  <si>
    <t>Trần Thị Thanh Thương</t>
  </si>
  <si>
    <t>thuongttt1</t>
  </si>
  <si>
    <t>E020681</t>
  </si>
  <si>
    <t>Đỗ Xuân Hùng</t>
  </si>
  <si>
    <t>hungdx</t>
  </si>
  <si>
    <t>E020854</t>
  </si>
  <si>
    <t>vannh</t>
  </si>
  <si>
    <t>E020944</t>
  </si>
  <si>
    <t>Phạm Thị An</t>
  </si>
  <si>
    <t>anpham</t>
  </si>
  <si>
    <t>E022169</t>
  </si>
  <si>
    <t>Vương Thị Thùy Linh</t>
  </si>
  <si>
    <t>linhvtt</t>
  </si>
  <si>
    <t>E022816</t>
  </si>
  <si>
    <t>Nguyễn Thị Thúy Loan</t>
  </si>
  <si>
    <t>loanntt1</t>
  </si>
  <si>
    <t>E022968</t>
  </si>
  <si>
    <t>thaontp3</t>
  </si>
  <si>
    <t>E023408</t>
  </si>
  <si>
    <t>Đặng Thùy Dung</t>
  </si>
  <si>
    <t>dungdt1</t>
  </si>
  <si>
    <t>E023421</t>
  </si>
  <si>
    <t>Nông Thị Hằng Nga</t>
  </si>
  <si>
    <t>nganth1</t>
  </si>
  <si>
    <t>E023633</t>
  </si>
  <si>
    <t>Nguyễn Thị Trinh</t>
  </si>
  <si>
    <t>trinhnt3</t>
  </si>
  <si>
    <t>E023751</t>
  </si>
  <si>
    <t>Nguyễn Đình Trung</t>
  </si>
  <si>
    <t>trungnd2</t>
  </si>
  <si>
    <t>E024140</t>
  </si>
  <si>
    <t>huongntt22</t>
  </si>
  <si>
    <t>E100152</t>
  </si>
  <si>
    <t>Nguyễn Văn Tiệp</t>
  </si>
  <si>
    <t>tiepnv</t>
  </si>
  <si>
    <t>E210039</t>
  </si>
  <si>
    <t>Hoàng Trọng Huỳnh</t>
  </si>
  <si>
    <t>huynhht2</t>
  </si>
  <si>
    <t>E021137</t>
  </si>
  <si>
    <t>Phạm Quang Long</t>
  </si>
  <si>
    <t>longpq</t>
  </si>
  <si>
    <t>E023293</t>
  </si>
  <si>
    <t>Đỗ Quốc Hiếu</t>
  </si>
  <si>
    <t>hieudq</t>
  </si>
  <si>
    <t>E023311</t>
  </si>
  <si>
    <t>hangnt6</t>
  </si>
  <si>
    <t>E023389</t>
  </si>
  <si>
    <t>Nguyễn Xuân Hòa</t>
  </si>
  <si>
    <t>hoanx</t>
  </si>
  <si>
    <t>E023416</t>
  </si>
  <si>
    <t>Nguyễn Thị Hồng Thu</t>
  </si>
  <si>
    <t>thunth1</t>
  </si>
  <si>
    <t>E023419</t>
  </si>
  <si>
    <t>Lê Thị Dung</t>
  </si>
  <si>
    <t>dunglt2</t>
  </si>
  <si>
    <t>E023420</t>
  </si>
  <si>
    <t>Nguyễn Thị Út Thương</t>
  </si>
  <si>
    <t>thuongntu</t>
  </si>
  <si>
    <t>E023427</t>
  </si>
  <si>
    <t>Cao Thanh Ngọc</t>
  </si>
  <si>
    <t>ngocct</t>
  </si>
  <si>
    <t>E023469</t>
  </si>
  <si>
    <t>Nguyễn Linh Chi</t>
  </si>
  <si>
    <t>chinl1</t>
  </si>
  <si>
    <t>E023494</t>
  </si>
  <si>
    <t>linhpd1</t>
  </si>
  <si>
    <t>E023495</t>
  </si>
  <si>
    <t>Lê Phương Thảo</t>
  </si>
  <si>
    <t>thaolp2</t>
  </si>
  <si>
    <t>E023966</t>
  </si>
  <si>
    <t>Nguyễn Thạch Lễ</t>
  </si>
  <si>
    <t>lent2</t>
  </si>
  <si>
    <t>E023452</t>
  </si>
  <si>
    <t>Bùi Kiều Anh</t>
  </si>
  <si>
    <t>anhbk</t>
  </si>
  <si>
    <t>E023477</t>
  </si>
  <si>
    <t>Nguyễn Thùy Dương</t>
  </si>
  <si>
    <t>duongnt4</t>
  </si>
  <si>
    <t>E024396</t>
  </si>
  <si>
    <t>huongdt6</t>
  </si>
  <si>
    <t>E022655</t>
  </si>
  <si>
    <t>Phạm Phú Công</t>
  </si>
  <si>
    <t>congpp</t>
  </si>
  <si>
    <t>E022419</t>
  </si>
  <si>
    <t>Thái Thị Thu</t>
  </si>
  <si>
    <t>thutt</t>
  </si>
  <si>
    <t>E022663</t>
  </si>
  <si>
    <t>Lê Tuyến</t>
  </si>
  <si>
    <t>tuyenl</t>
  </si>
  <si>
    <t>E022759</t>
  </si>
  <si>
    <t>thunt1</t>
  </si>
  <si>
    <t>E022812</t>
  </si>
  <si>
    <t>Phạm Thị Thùy Dung</t>
  </si>
  <si>
    <t>dungptt1</t>
  </si>
  <si>
    <t>E024326</t>
  </si>
  <si>
    <t>tramln2</t>
  </si>
  <si>
    <t>E024493</t>
  </si>
  <si>
    <t>Trịnh Hoài An</t>
  </si>
  <si>
    <t>anth</t>
  </si>
  <si>
    <t>E021573</t>
  </si>
  <si>
    <t>Nguyễn Thị Hạnh</t>
  </si>
  <si>
    <t>hanh.nt</t>
  </si>
  <si>
    <t>E021631</t>
  </si>
  <si>
    <t>Trần Thị Hồng Nhung</t>
  </si>
  <si>
    <t>nhungtth</t>
  </si>
  <si>
    <t>E022083</t>
  </si>
  <si>
    <t>Bế Thị Thanh Tâm</t>
  </si>
  <si>
    <t>tambtt</t>
  </si>
  <si>
    <t>E022294</t>
  </si>
  <si>
    <t>Phạm Thị Ngọc Hà</t>
  </si>
  <si>
    <t>haptn</t>
  </si>
  <si>
    <t>E022830</t>
  </si>
  <si>
    <t>Phan Thu Hà</t>
  </si>
  <si>
    <t>hapt3</t>
  </si>
  <si>
    <t>E022535</t>
  </si>
  <si>
    <t>Phan Đình Luân</t>
  </si>
  <si>
    <t>phanluan</t>
  </si>
  <si>
    <t>E023171</t>
  </si>
  <si>
    <t>Lê Hồng Phong</t>
  </si>
  <si>
    <t>phonglh1</t>
  </si>
  <si>
    <t>E023180</t>
  </si>
  <si>
    <t>Nguyễn Quang Minh</t>
  </si>
  <si>
    <t>minhnq1</t>
  </si>
  <si>
    <t>E023570</t>
  </si>
  <si>
    <t>Phạm Tuấn Nam</t>
  </si>
  <si>
    <t>nampt1</t>
  </si>
  <si>
    <t>E023757</t>
  </si>
  <si>
    <t>Hoàng Thị Ninh</t>
  </si>
  <si>
    <t>ninhht</t>
  </si>
  <si>
    <t>E023783</t>
  </si>
  <si>
    <t>Cao Hồng Hòa</t>
  </si>
  <si>
    <t>hoach</t>
  </si>
  <si>
    <t>E023818</t>
  </si>
  <si>
    <t>Lê Sỹ Thương</t>
  </si>
  <si>
    <t>thuongls</t>
  </si>
  <si>
    <t>E023842</t>
  </si>
  <si>
    <t>Phạm Thị Quỳnh Anh</t>
  </si>
  <si>
    <t>anhptq</t>
  </si>
  <si>
    <t>E023892</t>
  </si>
  <si>
    <t>Tạ Hữu Hiếu</t>
  </si>
  <si>
    <t>hieuth1</t>
  </si>
  <si>
    <t>E023992</t>
  </si>
  <si>
    <t>Trần Hải Duy</t>
  </si>
  <si>
    <t>duyth</t>
  </si>
  <si>
    <t>E024065</t>
  </si>
  <si>
    <t>Lê Văn Lộc</t>
  </si>
  <si>
    <t>loclv</t>
  </si>
  <si>
    <t>E024126</t>
  </si>
  <si>
    <t>Đặng Trung Hậu</t>
  </si>
  <si>
    <t>haudt</t>
  </si>
  <si>
    <t>E024152</t>
  </si>
  <si>
    <t>Lê Văn Bình</t>
  </si>
  <si>
    <t>binhlv</t>
  </si>
  <si>
    <t>E024248</t>
  </si>
  <si>
    <t>Nguyễn Trí Minh</t>
  </si>
  <si>
    <t>minhnt7</t>
  </si>
  <si>
    <t>E024258</t>
  </si>
  <si>
    <t>Nguyễn Duy Cường</t>
  </si>
  <si>
    <t>cuongnd6</t>
  </si>
  <si>
    <t>E023042</t>
  </si>
  <si>
    <t>Tống Nguyên Hùng</t>
  </si>
  <si>
    <t>hungtn1</t>
  </si>
  <si>
    <t>E023339</t>
  </si>
  <si>
    <t>Nguyễn Thanh Huyền</t>
  </si>
  <si>
    <t>huyennt7</t>
  </si>
  <si>
    <t>E023932</t>
  </si>
  <si>
    <t>Nguyễn Tú Anh</t>
  </si>
  <si>
    <t>anhnt14</t>
  </si>
  <si>
    <t>E024037</t>
  </si>
  <si>
    <t>Nguyễn Ngọc Phú</t>
  </si>
  <si>
    <t>phunn1</t>
  </si>
  <si>
    <t>E024094</t>
  </si>
  <si>
    <t>Trần Thị Quỳnh Anh</t>
  </si>
  <si>
    <t>anhttq</t>
  </si>
  <si>
    <t>E024213</t>
  </si>
  <si>
    <t>Nguyễn Quốc Hoài</t>
  </si>
  <si>
    <t>hoainq</t>
  </si>
  <si>
    <t>E024257</t>
  </si>
  <si>
    <t>Lê Quang Minh</t>
  </si>
  <si>
    <t>minhlq2</t>
  </si>
  <si>
    <t>E023161</t>
  </si>
  <si>
    <t>Tạ Hồng Nga</t>
  </si>
  <si>
    <t>ngath1</t>
  </si>
  <si>
    <t>E120003</t>
  </si>
  <si>
    <t>Đỗ Thị Hoài Thương</t>
  </si>
  <si>
    <t>thuongdth</t>
  </si>
  <si>
    <t>E120192</t>
  </si>
  <si>
    <t>duynd1</t>
  </si>
  <si>
    <t>E020595</t>
  </si>
  <si>
    <t>nguyenhang</t>
  </si>
  <si>
    <t>E021005</t>
  </si>
  <si>
    <t>Cao Thị Bích Lộc</t>
  </si>
  <si>
    <t>locctb</t>
  </si>
  <si>
    <t>E022533</t>
  </si>
  <si>
    <t>Trần Việt Dũng</t>
  </si>
  <si>
    <t>tranvietdung</t>
  </si>
  <si>
    <t>E020887</t>
  </si>
  <si>
    <t>Nguyễn An Huy</t>
  </si>
  <si>
    <t>huyna</t>
  </si>
  <si>
    <t>E021116</t>
  </si>
  <si>
    <t>Nguyễn Thị Xuân</t>
  </si>
  <si>
    <t>ntxuan</t>
  </si>
  <si>
    <t>E023362</t>
  </si>
  <si>
    <t>Nguyễn Mạnh Thanh</t>
  </si>
  <si>
    <t>thanhnm2</t>
  </si>
  <si>
    <t>E023425</t>
  </si>
  <si>
    <t>Nguyễn Kiều Hưng</t>
  </si>
  <si>
    <t>hungnk1</t>
  </si>
  <si>
    <t>E023445</t>
  </si>
  <si>
    <t>Hoàng Bình Dương</t>
  </si>
  <si>
    <t>duonghb</t>
  </si>
  <si>
    <t>E023462</t>
  </si>
  <si>
    <t>Nguyễn Đình Hùng</t>
  </si>
  <si>
    <t>hungnd1</t>
  </si>
  <si>
    <t>E023492</t>
  </si>
  <si>
    <t>Phan Thanh Cường</t>
  </si>
  <si>
    <t>cuongpt1</t>
  </si>
  <si>
    <t>E023493</t>
  </si>
  <si>
    <t>Vũ Thành Hưng</t>
  </si>
  <si>
    <t>hungvt</t>
  </si>
  <si>
    <t>E023520</t>
  </si>
  <si>
    <t>Bùi Vũ Đông</t>
  </si>
  <si>
    <t>dongbv</t>
  </si>
  <si>
    <t>E023589</t>
  </si>
  <si>
    <t>Vi Thị Ngoan</t>
  </si>
  <si>
    <t>ngoanvt</t>
  </si>
  <si>
    <t>E023590</t>
  </si>
  <si>
    <t>Nguyễn Thị Thơm</t>
  </si>
  <si>
    <t>thomnt1</t>
  </si>
  <si>
    <t>E023675</t>
  </si>
  <si>
    <t>Văn Hà My</t>
  </si>
  <si>
    <t>myvh</t>
  </si>
  <si>
    <t>E023731</t>
  </si>
  <si>
    <t>Cao Xuân Hà</t>
  </si>
  <si>
    <t>hacx</t>
  </si>
  <si>
    <t>E023838</t>
  </si>
  <si>
    <t>Hoàng Văn Trình</t>
  </si>
  <si>
    <t>trinhhv1</t>
  </si>
  <si>
    <t>E023957</t>
  </si>
  <si>
    <t>Nguyễn Ngọc Anh</t>
  </si>
  <si>
    <t>anhnn2</t>
  </si>
  <si>
    <t>E023984</t>
  </si>
  <si>
    <t>Vũ Trường Sơn</t>
  </si>
  <si>
    <t>sonvt3</t>
  </si>
  <si>
    <t>E024022</t>
  </si>
  <si>
    <t>Trần Mạnh Cường</t>
  </si>
  <si>
    <t>cuongtm3</t>
  </si>
  <si>
    <t>E010071</t>
  </si>
  <si>
    <t>Phan Thị Thùy Dương</t>
  </si>
  <si>
    <t>duongptt</t>
  </si>
  <si>
    <t>E010586</t>
  </si>
  <si>
    <t>huynb</t>
  </si>
  <si>
    <t>E010715</t>
  </si>
  <si>
    <t>Nguyễn Thị Ngọc Loan</t>
  </si>
  <si>
    <t>loannguyen</t>
  </si>
  <si>
    <t>E010871</t>
  </si>
  <si>
    <t>Đoàn Minh Châu</t>
  </si>
  <si>
    <t>chaudm</t>
  </si>
  <si>
    <t>E011037</t>
  </si>
  <si>
    <t>Huỳnh Thị Ngọc Châu</t>
  </si>
  <si>
    <t>chauhtn</t>
  </si>
  <si>
    <t>E013291</t>
  </si>
  <si>
    <t>Vũ Văn Hoàng</t>
  </si>
  <si>
    <t>hoangvv</t>
  </si>
  <si>
    <t>E013292</t>
  </si>
  <si>
    <t>Phạm Hoàng Vũ Triều</t>
  </si>
  <si>
    <t>trieuphv</t>
  </si>
  <si>
    <t>E010379</t>
  </si>
  <si>
    <t>Đào Ngọc Thụy Hà Thy</t>
  </si>
  <si>
    <t>thydnth</t>
  </si>
  <si>
    <t>E010713</t>
  </si>
  <si>
    <t>Lý Hiệp Chi</t>
  </si>
  <si>
    <t>chilh</t>
  </si>
  <si>
    <t>E010909</t>
  </si>
  <si>
    <t>Vũ Đặng Quang Vinh</t>
  </si>
  <si>
    <t>vinhvdq</t>
  </si>
  <si>
    <t>E011376</t>
  </si>
  <si>
    <t>Lê Bùi Minh Phương</t>
  </si>
  <si>
    <t>phuonglbm</t>
  </si>
  <si>
    <t>E011749</t>
  </si>
  <si>
    <t>Lê Thị Thu Hiền</t>
  </si>
  <si>
    <t>hienltt1</t>
  </si>
  <si>
    <t>E012430</t>
  </si>
  <si>
    <t>Nguyễn Bích Hằng</t>
  </si>
  <si>
    <t>hangnb</t>
  </si>
  <si>
    <t>E012474</t>
  </si>
  <si>
    <t>Nguyễn Ái Trân</t>
  </si>
  <si>
    <t>tranna</t>
  </si>
  <si>
    <t>E013072</t>
  </si>
  <si>
    <t>Nguyễn Thị Bảo Thuyên</t>
  </si>
  <si>
    <t>thuyenntb</t>
  </si>
  <si>
    <t>E013339</t>
  </si>
  <si>
    <t>Doãn Thị Ái My</t>
  </si>
  <si>
    <t>mydta</t>
  </si>
  <si>
    <t>E011118</t>
  </si>
  <si>
    <t>Khiếu Thị Thu Thủy</t>
  </si>
  <si>
    <t>thuyktt</t>
  </si>
  <si>
    <t>E020239</t>
  </si>
  <si>
    <t>Nguyễn Thị Lệ Thủy</t>
  </si>
  <si>
    <t>thuyntl</t>
  </si>
  <si>
    <t>E020275</t>
  </si>
  <si>
    <t>Mai Thùy Trang</t>
  </si>
  <si>
    <t>trangmt</t>
  </si>
  <si>
    <t>E020354</t>
  </si>
  <si>
    <t>Trần Thị Thu Hoài</t>
  </si>
  <si>
    <t>hoaitt</t>
  </si>
  <si>
    <t>E020359</t>
  </si>
  <si>
    <t>Trần Hải Sơn</t>
  </si>
  <si>
    <t>sonth</t>
  </si>
  <si>
    <t>E020360</t>
  </si>
  <si>
    <t>Ngô Thị Thu Trang</t>
  </si>
  <si>
    <t>trangnt</t>
  </si>
  <si>
    <t>E020377</t>
  </si>
  <si>
    <t>Nguyễn Thị Hương Giang</t>
  </si>
  <si>
    <t>giangnth</t>
  </si>
  <si>
    <t>E020401</t>
  </si>
  <si>
    <t>Trần Thị Minh Nguyệt</t>
  </si>
  <si>
    <t>minhnguyet</t>
  </si>
  <si>
    <t>E020450</t>
  </si>
  <si>
    <t>Phạm Hùng</t>
  </si>
  <si>
    <t>hungp1</t>
  </si>
  <si>
    <t>E020621</t>
  </si>
  <si>
    <t>Đỗ Xuân Trường</t>
  </si>
  <si>
    <t>truongdx</t>
  </si>
  <si>
    <t>E020796</t>
  </si>
  <si>
    <t>Nguyễn Thị Minh Thư</t>
  </si>
  <si>
    <t>minhthu</t>
  </si>
  <si>
    <t>E020831</t>
  </si>
  <si>
    <t>Dương Thùy Linh</t>
  </si>
  <si>
    <t>linhdt2</t>
  </si>
  <si>
    <t>E020832</t>
  </si>
  <si>
    <t>nthuong</t>
  </si>
  <si>
    <t>E020956</t>
  </si>
  <si>
    <t>tuanta3</t>
  </si>
  <si>
    <t>E021327</t>
  </si>
  <si>
    <t>Nguyễn Văn Chinh</t>
  </si>
  <si>
    <t>chinhnv</t>
  </si>
  <si>
    <t>E010182</t>
  </si>
  <si>
    <t>Lê Thuỳ Liên</t>
  </si>
  <si>
    <t>lienlt</t>
  </si>
  <si>
    <t>E010577</t>
  </si>
  <si>
    <t>Huỳnh Kim Bảo Toàn</t>
  </si>
  <si>
    <t>toanhkb</t>
  </si>
  <si>
    <t>E010645</t>
  </si>
  <si>
    <t>Đặng Thị Thanh Đào</t>
  </si>
  <si>
    <t>daodtt</t>
  </si>
  <si>
    <t>E010663</t>
  </si>
  <si>
    <t>Triệu Thị Hợi</t>
  </si>
  <si>
    <t>hoitt</t>
  </si>
  <si>
    <t>E010823</t>
  </si>
  <si>
    <t>Kiều Thị Huyền Trang</t>
  </si>
  <si>
    <t>trangkth</t>
  </si>
  <si>
    <t>E011060</t>
  </si>
  <si>
    <t>Đỗ Lê Hoàng Oanh</t>
  </si>
  <si>
    <t>oanhdlh1</t>
  </si>
  <si>
    <t>E011089</t>
  </si>
  <si>
    <t>Phan Thị Hồng Sương</t>
  </si>
  <si>
    <t>suongphan</t>
  </si>
  <si>
    <t>E011181</t>
  </si>
  <si>
    <t>Vũ Thị Minh Phương</t>
  </si>
  <si>
    <t>phuongvtm</t>
  </si>
  <si>
    <t>E011276</t>
  </si>
  <si>
    <t>nthgiang</t>
  </si>
  <si>
    <t>E011460</t>
  </si>
  <si>
    <t>Vòng Cóng Phấn</t>
  </si>
  <si>
    <t>phanvc1</t>
  </si>
  <si>
    <t>E011571</t>
  </si>
  <si>
    <t>Nguyễn Lê Băng Tuyền</t>
  </si>
  <si>
    <t>tuyennlb</t>
  </si>
  <si>
    <t>E012077</t>
  </si>
  <si>
    <t>Nguyễn Thị Minh Châu</t>
  </si>
  <si>
    <t>chauthi</t>
  </si>
  <si>
    <t>E012082</t>
  </si>
  <si>
    <t>Mai Đức Khánh Hà</t>
  </si>
  <si>
    <t>hamdk</t>
  </si>
  <si>
    <t>E023032</t>
  </si>
  <si>
    <t>Kiều Thị Kim Oanh</t>
  </si>
  <si>
    <t>oanhktk</t>
  </si>
  <si>
    <t>E023413</t>
  </si>
  <si>
    <t>Phùng Thị Thu Hương</t>
  </si>
  <si>
    <t>huongptt2</t>
  </si>
  <si>
    <t>E023905</t>
  </si>
  <si>
    <t>hienntt9</t>
  </si>
  <si>
    <t>E024615</t>
  </si>
  <si>
    <t>Nông Thị Hải Lý</t>
  </si>
  <si>
    <t>lynth4</t>
  </si>
  <si>
    <t>E024624</t>
  </si>
  <si>
    <t>Hà Quỳnh Anh</t>
  </si>
  <si>
    <t>anhhq1</t>
  </si>
  <si>
    <t>E100034</t>
  </si>
  <si>
    <t>Lương Thanh Huyền</t>
  </si>
  <si>
    <t>huyenlt</t>
  </si>
  <si>
    <t>E023628</t>
  </si>
  <si>
    <t>Phạm Hà Duy</t>
  </si>
  <si>
    <t>phamhaduy</t>
  </si>
  <si>
    <t>E020355</t>
  </si>
  <si>
    <t>Trịnh Ngọc Thanh</t>
  </si>
  <si>
    <t>thanhtn</t>
  </si>
  <si>
    <t>E022450</t>
  </si>
  <si>
    <t>nthuyentrang</t>
  </si>
  <si>
    <t>E023378</t>
  </si>
  <si>
    <t>Nguyễn Thị Phương Dung</t>
  </si>
  <si>
    <t>dungntp1</t>
  </si>
  <si>
    <t>E023395</t>
  </si>
  <si>
    <t>Chu Thế Tài</t>
  </si>
  <si>
    <t>taict</t>
  </si>
  <si>
    <t>E023479</t>
  </si>
  <si>
    <t>Nguyễn Ngọc Hoàng Dương</t>
  </si>
  <si>
    <t>duongnnh</t>
  </si>
  <si>
    <t>E023486</t>
  </si>
  <si>
    <t>Lê Minh Tú</t>
  </si>
  <si>
    <t>tulm</t>
  </si>
  <si>
    <t>E023497</t>
  </si>
  <si>
    <t>Nguyễn Đức Huy</t>
  </si>
  <si>
    <t>huynd3</t>
  </si>
  <si>
    <t>E012998</t>
  </si>
  <si>
    <t>Lê Kiến Lâm Tuyền</t>
  </si>
  <si>
    <t>tuyenlkl</t>
  </si>
  <si>
    <t>E013150</t>
  </si>
  <si>
    <t>binhnt2</t>
  </si>
  <si>
    <t>E013186</t>
  </si>
  <si>
    <t>Nguyễn Minh Khang</t>
  </si>
  <si>
    <t>khangnm</t>
  </si>
  <si>
    <t>E013232</t>
  </si>
  <si>
    <t>Phạm Thị Cẩm Giang</t>
  </si>
  <si>
    <t>giangptc</t>
  </si>
  <si>
    <t>E013281</t>
  </si>
  <si>
    <t>thiphuonglinh</t>
  </si>
  <si>
    <t>E013711</t>
  </si>
  <si>
    <t>Huỳnh Tú Hảo</t>
  </si>
  <si>
    <t>haoht</t>
  </si>
  <si>
    <t>E013842</t>
  </si>
  <si>
    <t>Hoàng Cao Trí</t>
  </si>
  <si>
    <t>trihc</t>
  </si>
  <si>
    <t>E013930</t>
  </si>
  <si>
    <t>Trần Bảo An</t>
  </si>
  <si>
    <t>antb</t>
  </si>
  <si>
    <t>E013946</t>
  </si>
  <si>
    <t>Võ Tùng Tuyển</t>
  </si>
  <si>
    <t>tuyenvt1</t>
  </si>
  <si>
    <t>E013950</t>
  </si>
  <si>
    <t>Đinh Ngọc Tuấn</t>
  </si>
  <si>
    <t>tuandn1</t>
  </si>
  <si>
    <t>E014173</t>
  </si>
  <si>
    <t>Trịnh Thị Đình</t>
  </si>
  <si>
    <t>dinhtt</t>
  </si>
  <si>
    <t>E014176</t>
  </si>
  <si>
    <t>Trương Vĩnh Nguyên Thy</t>
  </si>
  <si>
    <t>thytvn</t>
  </si>
  <si>
    <t>E022999</t>
  </si>
  <si>
    <t>Nguyễn Thị Nguyệt Trang</t>
  </si>
  <si>
    <t>trangntn1</t>
  </si>
  <si>
    <t>E020879</t>
  </si>
  <si>
    <t>Dương Thị Nhàn</t>
  </si>
  <si>
    <t>nhanduong</t>
  </si>
  <si>
    <t>E022845</t>
  </si>
  <si>
    <t>anhnm2</t>
  </si>
  <si>
    <t>E023781</t>
  </si>
  <si>
    <t>Bùi Thị Tình</t>
  </si>
  <si>
    <t>tinhbt</t>
  </si>
  <si>
    <t>E021304</t>
  </si>
  <si>
    <t>Phạm Phương Hồng Ngọc</t>
  </si>
  <si>
    <t>ngocpph</t>
  </si>
  <si>
    <t>E012242</t>
  </si>
  <si>
    <t>Phạm Thị Mỹ Duyên</t>
  </si>
  <si>
    <t>duyenptm2</t>
  </si>
  <si>
    <t>E013604</t>
  </si>
  <si>
    <t>Văn Thảo My</t>
  </si>
  <si>
    <t>myvan</t>
  </si>
  <si>
    <t>E013695</t>
  </si>
  <si>
    <t>Nguyễn Phương Khanh</t>
  </si>
  <si>
    <t>khanhnp</t>
  </si>
  <si>
    <t>E110047</t>
  </si>
  <si>
    <t>Nguyễn Thị Thuỳ Linh</t>
  </si>
  <si>
    <t>linhntt</t>
  </si>
  <si>
    <t>E110108</t>
  </si>
  <si>
    <t>Tường Thị Thu Hằng</t>
  </si>
  <si>
    <t>hangtuong</t>
  </si>
  <si>
    <t>E110025</t>
  </si>
  <si>
    <t>Phạm Thanh Tâm</t>
  </si>
  <si>
    <t>tampt</t>
  </si>
  <si>
    <t>E110059</t>
  </si>
  <si>
    <t>Nguyễn Thị Quỳnh Trang</t>
  </si>
  <si>
    <t>trangntq</t>
  </si>
  <si>
    <t>E110099</t>
  </si>
  <si>
    <t>Nguyễn Hải Ninh</t>
  </si>
  <si>
    <t>ninhnh</t>
  </si>
  <si>
    <t>E110159</t>
  </si>
  <si>
    <t>Vũ Phương Linh</t>
  </si>
  <si>
    <t>linhvp</t>
  </si>
  <si>
    <t>E110190</t>
  </si>
  <si>
    <t>Nguyễn Thị Phương Nhung</t>
  </si>
  <si>
    <t>nhungntp3</t>
  </si>
  <si>
    <t>E350002</t>
  </si>
  <si>
    <t>Hoàng Thị Tuyết</t>
  </si>
  <si>
    <t>tuyethoang</t>
  </si>
  <si>
    <t>E350091</t>
  </si>
  <si>
    <t>Nguyễn Văn Quý</t>
  </si>
  <si>
    <t>quynv</t>
  </si>
  <si>
    <t>E100087</t>
  </si>
  <si>
    <t>Đào Thị Ngọc</t>
  </si>
  <si>
    <t>thingoc</t>
  </si>
  <si>
    <t>E100201</t>
  </si>
  <si>
    <t>Cao Thị Phương Thảo</t>
  </si>
  <si>
    <t>thaoctp1</t>
  </si>
  <si>
    <t>E100249</t>
  </si>
  <si>
    <t>Nguyễn Thị Định</t>
  </si>
  <si>
    <t>dinhnt2</t>
  </si>
  <si>
    <t>E100151</t>
  </si>
  <si>
    <t>Nguyễn Thị Yến</t>
  </si>
  <si>
    <t>ntyen</t>
  </si>
  <si>
    <t>E100238</t>
  </si>
  <si>
    <t>Lê Vân Dung</t>
  </si>
  <si>
    <t>dunglv1</t>
  </si>
  <si>
    <t>E022404</t>
  </si>
  <si>
    <t>Đặng Quốc Đạt</t>
  </si>
  <si>
    <t>datdq1</t>
  </si>
  <si>
    <t>E022465</t>
  </si>
  <si>
    <t>n.tthuy</t>
  </si>
  <si>
    <t>E022565</t>
  </si>
  <si>
    <t>Hà Thị Mai Hương</t>
  </si>
  <si>
    <t>huongha</t>
  </si>
  <si>
    <t>E022946</t>
  </si>
  <si>
    <t>Đinh Thị Thảo</t>
  </si>
  <si>
    <t>thaodt2</t>
  </si>
  <si>
    <t>E023176</t>
  </si>
  <si>
    <t>Phạm Duy Khánh</t>
  </si>
  <si>
    <t>khanhpd</t>
  </si>
  <si>
    <t>E023775</t>
  </si>
  <si>
    <t>Phạm Khánh Huyền</t>
  </si>
  <si>
    <t>huyenpk2</t>
  </si>
  <si>
    <t>E023977</t>
  </si>
  <si>
    <t>DUCNV2</t>
  </si>
  <si>
    <t>E024562</t>
  </si>
  <si>
    <t>Trần Hoàng Việt</t>
  </si>
  <si>
    <t>vietth2</t>
  </si>
  <si>
    <t>E024582</t>
  </si>
  <si>
    <t>Nguyễn Thị Hoài Phương</t>
  </si>
  <si>
    <t>phuongnth3</t>
  </si>
  <si>
    <t>E310009</t>
  </si>
  <si>
    <t>Phan Trọng Đề</t>
  </si>
  <si>
    <t>dephan</t>
  </si>
  <si>
    <t>E310001</t>
  </si>
  <si>
    <t>Lê Anh Tú</t>
  </si>
  <si>
    <t>tule</t>
  </si>
  <si>
    <t>E020578</t>
  </si>
  <si>
    <t>Đặng Trần Nha Trang</t>
  </si>
  <si>
    <t>trangdtn</t>
  </si>
  <si>
    <t>E031027</t>
  </si>
  <si>
    <t>Nguyễn Văn Tuấn</t>
  </si>
  <si>
    <t>tuan.nv</t>
  </si>
  <si>
    <t>E310014</t>
  </si>
  <si>
    <t>Nguyễn Đức Đạt</t>
  </si>
  <si>
    <t>datnd2</t>
  </si>
  <si>
    <t>E310029</t>
  </si>
  <si>
    <t>thao.nt</t>
  </si>
  <si>
    <t>E350236</t>
  </si>
  <si>
    <t>Trần Khánh Huyền</t>
  </si>
  <si>
    <t>HUYENTK1</t>
  </si>
  <si>
    <t>E022841</t>
  </si>
  <si>
    <t>Đoàn Thị Thu Hảo</t>
  </si>
  <si>
    <t>haodtt1</t>
  </si>
  <si>
    <t>E023068</t>
  </si>
  <si>
    <t>Trần Ngọc Minh</t>
  </si>
  <si>
    <t>minhtn1</t>
  </si>
  <si>
    <t>E023782</t>
  </si>
  <si>
    <t>Đinh Xuân Bách</t>
  </si>
  <si>
    <t>bachdx</t>
  </si>
  <si>
    <t>E023921</t>
  </si>
  <si>
    <t>Hồ Phương Anh</t>
  </si>
  <si>
    <t>anhhp1</t>
  </si>
  <si>
    <t>E024282</t>
  </si>
  <si>
    <t>Đồng Tiến Mạnh</t>
  </si>
  <si>
    <t>manhdt1</t>
  </si>
  <si>
    <t>E024409</t>
  </si>
  <si>
    <t>Đồng Thị Ngọc Anh</t>
  </si>
  <si>
    <t>anhdtn2</t>
  </si>
  <si>
    <t>E024410</t>
  </si>
  <si>
    <t>Bùi Thị Vân Khánh</t>
  </si>
  <si>
    <t>khanhbtv</t>
  </si>
  <si>
    <t>E024489</t>
  </si>
  <si>
    <t>Đỗ Đình Thắng</t>
  </si>
  <si>
    <t>thangdd3</t>
  </si>
  <si>
    <t>E024534</t>
  </si>
  <si>
    <t>Kiều Thanh Tâm</t>
  </si>
  <si>
    <t>tamkt</t>
  </si>
  <si>
    <t>E024536</t>
  </si>
  <si>
    <t>Dương Anh Tuấn</t>
  </si>
  <si>
    <t>tuanda4</t>
  </si>
  <si>
    <t>E024621</t>
  </si>
  <si>
    <t>Phạm Thị Như Quỳnh</t>
  </si>
  <si>
    <t>quynhptn1</t>
  </si>
  <si>
    <t>E024630</t>
  </si>
  <si>
    <t>Nguyễn Thị Chinh</t>
  </si>
  <si>
    <t>chinhnt5</t>
  </si>
  <si>
    <t>E021127</t>
  </si>
  <si>
    <t>Lại Hồng Thuỷ</t>
  </si>
  <si>
    <t>thuylh</t>
  </si>
  <si>
    <t>E021884</t>
  </si>
  <si>
    <t>trangnth6</t>
  </si>
  <si>
    <t>E022125</t>
  </si>
  <si>
    <t>Nguyễn Ngọc Điệp</t>
  </si>
  <si>
    <t>diepnn1</t>
  </si>
  <si>
    <t>E022836</t>
  </si>
  <si>
    <t>anhnn1</t>
  </si>
  <si>
    <t>E021044</t>
  </si>
  <si>
    <t>Phạm Trung Kiên</t>
  </si>
  <si>
    <t>kienpt</t>
  </si>
  <si>
    <t>E024400</t>
  </si>
  <si>
    <t>Phạm Thị Giao Linh</t>
  </si>
  <si>
    <t>linhptg</t>
  </si>
  <si>
    <t>E024443</t>
  </si>
  <si>
    <t>Nguyễn Trung Hiếu</t>
  </si>
  <si>
    <t>hieunt17</t>
  </si>
  <si>
    <t>E020091</t>
  </si>
  <si>
    <t>thuyntt</t>
  </si>
  <si>
    <t>E021841</t>
  </si>
  <si>
    <t>nguyenthithuha</t>
  </si>
  <si>
    <t>E024475</t>
  </si>
  <si>
    <t>Ngô Gia Khôi</t>
  </si>
  <si>
    <t>khoing</t>
  </si>
  <si>
    <t>E024161</t>
  </si>
  <si>
    <t>Đỗ Quang Lợi</t>
  </si>
  <si>
    <t>loidq</t>
  </si>
  <si>
    <t>E190176</t>
  </si>
  <si>
    <t>Đặng Anh Đoàn</t>
  </si>
  <si>
    <t>doanda</t>
  </si>
  <si>
    <t>E020556</t>
  </si>
  <si>
    <t>Nguyễn Hồng Hạnh</t>
  </si>
  <si>
    <t>hanhnh</t>
  </si>
  <si>
    <t>E190181</t>
  </si>
  <si>
    <t>huonglt3</t>
  </si>
  <si>
    <t>E190186</t>
  </si>
  <si>
    <t>Trương Thị Ngọc</t>
  </si>
  <si>
    <t>ngoctt1</t>
  </si>
  <si>
    <t>E190125</t>
  </si>
  <si>
    <t>phuong.thi</t>
  </si>
  <si>
    <t>E190009</t>
  </si>
  <si>
    <t>Đinh Thị Phương Thúy</t>
  </si>
  <si>
    <t>thuydtp</t>
  </si>
  <si>
    <t>E190074</t>
  </si>
  <si>
    <t>Lê Thị Thu Hòa</t>
  </si>
  <si>
    <t>hoale</t>
  </si>
  <si>
    <t>E190105</t>
  </si>
  <si>
    <t>Hồ Thị Huyền Trang</t>
  </si>
  <si>
    <t>trangho</t>
  </si>
  <si>
    <t>E190202</t>
  </si>
  <si>
    <t>Phạm Thị Hải Hà</t>
  </si>
  <si>
    <t>hapth</t>
  </si>
  <si>
    <t>E350248</t>
  </si>
  <si>
    <t>Trần Thị Huyền Trang</t>
  </si>
  <si>
    <t>TRANGTTH13</t>
  </si>
  <si>
    <t>E200163</t>
  </si>
  <si>
    <t>Phùng Thị Quyên</t>
  </si>
  <si>
    <t>quyenpt</t>
  </si>
  <si>
    <t>ABBANK Khánh Hội</t>
  </si>
  <si>
    <t>E200360</t>
  </si>
  <si>
    <t>Phạm Thị Kim Quyên</t>
  </si>
  <si>
    <t>quyenptk</t>
  </si>
  <si>
    <t>E200395</t>
  </si>
  <si>
    <t>Nguyễn Phương Giang</t>
  </si>
  <si>
    <t>giangnp</t>
  </si>
  <si>
    <t>E014631</t>
  </si>
  <si>
    <t>Nguyễn Trần Hữu Phúc</t>
  </si>
  <si>
    <t>PHUCNTH1</t>
  </si>
  <si>
    <t>E200380</t>
  </si>
  <si>
    <t>Lưu Vĩnh Nghi</t>
  </si>
  <si>
    <t>nghilv1</t>
  </si>
  <si>
    <t>E210056</t>
  </si>
  <si>
    <t>Nguyễn Văn Long</t>
  </si>
  <si>
    <t>nvlong</t>
  </si>
  <si>
    <t>ABBANK Vĩnh Phúc</t>
  </si>
  <si>
    <t>E210068</t>
  </si>
  <si>
    <t>Nguyễn Thị Thanh Mai</t>
  </si>
  <si>
    <t>maithi</t>
  </si>
  <si>
    <t>E210182</t>
  </si>
  <si>
    <t>Nguyễn Thùy Anh</t>
  </si>
  <si>
    <t>anhnt2</t>
  </si>
  <si>
    <t>E210227</t>
  </si>
  <si>
    <t>Đặng Thùy Ninh</t>
  </si>
  <si>
    <t>NINHDT</t>
  </si>
  <si>
    <t>E210243</t>
  </si>
  <si>
    <t>thuntm4</t>
  </si>
  <si>
    <t>E210187</t>
  </si>
  <si>
    <t>Nguyễn Thị Hoan</t>
  </si>
  <si>
    <t>hoannt1</t>
  </si>
  <si>
    <t>E210208</t>
  </si>
  <si>
    <t>Trần Tuấn Nam</t>
  </si>
  <si>
    <t>namtt1</t>
  </si>
  <si>
    <t>E210215</t>
  </si>
  <si>
    <t>Phạm Nguyễn Hoàng</t>
  </si>
  <si>
    <t>hoangpn</t>
  </si>
  <si>
    <t>E100241</t>
  </si>
  <si>
    <t>Nguyễn Hoàng Nam</t>
  </si>
  <si>
    <t>namnh5</t>
  </si>
  <si>
    <t>E100242</t>
  </si>
  <si>
    <t>Lê Thùy Dương</t>
  </si>
  <si>
    <t>duonglt3</t>
  </si>
  <si>
    <t>E100243</t>
  </si>
  <si>
    <t>Mai Trung Kiên</t>
  </si>
  <si>
    <t>kienmt</t>
  </si>
  <si>
    <t>E100250</t>
  </si>
  <si>
    <t>Đỗ Mạnh Đức</t>
  </si>
  <si>
    <t>ducdm</t>
  </si>
  <si>
    <t>E100253</t>
  </si>
  <si>
    <t>Nguyễn Thị Thanh Tâm</t>
  </si>
  <si>
    <t>tamntt10</t>
  </si>
  <si>
    <t>E100042</t>
  </si>
  <si>
    <t>Đinh Thị Ngọc</t>
  </si>
  <si>
    <t>ngocdinh</t>
  </si>
  <si>
    <t>E100097</t>
  </si>
  <si>
    <t>Nguyễn Hằng Nga</t>
  </si>
  <si>
    <t>nganh</t>
  </si>
  <si>
    <t>E100185</t>
  </si>
  <si>
    <t>huyenpk</t>
  </si>
  <si>
    <t>E100229</t>
  </si>
  <si>
    <t>Hoàng Thị Quỳnh Trang</t>
  </si>
  <si>
    <t>tranghtq1</t>
  </si>
  <si>
    <t>E100247</t>
  </si>
  <si>
    <t>Phạm Thị Linh</t>
  </si>
  <si>
    <t>LINHPT5</t>
  </si>
  <si>
    <t>E100252</t>
  </si>
  <si>
    <t>Vũ Thị Thủy Tiên</t>
  </si>
  <si>
    <t>tienvtt</t>
  </si>
  <si>
    <t>E350122</t>
  </si>
  <si>
    <t>Lê Thị Phong Lan</t>
  </si>
  <si>
    <t>lanltp</t>
  </si>
  <si>
    <t>E011291</t>
  </si>
  <si>
    <t>Hồ Động Đình</t>
  </si>
  <si>
    <t>dinhhd</t>
  </si>
  <si>
    <t>E010718</t>
  </si>
  <si>
    <t>Ngô Minh Cường</t>
  </si>
  <si>
    <t>cuongminh</t>
  </si>
  <si>
    <t>E011423</t>
  </si>
  <si>
    <t>Nguyễn Hữu Minh Huy</t>
  </si>
  <si>
    <t>huynhm</t>
  </si>
  <si>
    <t>E011848</t>
  </si>
  <si>
    <t>Nguyễn Văn Ngọc</t>
  </si>
  <si>
    <t>ngocnv</t>
  </si>
  <si>
    <t>E013102</t>
  </si>
  <si>
    <t>Đỗ Thị Thu Nga</t>
  </si>
  <si>
    <t>ngado</t>
  </si>
  <si>
    <t>E013319</t>
  </si>
  <si>
    <t>Lê Thị Minh Lý</t>
  </si>
  <si>
    <t>lyltm</t>
  </si>
  <si>
    <t>E014068</t>
  </si>
  <si>
    <t>Nguyễn Quốc Hải</t>
  </si>
  <si>
    <t>hainq</t>
  </si>
  <si>
    <t>E014191</t>
  </si>
  <si>
    <t>anhnt9</t>
  </si>
  <si>
    <t>E014200</t>
  </si>
  <si>
    <t>Đỗ Thị Yến Ngọc</t>
  </si>
  <si>
    <t>ngocdty</t>
  </si>
  <si>
    <t>E014224</t>
  </si>
  <si>
    <t>Trần Quốc Trí</t>
  </si>
  <si>
    <t>tritq1</t>
  </si>
  <si>
    <t>E014320</t>
  </si>
  <si>
    <t>Lê Thị Hồng Hạnh</t>
  </si>
  <si>
    <t>hanhlth1</t>
  </si>
  <si>
    <t>E270066</t>
  </si>
  <si>
    <t>Phan Trần Mỹ Trân</t>
  </si>
  <si>
    <t>tranptm</t>
  </si>
  <si>
    <t>E010179</t>
  </si>
  <si>
    <t>Dương Ngọc Lệ</t>
  </si>
  <si>
    <t>ledn</t>
  </si>
  <si>
    <t>E010217</t>
  </si>
  <si>
    <t>Tôn Nữ Cẩm Minh</t>
  </si>
  <si>
    <t>minhtnc</t>
  </si>
  <si>
    <t>E010352</t>
  </si>
  <si>
    <t>Trần Văn Thôm</t>
  </si>
  <si>
    <t>thomtv</t>
  </si>
  <si>
    <t>E010609</t>
  </si>
  <si>
    <t>Lữ Thị Thanh Loan</t>
  </si>
  <si>
    <t>loanltt</t>
  </si>
  <si>
    <t>E011059</t>
  </si>
  <si>
    <t>xuannguyen</t>
  </si>
  <si>
    <t>E013234</t>
  </si>
  <si>
    <t>Bùi Thị Mỹ Hạnh</t>
  </si>
  <si>
    <t>hanhbui</t>
  </si>
  <si>
    <t>E013312</t>
  </si>
  <si>
    <t>Lê Thị Bích Ngọc</t>
  </si>
  <si>
    <t>lengoc</t>
  </si>
  <si>
    <t>E013855</t>
  </si>
  <si>
    <t>Nguyễn Tuấn Anh Kiệt</t>
  </si>
  <si>
    <t>kietnta</t>
  </si>
  <si>
    <t>E110176</t>
  </si>
  <si>
    <t>Cầm Thị Nhung</t>
  </si>
  <si>
    <t>ctnhung</t>
  </si>
  <si>
    <t>E110063</t>
  </si>
  <si>
    <t>Trần Tiến Đạt</t>
  </si>
  <si>
    <t>dattt</t>
  </si>
  <si>
    <t>E110031</t>
  </si>
  <si>
    <t>Khúc Hải Ngọc</t>
  </si>
  <si>
    <t>ngockh</t>
  </si>
  <si>
    <t>E110083</t>
  </si>
  <si>
    <t>Trần Thị Ngọc Phượng</t>
  </si>
  <si>
    <t>phuongttn</t>
  </si>
  <si>
    <t>E110124</t>
  </si>
  <si>
    <t>nguyenngoctho</t>
  </si>
  <si>
    <t>E021602</t>
  </si>
  <si>
    <t>Nguyễn Thị Minh Phượng</t>
  </si>
  <si>
    <t>PHUONGNTM2</t>
  </si>
  <si>
    <t>E110186</t>
  </si>
  <si>
    <t>Bùi Đức Trung</t>
  </si>
  <si>
    <t>trungbd</t>
  </si>
  <si>
    <t>E110187</t>
  </si>
  <si>
    <t>Đàm Thị Hạnh</t>
  </si>
  <si>
    <t>hanhdt2</t>
  </si>
  <si>
    <t>E023392</t>
  </si>
  <si>
    <t>Nguyễn Đức Cường</t>
  </si>
  <si>
    <t>cuongnd1</t>
  </si>
  <si>
    <t>E180022</t>
  </si>
  <si>
    <t>Trương Tấn Nghĩa</t>
  </si>
  <si>
    <t>ttnghia</t>
  </si>
  <si>
    <t>E180071</t>
  </si>
  <si>
    <t>Huỳnh Tuấn Kiệt</t>
  </si>
  <si>
    <t>kietht</t>
  </si>
  <si>
    <t>E180068</t>
  </si>
  <si>
    <t>Võ Thị Huỳnh Trân</t>
  </si>
  <si>
    <t>tranvth</t>
  </si>
  <si>
    <t>E180072</t>
  </si>
  <si>
    <t>Hứa Ngọc Ẩn</t>
  </si>
  <si>
    <t>anhn</t>
  </si>
  <si>
    <t>E180073</t>
  </si>
  <si>
    <t>Lý Trấn Nguyên</t>
  </si>
  <si>
    <t>nguyenlt4</t>
  </si>
  <si>
    <t>E180047</t>
  </si>
  <si>
    <t>Trần Khoa Nho</t>
  </si>
  <si>
    <t>nhotk</t>
  </si>
  <si>
    <t>E180002</t>
  </si>
  <si>
    <t>Lương Hồng Mai</t>
  </si>
  <si>
    <t>mailh</t>
  </si>
  <si>
    <t>E180004</t>
  </si>
  <si>
    <t>Trần Tuấn Phụng</t>
  </si>
  <si>
    <t>phungtt</t>
  </si>
  <si>
    <t>E110092</t>
  </si>
  <si>
    <t>thomnt</t>
  </si>
  <si>
    <t>E110146</t>
  </si>
  <si>
    <t>Trần Hoàng Sơn</t>
  </si>
  <si>
    <t>thson</t>
  </si>
  <si>
    <t>E110147</t>
  </si>
  <si>
    <t>Đỗ Thị Ngân</t>
  </si>
  <si>
    <t>dongan</t>
  </si>
  <si>
    <t>E110163</t>
  </si>
  <si>
    <t>Đinh Tùng Anh</t>
  </si>
  <si>
    <t>anhdt1</t>
  </si>
  <si>
    <t>E110166</t>
  </si>
  <si>
    <t>Ngô Thị Anh Thư</t>
  </si>
  <si>
    <t>thunta1</t>
  </si>
  <si>
    <t>E110174</t>
  </si>
  <si>
    <t>Nguyễn Thị Thùy Linh</t>
  </si>
  <si>
    <t>linhntt5</t>
  </si>
  <si>
    <t>E110179</t>
  </si>
  <si>
    <t>Nguyễn Thị Đức</t>
  </si>
  <si>
    <t>ducnt4</t>
  </si>
  <si>
    <t>E110004</t>
  </si>
  <si>
    <t>Nguyễn Thanh Hoa</t>
  </si>
  <si>
    <t>thanhhoa</t>
  </si>
  <si>
    <t>E110021</t>
  </si>
  <si>
    <t>Nguyễn Thúy Nga</t>
  </si>
  <si>
    <t>thuynga</t>
  </si>
  <si>
    <t>E110097</t>
  </si>
  <si>
    <t>Đoàn Thùy Trang</t>
  </si>
  <si>
    <t>trangdt</t>
  </si>
  <si>
    <t>E110195</t>
  </si>
  <si>
    <t>Nghiêm Thị Thu Trang</t>
  </si>
  <si>
    <t>trangntt20</t>
  </si>
  <si>
    <t>E350067</t>
  </si>
  <si>
    <t>Nguyễn Thanh Hậu</t>
  </si>
  <si>
    <t>haunt4</t>
  </si>
  <si>
    <t>E110006</t>
  </si>
  <si>
    <t>Kim Thị Mai Hương</t>
  </si>
  <si>
    <t>huongktm</t>
  </si>
  <si>
    <t>E110016</t>
  </si>
  <si>
    <t>hattt</t>
  </si>
  <si>
    <t>E110027</t>
  </si>
  <si>
    <t>Lê Thanh Huệ</t>
  </si>
  <si>
    <t>huelt</t>
  </si>
  <si>
    <t>E110030</t>
  </si>
  <si>
    <t>Trần Mạnh Toàn</t>
  </si>
  <si>
    <t>toantm</t>
  </si>
  <si>
    <t>E014243</t>
  </si>
  <si>
    <t>Nguyễn Ngọc Cẩm</t>
  </si>
  <si>
    <t>camnn</t>
  </si>
  <si>
    <t>E010450</t>
  </si>
  <si>
    <t>Phạm Thị Minh Uyên</t>
  </si>
  <si>
    <t>uyenptm</t>
  </si>
  <si>
    <t>E013000</t>
  </si>
  <si>
    <t>Trương Thị Ngọc Diệp</t>
  </si>
  <si>
    <t>dieptruong</t>
  </si>
  <si>
    <t>E014526</t>
  </si>
  <si>
    <t>Đinh Ngọc Tân</t>
  </si>
  <si>
    <t>tandn2</t>
  </si>
  <si>
    <t>E300108</t>
  </si>
  <si>
    <t>Đỗ Thị Thu Ba</t>
  </si>
  <si>
    <t>badtt</t>
  </si>
  <si>
    <t>ABBANK Tây Ninh</t>
  </si>
  <si>
    <t>E300111</t>
  </si>
  <si>
    <t>Nguyễn Văn Sang</t>
  </si>
  <si>
    <t>sangnguyen</t>
  </si>
  <si>
    <t>E300166</t>
  </si>
  <si>
    <t>Bùi Viết Tín</t>
  </si>
  <si>
    <t>tinbv</t>
  </si>
  <si>
    <t>E300083</t>
  </si>
  <si>
    <t>Phạm Như Tuấn</t>
  </si>
  <si>
    <t>tuanpn</t>
  </si>
  <si>
    <t>E300128</t>
  </si>
  <si>
    <t>Nguyễn Vương Phương Vy</t>
  </si>
  <si>
    <t>vynvp</t>
  </si>
  <si>
    <t>E300129</t>
  </si>
  <si>
    <t>liennt1</t>
  </si>
  <si>
    <t>E300141</t>
  </si>
  <si>
    <t>Nguyễn Thị Hồng Phụng</t>
  </si>
  <si>
    <t>phungnth</t>
  </si>
  <si>
    <t>E014504</t>
  </si>
  <si>
    <t>Đào Hồng Thúy</t>
  </si>
  <si>
    <t>thuydh</t>
  </si>
  <si>
    <t>E010173</t>
  </si>
  <si>
    <t>Huỳnh Thị Thanh Lan</t>
  </si>
  <si>
    <t>lanhtt</t>
  </si>
  <si>
    <t>E014677</t>
  </si>
  <si>
    <t>Nguyễn Thị Hồng Linh</t>
  </si>
  <si>
    <t>linhnth2</t>
  </si>
  <si>
    <t>E200401</t>
  </si>
  <si>
    <t>Trần Thị Thương Thương</t>
  </si>
  <si>
    <t>thuongttt2</t>
  </si>
  <si>
    <t>E014744</t>
  </si>
  <si>
    <t>Phan Trung Thiện</t>
  </si>
  <si>
    <t>thienpt</t>
  </si>
  <si>
    <t>E014740</t>
  </si>
  <si>
    <t>Nguyễn Thế Thao</t>
  </si>
  <si>
    <t>thaont13</t>
  </si>
  <si>
    <t>E011912</t>
  </si>
  <si>
    <t>Phạm Ngọc Linh</t>
  </si>
  <si>
    <t>linhpn2</t>
  </si>
  <si>
    <t>E014593</t>
  </si>
  <si>
    <t>namnt10</t>
  </si>
  <si>
    <t>E013825</t>
  </si>
  <si>
    <t>Đinh Minh Anh</t>
  </si>
  <si>
    <t>anhdm</t>
  </si>
  <si>
    <t>E013858</t>
  </si>
  <si>
    <t>Lê Ngọc Trúc Giang</t>
  </si>
  <si>
    <t>gianglnt</t>
  </si>
  <si>
    <t>E014331</t>
  </si>
  <si>
    <t>Nguyễn Ngọc Trâm</t>
  </si>
  <si>
    <t>tramnn1</t>
  </si>
  <si>
    <t>E013070</t>
  </si>
  <si>
    <t>Phan Quốc Huy</t>
  </si>
  <si>
    <t>phanhuy</t>
  </si>
  <si>
    <t>E014497</t>
  </si>
  <si>
    <t>Phan Thành Vũ</t>
  </si>
  <si>
    <t>vupt</t>
  </si>
  <si>
    <t>E014509</t>
  </si>
  <si>
    <t>Lương Thụy Phương Uyên</t>
  </si>
  <si>
    <t>uyenltp1</t>
  </si>
  <si>
    <t>E014763</t>
  </si>
  <si>
    <t>Lê Tâm Như</t>
  </si>
  <si>
    <t>nhult</t>
  </si>
  <si>
    <t>E022264</t>
  </si>
  <si>
    <t>Lương Phú Sơn</t>
  </si>
  <si>
    <t>sonlp</t>
  </si>
  <si>
    <t>E011895</t>
  </si>
  <si>
    <t>Nguyễn Thị Thu Hằng</t>
  </si>
  <si>
    <t>hang.ntt</t>
  </si>
  <si>
    <t>E021268</t>
  </si>
  <si>
    <t>Phạm Thị Thu Thủy</t>
  </si>
  <si>
    <t>thuyptt</t>
  </si>
  <si>
    <t>E021859</t>
  </si>
  <si>
    <t>Nguyễn Tùng Sơn</t>
  </si>
  <si>
    <t>tungson</t>
  </si>
  <si>
    <t>E023178</t>
  </si>
  <si>
    <t>Trần Văn Hiếu</t>
  </si>
  <si>
    <t>hieutv2</t>
  </si>
  <si>
    <t>E023563</t>
  </si>
  <si>
    <t>Lê Hoàng Cương</t>
  </si>
  <si>
    <t>cuonglh</t>
  </si>
  <si>
    <t>E023823</t>
  </si>
  <si>
    <t>Phạm Quang Huy</t>
  </si>
  <si>
    <t>huypq1</t>
  </si>
  <si>
    <t>E023925</t>
  </si>
  <si>
    <t>truongdx1</t>
  </si>
  <si>
    <t>E023946</t>
  </si>
  <si>
    <t>Trịnh Đức Tú</t>
  </si>
  <si>
    <t>tutd2</t>
  </si>
  <si>
    <t>E024024</t>
  </si>
  <si>
    <t>Phạm Thị Thùy Dương</t>
  </si>
  <si>
    <t>duongptt4</t>
  </si>
  <si>
    <t>E024027</t>
  </si>
  <si>
    <t>Nguyễn Tô Hương Giang</t>
  </si>
  <si>
    <t>giangnth6</t>
  </si>
  <si>
    <t>E024541</t>
  </si>
  <si>
    <t>Vũ Thị Kim Anh</t>
  </si>
  <si>
    <t>anhvtk</t>
  </si>
  <si>
    <t>E350064</t>
  </si>
  <si>
    <t>Phạm Thị Hằng</t>
  </si>
  <si>
    <t>hangpt9</t>
  </si>
  <si>
    <t>E350101</t>
  </si>
  <si>
    <t>Nguyễn Ngọc Linh</t>
  </si>
  <si>
    <t>linhnn3</t>
  </si>
  <si>
    <t>E024338</t>
  </si>
  <si>
    <t>Trần Thị Kim Thúy</t>
  </si>
  <si>
    <t>thuyttk</t>
  </si>
  <si>
    <t>E024429</t>
  </si>
  <si>
    <t>Vũ Thị Phương</t>
  </si>
  <si>
    <t>phuongvt6</t>
  </si>
  <si>
    <t>E024445</t>
  </si>
  <si>
    <t>Vũ Thị Thanh</t>
  </si>
  <si>
    <t>thanhvt3</t>
  </si>
  <si>
    <t>E024598</t>
  </si>
  <si>
    <t>anhnq7</t>
  </si>
  <si>
    <t>E022132</t>
  </si>
  <si>
    <t>Đoàn Thị Cẩm Vân</t>
  </si>
  <si>
    <t>vandoan</t>
  </si>
  <si>
    <t>E022885</t>
  </si>
  <si>
    <t>Vũ Thị Hồng Quyên</t>
  </si>
  <si>
    <t>quyenvth</t>
  </si>
  <si>
    <t>E300164</t>
  </si>
  <si>
    <t>Cao Hoài Hậu</t>
  </si>
  <si>
    <t>hauch</t>
  </si>
  <si>
    <t>E300167</t>
  </si>
  <si>
    <t>Nguyễn Tấn Bình</t>
  </si>
  <si>
    <t>binhnt14</t>
  </si>
  <si>
    <t>E010042</t>
  </si>
  <si>
    <t>Huỳnh Thị Thu Cúc</t>
  </si>
  <si>
    <t>cuchtt</t>
  </si>
  <si>
    <t>E011262</t>
  </si>
  <si>
    <t>Trần Thị Xuân Mùi</t>
  </si>
  <si>
    <t>muittx</t>
  </si>
  <si>
    <t>E300005</t>
  </si>
  <si>
    <t>nvhau</t>
  </si>
  <si>
    <t>E300130</t>
  </si>
  <si>
    <t>Lê Thị Bảo Ngọc</t>
  </si>
  <si>
    <t>ltbngoc</t>
  </si>
  <si>
    <t>E350063</t>
  </si>
  <si>
    <t>anhnm10</t>
  </si>
  <si>
    <t>E350065</t>
  </si>
  <si>
    <t>Vũ Thanh Tùng</t>
  </si>
  <si>
    <t>tungvt4</t>
  </si>
  <si>
    <t>E350066</t>
  </si>
  <si>
    <t>Lê Quý Ly</t>
  </si>
  <si>
    <t>lylq</t>
  </si>
  <si>
    <t>E130160</t>
  </si>
  <si>
    <t>doan.panh</t>
  </si>
  <si>
    <t>E130165</t>
  </si>
  <si>
    <t>La Thị Thảo</t>
  </si>
  <si>
    <t>ltthao</t>
  </si>
  <si>
    <t>E130228</t>
  </si>
  <si>
    <t>anhntv13</t>
  </si>
  <si>
    <t>E130229</t>
  </si>
  <si>
    <t>huongnt32</t>
  </si>
  <si>
    <t>E130232</t>
  </si>
  <si>
    <t>ngocnt9</t>
  </si>
  <si>
    <t>E130236</t>
  </si>
  <si>
    <t>nhungtt4</t>
  </si>
  <si>
    <t>E022385</t>
  </si>
  <si>
    <t>hanguyenthi</t>
  </si>
  <si>
    <t>E023192</t>
  </si>
  <si>
    <t>haltt1</t>
  </si>
  <si>
    <t>E024201</t>
  </si>
  <si>
    <t>huyenntt16</t>
  </si>
  <si>
    <t>E021734</t>
  </si>
  <si>
    <t>Nguyễn Đăng Linh</t>
  </si>
  <si>
    <t>linhdang</t>
  </si>
  <si>
    <t>E150069</t>
  </si>
  <si>
    <t>Vũ Đức Huy</t>
  </si>
  <si>
    <t>huyvd</t>
  </si>
  <si>
    <t>E350143</t>
  </si>
  <si>
    <t>Phạm Hoàng Hà</t>
  </si>
  <si>
    <t>haph4</t>
  </si>
  <si>
    <t>ABBANK Hà Nội</t>
  </si>
  <si>
    <t>E022464</t>
  </si>
  <si>
    <t>Nguyễn Thị Hải Anh</t>
  </si>
  <si>
    <t>nth.anh</t>
  </si>
  <si>
    <t>E022701</t>
  </si>
  <si>
    <t>Nguyễn Công Thanh</t>
  </si>
  <si>
    <t>thanhnc1</t>
  </si>
  <si>
    <t>E023764</t>
  </si>
  <si>
    <t>Phạm Bách Tuấn</t>
  </si>
  <si>
    <t>tuanpb</t>
  </si>
  <si>
    <t>E023894</t>
  </si>
  <si>
    <t>Nguyễn Hương Ly</t>
  </si>
  <si>
    <t>lynh2</t>
  </si>
  <si>
    <t>E023991</t>
  </si>
  <si>
    <t>Lê Văn Mạnh</t>
  </si>
  <si>
    <t>manhlv2</t>
  </si>
  <si>
    <t>E024354</t>
  </si>
  <si>
    <t>trangntt17</t>
  </si>
  <si>
    <t>E024519</t>
  </si>
  <si>
    <t>anhntv14</t>
  </si>
  <si>
    <t>E024556</t>
  </si>
  <si>
    <t>Lê Thị Trang Hạ</t>
  </si>
  <si>
    <t>haltt3</t>
  </si>
  <si>
    <t>E024605</t>
  </si>
  <si>
    <t>Phạm Thành Sơn</t>
  </si>
  <si>
    <t>sonpt4</t>
  </si>
  <si>
    <t>E020022</t>
  </si>
  <si>
    <t>Bùi Hồng Tuyến</t>
  </si>
  <si>
    <t>tuyenbh</t>
  </si>
  <si>
    <t>E020032</t>
  </si>
  <si>
    <t>Lê Văn Dũng</t>
  </si>
  <si>
    <t>dunglv</t>
  </si>
  <si>
    <t>E021034</t>
  </si>
  <si>
    <t>Lê Văn Chung</t>
  </si>
  <si>
    <t>chunglv</t>
  </si>
  <si>
    <t>E021995</t>
  </si>
  <si>
    <t>Phạm Văn Chiến</t>
  </si>
  <si>
    <t>chienpv</t>
  </si>
  <si>
    <t>E022660</t>
  </si>
  <si>
    <t>Trần Văn Tài</t>
  </si>
  <si>
    <t>taitv</t>
  </si>
  <si>
    <t>E023620</t>
  </si>
  <si>
    <t>Phí Tất Thắng</t>
  </si>
  <si>
    <t>thangpt1</t>
  </si>
  <si>
    <t>E160155</t>
  </si>
  <si>
    <t>Trần Huỳnh Như Ý</t>
  </si>
  <si>
    <t>ythn</t>
  </si>
  <si>
    <t>E160154</t>
  </si>
  <si>
    <t>Trần Minh Hậu</t>
  </si>
  <si>
    <t>hautm</t>
  </si>
  <si>
    <t>E160165</t>
  </si>
  <si>
    <t>Nguyễn Văn Hưng</t>
  </si>
  <si>
    <t>hungnv13</t>
  </si>
  <si>
    <t>E160041</t>
  </si>
  <si>
    <t>Lưu Xuân Quyên</t>
  </si>
  <si>
    <t>quyenlx</t>
  </si>
  <si>
    <t>E160066</t>
  </si>
  <si>
    <t>Phạm Tấn Đạt</t>
  </si>
  <si>
    <t>dattan</t>
  </si>
  <si>
    <t>E160126</t>
  </si>
  <si>
    <t>Võ Đăng Khoa</t>
  </si>
  <si>
    <t>khoavd</t>
  </si>
  <si>
    <t>E160133</t>
  </si>
  <si>
    <t>Ngô Phương Thảo</t>
  </si>
  <si>
    <t>thaonp4</t>
  </si>
  <si>
    <t>E160158</t>
  </si>
  <si>
    <t>Nguyễn Anh Duy</t>
  </si>
  <si>
    <t>duyna3</t>
  </si>
  <si>
    <t>E014824</t>
  </si>
  <si>
    <t>Mai Lê Ngọc Trâm</t>
  </si>
  <si>
    <t>trammln</t>
  </si>
  <si>
    <t>E014648</t>
  </si>
  <si>
    <t>Trần Huỳnh Như</t>
  </si>
  <si>
    <t>nhuth</t>
  </si>
  <si>
    <t>E014754</t>
  </si>
  <si>
    <t>Nguyễn Hà Giang</t>
  </si>
  <si>
    <t>giangnh7</t>
  </si>
  <si>
    <t>E014812</t>
  </si>
  <si>
    <t>Nguyễn Tấn Đạt</t>
  </si>
  <si>
    <t>datnt16</t>
  </si>
  <si>
    <t>E014813</t>
  </si>
  <si>
    <t>Lê Đức Trí</t>
  </si>
  <si>
    <t>trild1</t>
  </si>
  <si>
    <t>E200402</t>
  </si>
  <si>
    <t>Nguyễn Thái Thịnh</t>
  </si>
  <si>
    <t>thinhnt3</t>
  </si>
  <si>
    <t>E020174</t>
  </si>
  <si>
    <t>Đinh Thanh Hương</t>
  </si>
  <si>
    <t>huongdt</t>
  </si>
  <si>
    <t>E021969</t>
  </si>
  <si>
    <t>Ngô Thị Hải Yến</t>
  </si>
  <si>
    <t>yenngo</t>
  </si>
  <si>
    <t>E024435</t>
  </si>
  <si>
    <t>Nguyễn Thị Ngọc Bích</t>
  </si>
  <si>
    <t>bichntn6</t>
  </si>
  <si>
    <t>E023077</t>
  </si>
  <si>
    <t>Lương Ngọc Thanh</t>
  </si>
  <si>
    <t>thanhln1</t>
  </si>
  <si>
    <t>E023304</t>
  </si>
  <si>
    <t>Đàm Thị Hồng Nhung</t>
  </si>
  <si>
    <t>nhungdth1</t>
  </si>
  <si>
    <t>E024623</t>
  </si>
  <si>
    <t>Bùi Thị Hạnh</t>
  </si>
  <si>
    <t>hanhbt</t>
  </si>
  <si>
    <t>E024663</t>
  </si>
  <si>
    <t>Nguyễn Bích Ngọc</t>
  </si>
  <si>
    <t>ngocnb2</t>
  </si>
  <si>
    <t>E050444</t>
  </si>
  <si>
    <t>Trần Văn Thuận</t>
  </si>
  <si>
    <t>thuantv</t>
  </si>
  <si>
    <t>E050445</t>
  </si>
  <si>
    <t>Nguyễn Thị Mỹ Duyên</t>
  </si>
  <si>
    <t>duyenntm9</t>
  </si>
  <si>
    <t>E350202</t>
  </si>
  <si>
    <t>Phạm Văn Bình</t>
  </si>
  <si>
    <t>binhpv4</t>
  </si>
  <si>
    <t>E050177</t>
  </si>
  <si>
    <t>Trần Khắc Bình</t>
  </si>
  <si>
    <t>binhtk</t>
  </si>
  <si>
    <t>E050201</t>
  </si>
  <si>
    <t>Nguyễn Thị Cẩm Tiên</t>
  </si>
  <si>
    <t>tienntc</t>
  </si>
  <si>
    <t>E022707</t>
  </si>
  <si>
    <t>Nguyễn Thị Huyền Ngọc</t>
  </si>
  <si>
    <t>ngocnth1</t>
  </si>
  <si>
    <t>E050260</t>
  </si>
  <si>
    <t>Bùi Thị Ngọc Hân</t>
  </si>
  <si>
    <t>hanbtn</t>
  </si>
  <si>
    <t>E050330</t>
  </si>
  <si>
    <t>Huỳnh Thanh Xuân</t>
  </si>
  <si>
    <t>xuanht1</t>
  </si>
  <si>
    <t>E050408</t>
  </si>
  <si>
    <t>Trần Thị Cẩm Như</t>
  </si>
  <si>
    <t>nhuttc</t>
  </si>
  <si>
    <t>E011196</t>
  </si>
  <si>
    <t>Nguyễn Minh Nghiệp</t>
  </si>
  <si>
    <t>nghiepnm</t>
  </si>
  <si>
    <t>E012760</t>
  </si>
  <si>
    <t>Vũ Thị Hảo</t>
  </si>
  <si>
    <t>haovt</t>
  </si>
  <si>
    <t>E050066</t>
  </si>
  <si>
    <t>Huỳnh Thanh Vân</t>
  </si>
  <si>
    <t>vanht</t>
  </si>
  <si>
    <t>E050117</t>
  </si>
  <si>
    <t>Huỳnh Đào Thanh Trúc</t>
  </si>
  <si>
    <t>truchuynh</t>
  </si>
  <si>
    <t>E050122</t>
  </si>
  <si>
    <t>Hồ Thị Ngọc Tuyền</t>
  </si>
  <si>
    <t>tuyenhtn</t>
  </si>
  <si>
    <t>E050223</t>
  </si>
  <si>
    <t>Lê Văn Quang</t>
  </si>
  <si>
    <t>vanquang</t>
  </si>
  <si>
    <t>E050255</t>
  </si>
  <si>
    <t>Nguyễn Thị Hồng Thúy</t>
  </si>
  <si>
    <t>nththuy</t>
  </si>
  <si>
    <t>E050308</t>
  </si>
  <si>
    <t>Ngô Khánh Duy</t>
  </si>
  <si>
    <t>duyngo</t>
  </si>
  <si>
    <t>E022782</t>
  </si>
  <si>
    <t>thaonp16</t>
  </si>
  <si>
    <t>E320021</t>
  </si>
  <si>
    <t>Nguyễn Thanh Huy</t>
  </si>
  <si>
    <t>nguyenthanhhuy</t>
  </si>
  <si>
    <t>E320039</t>
  </si>
  <si>
    <t>Lâm Thị Nhan</t>
  </si>
  <si>
    <t>nhanlt2</t>
  </si>
  <si>
    <t>E320045</t>
  </si>
  <si>
    <t>Đỗ Đức Hiệp</t>
  </si>
  <si>
    <t>HIEPDD1</t>
  </si>
  <si>
    <t>E320046</t>
  </si>
  <si>
    <t>Mai Xuân Tùng</t>
  </si>
  <si>
    <t>tungmx</t>
  </si>
  <si>
    <t>E320048</t>
  </si>
  <si>
    <t>Nguyễn Phương Liên</t>
  </si>
  <si>
    <t>liennp1</t>
  </si>
  <si>
    <t>E320005</t>
  </si>
  <si>
    <t>Đặng Thị Út Linh</t>
  </si>
  <si>
    <t>linhdtu</t>
  </si>
  <si>
    <t>E320037</t>
  </si>
  <si>
    <t>Trương Thị Thanh</t>
  </si>
  <si>
    <t>thanhtt2</t>
  </si>
  <si>
    <t>E320041</t>
  </si>
  <si>
    <t>Trần Thu Phương</t>
  </si>
  <si>
    <t>phuongtt3</t>
  </si>
  <si>
    <t>E320043</t>
  </si>
  <si>
    <t>Vũ Hải Yến</t>
  </si>
  <si>
    <t>YENVH3</t>
  </si>
  <si>
    <t>E320011</t>
  </si>
  <si>
    <t>Đào Mai Anh</t>
  </si>
  <si>
    <t>daoanh</t>
  </si>
  <si>
    <t>E320013</t>
  </si>
  <si>
    <t>thanhhang</t>
  </si>
  <si>
    <t>E320014</t>
  </si>
  <si>
    <t>Lê Thủy Tiên</t>
  </si>
  <si>
    <t>lttien</t>
  </si>
  <si>
    <t>E320034</t>
  </si>
  <si>
    <t>Lương Thành Nam</t>
  </si>
  <si>
    <t>namlt1</t>
  </si>
  <si>
    <t>E320036</t>
  </si>
  <si>
    <t>Trần Thị Thảo</t>
  </si>
  <si>
    <t>thaott2</t>
  </si>
  <si>
    <t>E320049</t>
  </si>
  <si>
    <t>huyenntt17</t>
  </si>
  <si>
    <t>E250126</t>
  </si>
  <si>
    <t>Đặng Ngọc Phương Trinh</t>
  </si>
  <si>
    <t>trinhdnp</t>
  </si>
  <si>
    <t>E250014</t>
  </si>
  <si>
    <t>Nguyễn Phi Hùng</t>
  </si>
  <si>
    <t>nphung</t>
  </si>
  <si>
    <t>E050133</t>
  </si>
  <si>
    <t>Cao Văn Hải</t>
  </si>
  <si>
    <t>haicv</t>
  </si>
  <si>
    <t>E250013</t>
  </si>
  <si>
    <t>Nguyễn Hữu Nhân</t>
  </si>
  <si>
    <t>nhannh</t>
  </si>
  <si>
    <t>E250067</t>
  </si>
  <si>
    <t>Vũ Quốc Bảo</t>
  </si>
  <si>
    <t>baovq</t>
  </si>
  <si>
    <t>E050003</t>
  </si>
  <si>
    <t>Hà Thúc Ánh</t>
  </si>
  <si>
    <t>anhha</t>
  </si>
  <si>
    <t>E250011</t>
  </si>
  <si>
    <t>Dương Thị Minh Xuyên</t>
  </si>
  <si>
    <t>xuyendtm</t>
  </si>
  <si>
    <t>E250027</t>
  </si>
  <si>
    <t>Mai Hữu Ngọc</t>
  </si>
  <si>
    <t>ngocmh</t>
  </si>
  <si>
    <t>E250053</t>
  </si>
  <si>
    <t>Nguyễn Đình Diệm</t>
  </si>
  <si>
    <t>diemnd</t>
  </si>
  <si>
    <t>E250060</t>
  </si>
  <si>
    <t>Hoàng Minh Chương</t>
  </si>
  <si>
    <t>chuonghm</t>
  </si>
  <si>
    <t>E250122</t>
  </si>
  <si>
    <t>Hoàng Thị Thu Yến</t>
  </si>
  <si>
    <t>yenhtt</t>
  </si>
  <si>
    <t>E250128</t>
  </si>
  <si>
    <t>ducnv8</t>
  </si>
  <si>
    <t>E250135</t>
  </si>
  <si>
    <t>Trần Thị Tú Thi</t>
  </si>
  <si>
    <t>thittt</t>
  </si>
  <si>
    <t>E350114</t>
  </si>
  <si>
    <t>Nguyễn Thị Trúc Ly</t>
  </si>
  <si>
    <t>lyntt3</t>
  </si>
  <si>
    <t>E350139</t>
  </si>
  <si>
    <t>Nguyễn Vũ Quang Minh</t>
  </si>
  <si>
    <t>minhnvq</t>
  </si>
  <si>
    <t>E250031</t>
  </si>
  <si>
    <t>Ninh Thanh Phong</t>
  </si>
  <si>
    <t>ntphong</t>
  </si>
  <si>
    <t>E022375</t>
  </si>
  <si>
    <t>Đỗ Thị Thanh Nga</t>
  </si>
  <si>
    <t>dttnga</t>
  </si>
  <si>
    <t>E023673</t>
  </si>
  <si>
    <t>Ngô Thị Thúy Ngân</t>
  </si>
  <si>
    <t>nganntt3</t>
  </si>
  <si>
    <t>E023683</t>
  </si>
  <si>
    <t>Đặng Thị Huyền Trang</t>
  </si>
  <si>
    <t>trangdth1</t>
  </si>
  <si>
    <t>E023711</t>
  </si>
  <si>
    <t>Trần Thị Thắm</t>
  </si>
  <si>
    <t>thamtt</t>
  </si>
  <si>
    <t>E024406</t>
  </si>
  <si>
    <t>Hoàng Phương Thảo</t>
  </si>
  <si>
    <t>thaohp4</t>
  </si>
  <si>
    <t>E024407</t>
  </si>
  <si>
    <t>Tạ Thị Chinh</t>
  </si>
  <si>
    <t>chinhtt</t>
  </si>
  <si>
    <t>E120209</t>
  </si>
  <si>
    <t>Nguyễn Quang Huy</t>
  </si>
  <si>
    <t>huynq3</t>
  </si>
  <si>
    <t>E120008</t>
  </si>
  <si>
    <t>Lê Anh Tuấn</t>
  </si>
  <si>
    <t>tuanle</t>
  </si>
  <si>
    <t>E120043</t>
  </si>
  <si>
    <t>Võ Đức Thảo</t>
  </si>
  <si>
    <t>thaovd</t>
  </si>
  <si>
    <t>E014510</t>
  </si>
  <si>
    <t>Mai Tấn Khương</t>
  </si>
  <si>
    <t>khuongmt</t>
  </si>
  <si>
    <t>E011723</t>
  </si>
  <si>
    <t>Nguyễn Thị Như Thùy</t>
  </si>
  <si>
    <t>nhuthuy</t>
  </si>
  <si>
    <t>E013799</t>
  </si>
  <si>
    <t>Nguyễn Thị Huỳnh Quy</t>
  </si>
  <si>
    <t>quynth</t>
  </si>
  <si>
    <t>E014396</t>
  </si>
  <si>
    <t>Hồ Thị Hoài Phương</t>
  </si>
  <si>
    <t>phuonghth</t>
  </si>
  <si>
    <t>E350174</t>
  </si>
  <si>
    <t>Nguyễn Đức Tuấn</t>
  </si>
  <si>
    <t>TUANND6</t>
  </si>
  <si>
    <t>E023895</t>
  </si>
  <si>
    <t>Phạm Hồng Nhung</t>
  </si>
  <si>
    <t>nhungph1</t>
  </si>
  <si>
    <t>E024092</t>
  </si>
  <si>
    <t>Khuông Hoàng Thanh</t>
  </si>
  <si>
    <t>thanhkh</t>
  </si>
  <si>
    <t>E350094</t>
  </si>
  <si>
    <t>Nguyễn Văn Ninh</t>
  </si>
  <si>
    <t>ninhnv2</t>
  </si>
  <si>
    <t>E350095</t>
  </si>
  <si>
    <t>hieulx1</t>
  </si>
  <si>
    <t>E020068</t>
  </si>
  <si>
    <t>ngocdtb</t>
  </si>
  <si>
    <t>E020101</t>
  </si>
  <si>
    <t>Đào Thị Minh Thu</t>
  </si>
  <si>
    <t>thudao</t>
  </si>
  <si>
    <t>E020137</t>
  </si>
  <si>
    <t>Mai Văn Trịnh</t>
  </si>
  <si>
    <t>trinhmv</t>
  </si>
  <si>
    <t>E020249</t>
  </si>
  <si>
    <t>Vương Thị Hồng Nhung</t>
  </si>
  <si>
    <t>nhungvuong</t>
  </si>
  <si>
    <t>E020471</t>
  </si>
  <si>
    <t>Dương Thị Thu Hằng</t>
  </si>
  <si>
    <t>hangduong</t>
  </si>
  <si>
    <t>E020613</t>
  </si>
  <si>
    <t>ntlien</t>
  </si>
  <si>
    <t>E022092</t>
  </si>
  <si>
    <t>trannga</t>
  </si>
  <si>
    <t>E022145</t>
  </si>
  <si>
    <t>Trần Thị Phương Thanh</t>
  </si>
  <si>
    <t>thanhttp</t>
  </si>
  <si>
    <t>E022943</t>
  </si>
  <si>
    <t>Nguyễn Thị Lương</t>
  </si>
  <si>
    <t>luongnt1</t>
  </si>
  <si>
    <t>E024540</t>
  </si>
  <si>
    <t>Tạ Khánh Linh</t>
  </si>
  <si>
    <t>linhtk5</t>
  </si>
  <si>
    <t>E020914</t>
  </si>
  <si>
    <t>Mai Minh Nguyện</t>
  </si>
  <si>
    <t>nguyenmm1</t>
  </si>
  <si>
    <t>E024639</t>
  </si>
  <si>
    <t>Cao Thu Thảo</t>
  </si>
  <si>
    <t>thaoct2</t>
  </si>
  <si>
    <t>E030322</t>
  </si>
  <si>
    <t>Đặng Hồng Nga</t>
  </si>
  <si>
    <t>ngadh</t>
  </si>
  <si>
    <t>E030303</t>
  </si>
  <si>
    <t>Lê Thị Huyền Trang</t>
  </si>
  <si>
    <t>tranglth1</t>
  </si>
  <si>
    <t>E030341</t>
  </si>
  <si>
    <t>Nguyễn Kiều Tuyết Nhi</t>
  </si>
  <si>
    <t>nhinkt</t>
  </si>
  <si>
    <t>E180011</t>
  </si>
  <si>
    <t>Mai Thị Tâm</t>
  </si>
  <si>
    <t>tammt</t>
  </si>
  <si>
    <t>E030327</t>
  </si>
  <si>
    <t>Trần Anh Thư</t>
  </si>
  <si>
    <t>thuta2</t>
  </si>
  <si>
    <t>E030338</t>
  </si>
  <si>
    <t>Lâm Thị Ngọc Hân</t>
  </si>
  <si>
    <t>hanltn2</t>
  </si>
  <si>
    <t>E030342</t>
  </si>
  <si>
    <t>Lý Phát Đạt</t>
  </si>
  <si>
    <t>datlp1</t>
  </si>
  <si>
    <t>E030297</t>
  </si>
  <si>
    <t>Lâm Thành Đương</t>
  </si>
  <si>
    <t>duonglt1</t>
  </si>
  <si>
    <t>E030050</t>
  </si>
  <si>
    <t>Lưu Ánh Ngọc</t>
  </si>
  <si>
    <t>ngocla</t>
  </si>
  <si>
    <t>E030299</t>
  </si>
  <si>
    <t>huyennt4</t>
  </si>
  <si>
    <t>E030313</t>
  </si>
  <si>
    <t>nganntk2</t>
  </si>
  <si>
    <t>E030256</t>
  </si>
  <si>
    <t>Trịnh Thị Bạch Ngọc</t>
  </si>
  <si>
    <t>ngoctrinh</t>
  </si>
  <si>
    <t>E030304</t>
  </si>
  <si>
    <t>Nguyễn Chí Hiền</t>
  </si>
  <si>
    <t>hiennc</t>
  </si>
  <si>
    <t>E030308</t>
  </si>
  <si>
    <t>Lê Phước Tài</t>
  </si>
  <si>
    <t>tailp</t>
  </si>
  <si>
    <t>E100069</t>
  </si>
  <si>
    <t>Lê Đức Sơn</t>
  </si>
  <si>
    <t>sonld</t>
  </si>
  <si>
    <t>E100182</t>
  </si>
  <si>
    <t>yenvh</t>
  </si>
  <si>
    <t>E100183</t>
  </si>
  <si>
    <t>Vũ Thùy Dương</t>
  </si>
  <si>
    <t>duongvt</t>
  </si>
  <si>
    <t>E100216</t>
  </si>
  <si>
    <t>maintt1</t>
  </si>
  <si>
    <t>E023913</t>
  </si>
  <si>
    <t>Phạm Phương Hạnh</t>
  </si>
  <si>
    <t>hanhpp</t>
  </si>
  <si>
    <t>E260006</t>
  </si>
  <si>
    <t>Đặng Thị Thủy Ngân</t>
  </si>
  <si>
    <t>ngandtt</t>
  </si>
  <si>
    <t>E260070</t>
  </si>
  <si>
    <t>Hồ Vũ Thùy Trang</t>
  </si>
  <si>
    <t>tranghvt</t>
  </si>
  <si>
    <t>E260080</t>
  </si>
  <si>
    <t>ngoctb2</t>
  </si>
  <si>
    <t>E260091</t>
  </si>
  <si>
    <t>Lăng Cẩm Tú</t>
  </si>
  <si>
    <t>tulc</t>
  </si>
  <si>
    <t>E260094</t>
  </si>
  <si>
    <t>Võ Nguyễn Ái Xuân</t>
  </si>
  <si>
    <t>xuanvna</t>
  </si>
  <si>
    <t>E022652</t>
  </si>
  <si>
    <t>Nguyễn Minh Hằng</t>
  </si>
  <si>
    <t>nguyenminhhang</t>
  </si>
  <si>
    <t>E023904</t>
  </si>
  <si>
    <t>Hoàng Kim Dung</t>
  </si>
  <si>
    <t>dunghk1</t>
  </si>
  <si>
    <t>E021678</t>
  </si>
  <si>
    <t>Nguyễn Nam Hải</t>
  </si>
  <si>
    <t>nnhai</t>
  </si>
  <si>
    <t>E020987</t>
  </si>
  <si>
    <t>Nguyễn Thị Thoa</t>
  </si>
  <si>
    <t>thoa.nt</t>
  </si>
  <si>
    <t>E021169</t>
  </si>
  <si>
    <t>Trần Thị Thúy</t>
  </si>
  <si>
    <t>thuytt</t>
  </si>
  <si>
    <t>E021183</t>
  </si>
  <si>
    <t>nguyenthimaianh</t>
  </si>
  <si>
    <t>E022957</t>
  </si>
  <si>
    <t>Trần Thị Dịu</t>
  </si>
  <si>
    <t>diutt</t>
  </si>
  <si>
    <t>E023254</t>
  </si>
  <si>
    <t>thuynt4</t>
  </si>
  <si>
    <t>E024136</t>
  </si>
  <si>
    <t>Đỗ Khánh Huyền</t>
  </si>
  <si>
    <t>huyendk</t>
  </si>
  <si>
    <t>E030296</t>
  </si>
  <si>
    <t>Nguyễn Hoàng Thảo</t>
  </si>
  <si>
    <t>thaonh</t>
  </si>
  <si>
    <t>E030160</t>
  </si>
  <si>
    <t>Nguyễn Thị Thuý Anh</t>
  </si>
  <si>
    <t>anhntt</t>
  </si>
  <si>
    <t>E030270</t>
  </si>
  <si>
    <t>Nguyễn Thị Xuân Thảo</t>
  </si>
  <si>
    <t>thaontx</t>
  </si>
  <si>
    <t>E014610</t>
  </si>
  <si>
    <t>Lương Thị Bích Trâm</t>
  </si>
  <si>
    <t>tramltb1</t>
  </si>
  <si>
    <t>E200089</t>
  </si>
  <si>
    <t>Trần Thị Minh Phương</t>
  </si>
  <si>
    <t>minhphuongtt</t>
  </si>
  <si>
    <t>E200314</t>
  </si>
  <si>
    <t>Nguyễn Hàm Uyên</t>
  </si>
  <si>
    <t>uyennh</t>
  </si>
  <si>
    <t>E014670</t>
  </si>
  <si>
    <t>Nguyễn Đình Tôn</t>
  </si>
  <si>
    <t>tonnd1</t>
  </si>
  <si>
    <t>E014770</t>
  </si>
  <si>
    <t>phuongntk6</t>
  </si>
  <si>
    <t>E014771</t>
  </si>
  <si>
    <t>Trần Thị Quỳnh</t>
  </si>
  <si>
    <t>quynhtt3</t>
  </si>
  <si>
    <t>E014842</t>
  </si>
  <si>
    <t>Vũ Hoàng Cảnh</t>
  </si>
  <si>
    <t>canhvh</t>
  </si>
  <si>
    <t>E050450</t>
  </si>
  <si>
    <t>nhungnth12</t>
  </si>
  <si>
    <t>E050059</t>
  </si>
  <si>
    <t>Đặng Linh Ngọc Nhung</t>
  </si>
  <si>
    <t>nhungdln</t>
  </si>
  <si>
    <t>E050136</t>
  </si>
  <si>
    <t>Ngô Thị Cẩm Thu</t>
  </si>
  <si>
    <t>thuntc</t>
  </si>
  <si>
    <t>E050442</t>
  </si>
  <si>
    <t>Lê Nhất Khoa</t>
  </si>
  <si>
    <t>khoaln1</t>
  </si>
  <si>
    <t>E050446</t>
  </si>
  <si>
    <t>Huỳnh Ngọc Vân</t>
  </si>
  <si>
    <t>vanhn</t>
  </si>
  <si>
    <t>E050452</t>
  </si>
  <si>
    <t>Ngô Văn Tú</t>
  </si>
  <si>
    <t>tunv2</t>
  </si>
  <si>
    <t>E060109</t>
  </si>
  <si>
    <t>nguyenthang</t>
  </si>
  <si>
    <t>E060238</t>
  </si>
  <si>
    <t>Trần Thị Lan Hạnh</t>
  </si>
  <si>
    <t>hanhttl</t>
  </si>
  <si>
    <t>E060047</t>
  </si>
  <si>
    <t>Ngô Thị Hiền</t>
  </si>
  <si>
    <t>hienngo</t>
  </si>
  <si>
    <t>E060062</t>
  </si>
  <si>
    <t>Nguyễn Văn Thành</t>
  </si>
  <si>
    <t>thanhnguyen</t>
  </si>
  <si>
    <t>E060125</t>
  </si>
  <si>
    <t>linhpn</t>
  </si>
  <si>
    <t>E060164</t>
  </si>
  <si>
    <t>Trịnh Thị Thanh Loan</t>
  </si>
  <si>
    <t>loanttt</t>
  </si>
  <si>
    <t>E060197</t>
  </si>
  <si>
    <t>Nguyễn Thị Thanh Vân</t>
  </si>
  <si>
    <t>vanntt1</t>
  </si>
  <si>
    <t>E060198</t>
  </si>
  <si>
    <t>giangnt1</t>
  </si>
  <si>
    <t>E060239</t>
  </si>
  <si>
    <t>Lê Quốc Bình</t>
  </si>
  <si>
    <t>binhlq</t>
  </si>
  <si>
    <t>E060248</t>
  </si>
  <si>
    <t>Hoàng Bảo Tú Uyên</t>
  </si>
  <si>
    <t>uyenhbt</t>
  </si>
  <si>
    <t>E060252</t>
  </si>
  <si>
    <t>Lê Thảo Nguyên</t>
  </si>
  <si>
    <t>nguyenlt5</t>
  </si>
  <si>
    <t>E060014</t>
  </si>
  <si>
    <t>Đỗ Lan Phương</t>
  </si>
  <si>
    <t>phuongdl</t>
  </si>
  <si>
    <t>E060065</t>
  </si>
  <si>
    <t>nhanbtt</t>
  </si>
  <si>
    <t>E060110</t>
  </si>
  <si>
    <t>Trần Văn Dũng</t>
  </si>
  <si>
    <t>dungtran</t>
  </si>
  <si>
    <t>E060149</t>
  </si>
  <si>
    <t>quynhnguyen</t>
  </si>
  <si>
    <t>E030330</t>
  </si>
  <si>
    <t>Huỳnh Hồng Sang</t>
  </si>
  <si>
    <t>sanghh</t>
  </si>
  <si>
    <t>E030331</t>
  </si>
  <si>
    <t>Trần Thanh Long</t>
  </si>
  <si>
    <t>longtt4</t>
  </si>
  <si>
    <t>E030332</t>
  </si>
  <si>
    <t>Lê Minh Khuê</t>
  </si>
  <si>
    <t>khuelm</t>
  </si>
  <si>
    <t>E030333</t>
  </si>
  <si>
    <t>Trần Ngọc Khoen</t>
  </si>
  <si>
    <t>khoentn</t>
  </si>
  <si>
    <t>E014503</t>
  </si>
  <si>
    <t>Nguyễn Anh Vũ</t>
  </si>
  <si>
    <t>vuna1</t>
  </si>
  <si>
    <t>E030334</t>
  </si>
  <si>
    <t>Nguyễn Thị Bảo Yến</t>
  </si>
  <si>
    <t>yenntb</t>
  </si>
  <si>
    <t>E030001</t>
  </si>
  <si>
    <t>Trần Nhân Ái</t>
  </si>
  <si>
    <t>aitn</t>
  </si>
  <si>
    <t>E030004</t>
  </si>
  <si>
    <t>Ngô Văn Bé Bảy</t>
  </si>
  <si>
    <t>baynvb</t>
  </si>
  <si>
    <t>E030062</t>
  </si>
  <si>
    <t>Mohammada Bdul Saly</t>
  </si>
  <si>
    <t>MohamadSaly</t>
  </si>
  <si>
    <t>E030072</t>
  </si>
  <si>
    <t>Mã Lê Thịnh</t>
  </si>
  <si>
    <t>thinhml</t>
  </si>
  <si>
    <t>E030166</t>
  </si>
  <si>
    <t>Cao Hoàng Thi</t>
  </si>
  <si>
    <t>thicao</t>
  </si>
  <si>
    <t>E030220</t>
  </si>
  <si>
    <t>Cao Văn Khoa</t>
  </si>
  <si>
    <t>khoacv</t>
  </si>
  <si>
    <t>E030014</t>
  </si>
  <si>
    <t>Trần Văn Du</t>
  </si>
  <si>
    <t>dutv</t>
  </si>
  <si>
    <t>E030064</t>
  </si>
  <si>
    <t>Trần Thị Tâm</t>
  </si>
  <si>
    <t>tamtt</t>
  </si>
  <si>
    <t>E030071</t>
  </si>
  <si>
    <t>Tiền Minh Thi</t>
  </si>
  <si>
    <t>thitm</t>
  </si>
  <si>
    <t>E030086</t>
  </si>
  <si>
    <t>Ngô Văn Út</t>
  </si>
  <si>
    <t>utnv</t>
  </si>
  <si>
    <t>E300144</t>
  </si>
  <si>
    <t>Cao Thùy Linh</t>
  </si>
  <si>
    <t>linhct</t>
  </si>
  <si>
    <t>E300148</t>
  </si>
  <si>
    <t>Nguyễn Lưu Hồng Uyên</t>
  </si>
  <si>
    <t>uyennlh</t>
  </si>
  <si>
    <t>E300156</t>
  </si>
  <si>
    <t>Lê Thị Hà Trăm</t>
  </si>
  <si>
    <t>tramlth</t>
  </si>
  <si>
    <t>E300157</t>
  </si>
  <si>
    <t>Trần Thị Ngọc Nhung</t>
  </si>
  <si>
    <t>nhungttn</t>
  </si>
  <si>
    <t>E300163</t>
  </si>
  <si>
    <t>Vũ Hà Lan</t>
  </si>
  <si>
    <t>lanvh</t>
  </si>
  <si>
    <t>E300165</t>
  </si>
  <si>
    <t>Ngô Thị Kim Thoa</t>
  </si>
  <si>
    <t>thoantk5</t>
  </si>
  <si>
    <t>E300169</t>
  </si>
  <si>
    <t>Nguyễn Ngọc Yến Nhi</t>
  </si>
  <si>
    <t>nhinny1</t>
  </si>
  <si>
    <t>E012628</t>
  </si>
  <si>
    <t>thithao</t>
  </si>
  <si>
    <t>E014219</t>
  </si>
  <si>
    <t>Trần Thảo Nguyên</t>
  </si>
  <si>
    <t>nguyentt</t>
  </si>
  <si>
    <t>E014782</t>
  </si>
  <si>
    <t>Lê Thị Thanh Quyền</t>
  </si>
  <si>
    <t>quyenltt1</t>
  </si>
  <si>
    <t>E014544</t>
  </si>
  <si>
    <t>Phan Việt Thư</t>
  </si>
  <si>
    <t>thupv</t>
  </si>
  <si>
    <t>E120101</t>
  </si>
  <si>
    <t>Nguyễn Thị Kim Nga</t>
  </si>
  <si>
    <t>kimnga</t>
  </si>
  <si>
    <t>ABBANK Thái Bình</t>
  </si>
  <si>
    <t>E330018</t>
  </si>
  <si>
    <t>Lưu Thị Huyền Trang</t>
  </si>
  <si>
    <t>trangluu</t>
  </si>
  <si>
    <t>E330019</t>
  </si>
  <si>
    <t>Trương Thị Huyền Trang</t>
  </si>
  <si>
    <t>trangtruong</t>
  </si>
  <si>
    <t>E330037</t>
  </si>
  <si>
    <t>Phạm Thị Liên</t>
  </si>
  <si>
    <t>lienpt</t>
  </si>
  <si>
    <t>E330045</t>
  </si>
  <si>
    <t>Phạm Tuyết Chinh</t>
  </si>
  <si>
    <t>chinhpt</t>
  </si>
  <si>
    <t>E330050</t>
  </si>
  <si>
    <t>Nguyễn Thị Nhâm</t>
  </si>
  <si>
    <t>nhamnt1</t>
  </si>
  <si>
    <t>E330055</t>
  </si>
  <si>
    <t>Trần Thu Hường</t>
  </si>
  <si>
    <t>huongtt5</t>
  </si>
  <si>
    <t>E330056</t>
  </si>
  <si>
    <t>Nguyễn Tô Hiệu</t>
  </si>
  <si>
    <t>hieunt2</t>
  </si>
  <si>
    <t>E330058</t>
  </si>
  <si>
    <t>Nguyễn Phương Mai</t>
  </si>
  <si>
    <t>mainp</t>
  </si>
  <si>
    <t>E190191</t>
  </si>
  <si>
    <t>Phạm Đăng Kiệm</t>
  </si>
  <si>
    <t>kiempd</t>
  </si>
  <si>
    <t>E020207</t>
  </si>
  <si>
    <t>Bùi Anh Tuấn</t>
  </si>
  <si>
    <t>tuanba</t>
  </si>
  <si>
    <t>E190004</t>
  </si>
  <si>
    <t>Phạm Bá Hoàng</t>
  </si>
  <si>
    <t>hoangpb</t>
  </si>
  <si>
    <t>E190019</t>
  </si>
  <si>
    <t>pthuyen</t>
  </si>
  <si>
    <t>E190055</t>
  </si>
  <si>
    <t>lanthi</t>
  </si>
  <si>
    <t>E190059</t>
  </si>
  <si>
    <t>Phạm Thị Hà</t>
  </si>
  <si>
    <t>haphamthi</t>
  </si>
  <si>
    <t>E190085</t>
  </si>
  <si>
    <t>Nguyễn Như Quỳnh</t>
  </si>
  <si>
    <t>quynhnn</t>
  </si>
  <si>
    <t>E190148</t>
  </si>
  <si>
    <t>Đặng Huy Nguyên</t>
  </si>
  <si>
    <t>nguyendh</t>
  </si>
  <si>
    <t>E350103</t>
  </si>
  <si>
    <t>Hoàng Thu Trang</t>
  </si>
  <si>
    <t>tranght1</t>
  </si>
  <si>
    <t>E350053</t>
  </si>
  <si>
    <t>Trịnh Hữu Tú</t>
  </si>
  <si>
    <t>tuth</t>
  </si>
  <si>
    <t>ABBANK Thanh Hóa</t>
  </si>
  <si>
    <t>E350046</t>
  </si>
  <si>
    <t>Trần Trung Hiếu</t>
  </si>
  <si>
    <t>hieutt7</t>
  </si>
  <si>
    <t>E020504</t>
  </si>
  <si>
    <t>Trần Bá Hiền</t>
  </si>
  <si>
    <t>hientb</t>
  </si>
  <si>
    <t>E022117</t>
  </si>
  <si>
    <t>Lê Thị Thúy Hà</t>
  </si>
  <si>
    <t>lttha</t>
  </si>
  <si>
    <t>E350014</t>
  </si>
  <si>
    <t>hienthi</t>
  </si>
  <si>
    <t>E350019</t>
  </si>
  <si>
    <t>huyen.nguyen</t>
  </si>
  <si>
    <t>E350048</t>
  </si>
  <si>
    <t>Lê Ngọc Hải</t>
  </si>
  <si>
    <t>hailn3</t>
  </si>
  <si>
    <t>E350049</t>
  </si>
  <si>
    <t>Nguyễn Văn Hữu</t>
  </si>
  <si>
    <t>huunv</t>
  </si>
  <si>
    <t>E350055</t>
  </si>
  <si>
    <t>Lê Minh Hùng</t>
  </si>
  <si>
    <t>hunglm5</t>
  </si>
  <si>
    <t>E350050</t>
  </si>
  <si>
    <t>Nguyễn Ngọc Hải</t>
  </si>
  <si>
    <t>hainn4</t>
  </si>
  <si>
    <t>E350052</t>
  </si>
  <si>
    <t>thaont12</t>
  </si>
  <si>
    <t>E350006</t>
  </si>
  <si>
    <t>Hồ Yến Phượng</t>
  </si>
  <si>
    <t>phuonghy</t>
  </si>
  <si>
    <t>E130133</t>
  </si>
  <si>
    <t>nganthuy</t>
  </si>
  <si>
    <t>E130092</t>
  </si>
  <si>
    <t>Nguyễn Văn Chỉnh</t>
  </si>
  <si>
    <t>chinhvan</t>
  </si>
  <si>
    <t>E130179</t>
  </si>
  <si>
    <t>Đỗ Thị Thúy Yên</t>
  </si>
  <si>
    <t>yendtt</t>
  </si>
  <si>
    <t>E130181</t>
  </si>
  <si>
    <t>Nguyễn Thị Nhiên</t>
  </si>
  <si>
    <t>nhiennt</t>
  </si>
  <si>
    <t>E120002</t>
  </si>
  <si>
    <t>Dương Thị Kim Chi</t>
  </si>
  <si>
    <t>chiduong</t>
  </si>
  <si>
    <t>E120030</t>
  </si>
  <si>
    <t>Đoàn Thị Minh Huệ</t>
  </si>
  <si>
    <t>huedtm</t>
  </si>
  <si>
    <t>E120046</t>
  </si>
  <si>
    <t>Trần Thị Kim Dung</t>
  </si>
  <si>
    <t>dungttk</t>
  </si>
  <si>
    <t>E350246</t>
  </si>
  <si>
    <t>Nguyễn Thu Phương</t>
  </si>
  <si>
    <t>PHUONGNT31</t>
  </si>
  <si>
    <t>E120213</t>
  </si>
  <si>
    <t>Phạm Thị Thu Hằng</t>
  </si>
  <si>
    <t>hangptt1</t>
  </si>
  <si>
    <t>E350154</t>
  </si>
  <si>
    <t>tungnt19</t>
  </si>
  <si>
    <t>E230069</t>
  </si>
  <si>
    <t>Trương Ngọc Quí</t>
  </si>
  <si>
    <t>quitn</t>
  </si>
  <si>
    <t>E230107</t>
  </si>
  <si>
    <t>Lê Hoài Phúc</t>
  </si>
  <si>
    <t>phuclh2</t>
  </si>
  <si>
    <t>E230109</t>
  </si>
  <si>
    <t>Trương Thị Yến Nhi</t>
  </si>
  <si>
    <t>nhitty</t>
  </si>
  <si>
    <t>E350116</t>
  </si>
  <si>
    <t>Nguyễn Thị Diễm Châu</t>
  </si>
  <si>
    <t>chauntd</t>
  </si>
  <si>
    <t>E350221</t>
  </si>
  <si>
    <t>Lê Thị Kim Nhung</t>
  </si>
  <si>
    <t>nhungltk</t>
  </si>
  <si>
    <t>E230034</t>
  </si>
  <si>
    <t>Trần Nhựt Minh</t>
  </si>
  <si>
    <t>minhtn</t>
  </si>
  <si>
    <t>E230089</t>
  </si>
  <si>
    <t>Phan Thị Ngọc Nhi</t>
  </si>
  <si>
    <t>nhiptn</t>
  </si>
  <si>
    <t>E011641</t>
  </si>
  <si>
    <t>Nguyễn Thị Minh Tâm</t>
  </si>
  <si>
    <t>tamntm</t>
  </si>
  <si>
    <t>E014376</t>
  </si>
  <si>
    <t>Phạm Trung Hiếu</t>
  </si>
  <si>
    <t>hieupt2</t>
  </si>
  <si>
    <t>E010037</t>
  </si>
  <si>
    <t>Lê Thị Ngọc Chiều</t>
  </si>
  <si>
    <t>chieule</t>
  </si>
  <si>
    <t>E011974</t>
  </si>
  <si>
    <t>Huỳnh Duy Phong</t>
  </si>
  <si>
    <t>phonghd</t>
  </si>
  <si>
    <t>E012777</t>
  </si>
  <si>
    <t>Hồ Hửu Khánh</t>
  </si>
  <si>
    <t>khanhho</t>
  </si>
  <si>
    <t>E013203</t>
  </si>
  <si>
    <t>Mai Đỗ Bảo Ngọc</t>
  </si>
  <si>
    <t>ngocmdb</t>
  </si>
  <si>
    <t>E013968</t>
  </si>
  <si>
    <t>Nguyễn Linh Nhi</t>
  </si>
  <si>
    <t>nhinl</t>
  </si>
  <si>
    <t>E014099</t>
  </si>
  <si>
    <t>Huỳnh Văn Gia</t>
  </si>
  <si>
    <t>giahv</t>
  </si>
  <si>
    <t>E014130</t>
  </si>
  <si>
    <t>ngant1</t>
  </si>
  <si>
    <t>E014344</t>
  </si>
  <si>
    <t>trangph3</t>
  </si>
  <si>
    <t>E014368</t>
  </si>
  <si>
    <t>Hồ Thị Kim Sơn</t>
  </si>
  <si>
    <t>sonhtk</t>
  </si>
  <si>
    <t>E014387</t>
  </si>
  <si>
    <t>Đỗ Lê Hoàng Phúc</t>
  </si>
  <si>
    <t>phucdlh</t>
  </si>
  <si>
    <t>E014434</t>
  </si>
  <si>
    <t>vietnh2</t>
  </si>
  <si>
    <t>E350197</t>
  </si>
  <si>
    <t>Trần Thanh Tú</t>
  </si>
  <si>
    <t>TUTT3</t>
  </si>
  <si>
    <t>E020869</t>
  </si>
  <si>
    <t>Đinh Thị Ngoan</t>
  </si>
  <si>
    <t>ngoandt</t>
  </si>
  <si>
    <t>E014615</t>
  </si>
  <si>
    <t>Phan Thanh Tiến</t>
  </si>
  <si>
    <t>tienpt2</t>
  </si>
  <si>
    <t>E014688</t>
  </si>
  <si>
    <t>Trần Đức Minh Huy</t>
  </si>
  <si>
    <t>huytdm</t>
  </si>
  <si>
    <t>E014598</t>
  </si>
  <si>
    <t>Nguyễn Yến Nhi</t>
  </si>
  <si>
    <t>nhiny</t>
  </si>
  <si>
    <t>E014626</t>
  </si>
  <si>
    <t>Trần Quốc Nhật</t>
  </si>
  <si>
    <t>nhattq</t>
  </si>
  <si>
    <t>E014788</t>
  </si>
  <si>
    <t>Lê Thị Khánh Huyền</t>
  </si>
  <si>
    <t>huyenltk1</t>
  </si>
  <si>
    <t>E014795</t>
  </si>
  <si>
    <t>Kiều Khánh Linh</t>
  </si>
  <si>
    <t>linhkk</t>
  </si>
  <si>
    <t>E010559</t>
  </si>
  <si>
    <t>Huỳnh Đức Nghĩa</t>
  </si>
  <si>
    <t>nghiahd</t>
  </si>
  <si>
    <t>E010725</t>
  </si>
  <si>
    <t>Nguyễn Hoàng Sơn</t>
  </si>
  <si>
    <t>nguyenhson</t>
  </si>
  <si>
    <t>E011377</t>
  </si>
  <si>
    <t>nthphuong</t>
  </si>
  <si>
    <t>E011487</t>
  </si>
  <si>
    <t>Nguyễn Trung Tài</t>
  </si>
  <si>
    <t>nttai</t>
  </si>
  <si>
    <t>E012679</t>
  </si>
  <si>
    <t>Nguyễn Khắc Thuận</t>
  </si>
  <si>
    <t>thuannk</t>
  </si>
  <si>
    <t>E013869</t>
  </si>
  <si>
    <t>Nguyễn Văn Tấn</t>
  </si>
  <si>
    <t>tannv1</t>
  </si>
  <si>
    <t>E010062</t>
  </si>
  <si>
    <t>Nguyễn Thị Yến Dung</t>
  </si>
  <si>
    <t>dungyen</t>
  </si>
  <si>
    <t>E010198</t>
  </si>
  <si>
    <t>Chung Tấn Lộc</t>
  </si>
  <si>
    <t>locct</t>
  </si>
  <si>
    <t>E010219</t>
  </si>
  <si>
    <t>Nguyễn Ngọc Thùy My</t>
  </si>
  <si>
    <t>mynnt</t>
  </si>
  <si>
    <t>E010270</t>
  </si>
  <si>
    <t>Lê Hữu Phước</t>
  </si>
  <si>
    <t>phuoclh</t>
  </si>
  <si>
    <t>E010296</t>
  </si>
  <si>
    <t>Trần Thiện Quyên</t>
  </si>
  <si>
    <t>quyentt</t>
  </si>
  <si>
    <t>E010376</t>
  </si>
  <si>
    <t>Hồ Thị Hương Thủy</t>
  </si>
  <si>
    <t>thuyhth</t>
  </si>
  <si>
    <t>E010446</t>
  </si>
  <si>
    <t>Nguyễn Thị Châu Tuyền</t>
  </si>
  <si>
    <t>tuyenntc</t>
  </si>
  <si>
    <t>E023240</t>
  </si>
  <si>
    <t>ngocnth2</t>
  </si>
  <si>
    <t>E023816</t>
  </si>
  <si>
    <t>Tạ Hữu Nam</t>
  </si>
  <si>
    <t>namth1</t>
  </si>
  <si>
    <t>E024145</t>
  </si>
  <si>
    <t>Nguyễn Khánh Thùy</t>
  </si>
  <si>
    <t>thuynk</t>
  </si>
  <si>
    <t>E022492</t>
  </si>
  <si>
    <t>Ngô Thị Bích Ngọc</t>
  </si>
  <si>
    <t>ngobichngoc</t>
  </si>
  <si>
    <t>E023677</t>
  </si>
  <si>
    <t>Đỗ Minh Ngọc</t>
  </si>
  <si>
    <t>ngocdm1</t>
  </si>
  <si>
    <t>E020410</t>
  </si>
  <si>
    <t>Vũ Thị Lanh</t>
  </si>
  <si>
    <t>lanhvt</t>
  </si>
  <si>
    <t>E022726</t>
  </si>
  <si>
    <t>Nguyễn Thị Quỳnh Anh</t>
  </si>
  <si>
    <t>anhntq1</t>
  </si>
  <si>
    <t>E024053</t>
  </si>
  <si>
    <t>Trần Thị Thùy Chi</t>
  </si>
  <si>
    <t>chittt</t>
  </si>
  <si>
    <t>E024194</t>
  </si>
  <si>
    <t>Vũ Thị Dung</t>
  </si>
  <si>
    <t>dungvt6</t>
  </si>
  <si>
    <t>E350148</t>
  </si>
  <si>
    <t>Lưu Thị Thảo Ngọc</t>
  </si>
  <si>
    <t>ngocltt2</t>
  </si>
  <si>
    <t>E024549</t>
  </si>
  <si>
    <t>Dương Quốc Đạt</t>
  </si>
  <si>
    <t>datdq4</t>
  </si>
  <si>
    <t>E023584</t>
  </si>
  <si>
    <t>cuongnv2</t>
  </si>
  <si>
    <t>E120102</t>
  </si>
  <si>
    <t>Đinh Thị Như Ngọc</t>
  </si>
  <si>
    <t>ngocdtn</t>
  </si>
  <si>
    <t>E120218</t>
  </si>
  <si>
    <t>lieubt</t>
  </si>
  <si>
    <t>E120277</t>
  </si>
  <si>
    <t>Phùng Thị Minh Thùy</t>
  </si>
  <si>
    <t>thuyptm</t>
  </si>
  <si>
    <t>E120166</t>
  </si>
  <si>
    <t>Phạm Bảo Ngọc</t>
  </si>
  <si>
    <t>phamngoc</t>
  </si>
  <si>
    <t>E120243</t>
  </si>
  <si>
    <t>toannk1</t>
  </si>
  <si>
    <t>E120249</t>
  </si>
  <si>
    <t>Tô Hoài Phương</t>
  </si>
  <si>
    <t>PHUONGTH2</t>
  </si>
  <si>
    <t>E020798</t>
  </si>
  <si>
    <t>Vũ Thị Liên</t>
  </si>
  <si>
    <t>lienvt</t>
  </si>
  <si>
    <t>E022746</t>
  </si>
  <si>
    <t>Vũ Đình Quý</t>
  </si>
  <si>
    <t>quyvd</t>
  </si>
  <si>
    <t>E024147</t>
  </si>
  <si>
    <t>Vũ Thị Thắm</t>
  </si>
  <si>
    <t>thamvt</t>
  </si>
  <si>
    <t>E024464</t>
  </si>
  <si>
    <t>Nguyễn Trọng Huy</t>
  </si>
  <si>
    <t>huynt7</t>
  </si>
  <si>
    <t>E024631</t>
  </si>
  <si>
    <t>Hoàng Thị Thùy Trang</t>
  </si>
  <si>
    <t>tranghtt4</t>
  </si>
  <si>
    <t>E024674</t>
  </si>
  <si>
    <t>Lê Ngọc Mai</t>
  </si>
  <si>
    <t>mailn</t>
  </si>
  <si>
    <t>E014287</t>
  </si>
  <si>
    <t>Bùi Quốc An</t>
  </si>
  <si>
    <t>anbq</t>
  </si>
  <si>
    <t>E014463</t>
  </si>
  <si>
    <t>Đỗ Kiều Nhật Thương</t>
  </si>
  <si>
    <t>thuongdkn</t>
  </si>
  <si>
    <t>E012528</t>
  </si>
  <si>
    <t>Bùi Thị Quỳnh Trang</t>
  </si>
  <si>
    <t>trangbtq</t>
  </si>
  <si>
    <t>E014701</t>
  </si>
  <si>
    <t>Trần Khánh Nhựt</t>
  </si>
  <si>
    <t>nhuttk2</t>
  </si>
  <si>
    <t>E014621</t>
  </si>
  <si>
    <t>Thạch Quốc Doanh</t>
  </si>
  <si>
    <t>doanhtq</t>
  </si>
  <si>
    <t>E014651</t>
  </si>
  <si>
    <t>Phan Bá Đại</t>
  </si>
  <si>
    <t>daipb1</t>
  </si>
  <si>
    <t>E130082</t>
  </si>
  <si>
    <t>Nguyễn Thành Thao</t>
  </si>
  <si>
    <t>thaonguyenthanh</t>
  </si>
  <si>
    <t>E130164</t>
  </si>
  <si>
    <t>Lê Thị Thủy</t>
  </si>
  <si>
    <t>lethithuy</t>
  </si>
  <si>
    <t>E350144</t>
  </si>
  <si>
    <t>Mạc Thị Thanh Thanh Huyền</t>
  </si>
  <si>
    <t>huyenmttt</t>
  </si>
  <si>
    <t>E130096</t>
  </si>
  <si>
    <t>Dương Thế Sơn</t>
  </si>
  <si>
    <t>sonduong</t>
  </si>
  <si>
    <t>E130187</t>
  </si>
  <si>
    <t>Ngô Gia Phong</t>
  </si>
  <si>
    <t>phongng</t>
  </si>
  <si>
    <t>E130204</t>
  </si>
  <si>
    <t>Mạc Thị Tuyết</t>
  </si>
  <si>
    <t>tuyetmt1</t>
  </si>
  <si>
    <t>E030112</t>
  </si>
  <si>
    <t>Nguyễn Phước Tường</t>
  </si>
  <si>
    <t>tuongnp</t>
  </si>
  <si>
    <t>ABBANK Vĩnh Long</t>
  </si>
  <si>
    <t>E270065</t>
  </si>
  <si>
    <t>Nguyễn Hữu Phúc</t>
  </si>
  <si>
    <t>phucnh2</t>
  </si>
  <si>
    <t>E270013</t>
  </si>
  <si>
    <t>Phạm Nhất Phương</t>
  </si>
  <si>
    <t>phuongpn</t>
  </si>
  <si>
    <t>E270037</t>
  </si>
  <si>
    <t>Nguyễn Thị Kim Loan</t>
  </si>
  <si>
    <t>loankim</t>
  </si>
  <si>
    <t>E270045</t>
  </si>
  <si>
    <t>Bùi Hữu Nghĩa</t>
  </si>
  <si>
    <t>nghiabh</t>
  </si>
  <si>
    <t>E270072</t>
  </si>
  <si>
    <t>Cao Trần Thanh Nhã</t>
  </si>
  <si>
    <t>nhactt</t>
  </si>
  <si>
    <t>E270075</t>
  </si>
  <si>
    <t>Lê Nguyễn Hằng Ni</t>
  </si>
  <si>
    <t>nilnh</t>
  </si>
  <si>
    <t>E270076</t>
  </si>
  <si>
    <t>Nguyễn Kim Khuyến</t>
  </si>
  <si>
    <t>khuyennk</t>
  </si>
  <si>
    <t>E030127</t>
  </si>
  <si>
    <t>anhtran</t>
  </si>
  <si>
    <t>E270001</t>
  </si>
  <si>
    <t>Đỗ Thị Thúy Liễu</t>
  </si>
  <si>
    <t>lieudtt</t>
  </si>
  <si>
    <t>E270028</t>
  </si>
  <si>
    <t>Phạm Nguyễn Đông Ánh</t>
  </si>
  <si>
    <t>anhpnd</t>
  </si>
  <si>
    <t>E210179</t>
  </si>
  <si>
    <t>Đỗ Văn Hưng</t>
  </si>
  <si>
    <t>hungdv3</t>
  </si>
  <si>
    <t>E210221</t>
  </si>
  <si>
    <t>Đỗ Hoài Thu</t>
  </si>
  <si>
    <t>thudh2</t>
  </si>
  <si>
    <t>E210237</t>
  </si>
  <si>
    <t>hongdt3</t>
  </si>
  <si>
    <t>E210003</t>
  </si>
  <si>
    <t>Trần Yên Thành</t>
  </si>
  <si>
    <t>thanhty</t>
  </si>
  <si>
    <t>E210084</t>
  </si>
  <si>
    <t>Nguyễn Thị Huệ</t>
  </si>
  <si>
    <t>nthue</t>
  </si>
  <si>
    <t>E210102</t>
  </si>
  <si>
    <t>nt.huyen</t>
  </si>
  <si>
    <t>E210125</t>
  </si>
  <si>
    <t>Nguyễn Khánh Tùng</t>
  </si>
  <si>
    <t>tungnk</t>
  </si>
  <si>
    <t>E210141</t>
  </si>
  <si>
    <t>Nguyễn Thị Kim Thanh</t>
  </si>
  <si>
    <t>ntkthanh</t>
  </si>
  <si>
    <t>E210144</t>
  </si>
  <si>
    <t>Nguyễn Thị Thùy Dung</t>
  </si>
  <si>
    <t>ntt.dung</t>
  </si>
  <si>
    <t>E210189</t>
  </si>
  <si>
    <t>huyennt5</t>
  </si>
  <si>
    <t>E210199</t>
  </si>
  <si>
    <t>Lưu Thúy Ngân</t>
  </si>
  <si>
    <t>nganlt2</t>
  </si>
  <si>
    <t>E210219</t>
  </si>
  <si>
    <t>Đoàn Thị Kim Oanh</t>
  </si>
  <si>
    <t>oanhdtk5</t>
  </si>
  <si>
    <t>E210249</t>
  </si>
  <si>
    <t>Tô Thị Hiền</t>
  </si>
  <si>
    <t>hientt1</t>
  </si>
  <si>
    <t>E210173</t>
  </si>
  <si>
    <t>Nguyễn Đình Hải</t>
  </si>
  <si>
    <t>haind1</t>
  </si>
  <si>
    <t>E210009</t>
  </si>
  <si>
    <t>Hồ Thị Lan Hương</t>
  </si>
  <si>
    <t>huonghtl</t>
  </si>
  <si>
    <t>E210178</t>
  </si>
  <si>
    <t>Phan Thị Hoài Linh</t>
  </si>
  <si>
    <t>linhpth</t>
  </si>
  <si>
    <t>E210240</t>
  </si>
  <si>
    <t>Lê Thị Thu Nga</t>
  </si>
  <si>
    <t>ngaltt5</t>
  </si>
  <si>
    <t>E022725</t>
  </si>
  <si>
    <t>Hoàng Thị Thùy Linh</t>
  </si>
  <si>
    <t>linhhtt2</t>
  </si>
  <si>
    <t>E014628</t>
  </si>
  <si>
    <t>Võ Xuân Thanh</t>
  </si>
  <si>
    <t>thanhvx</t>
  </si>
  <si>
    <t>E010711</t>
  </si>
  <si>
    <t>Đạt Khánh Toàn</t>
  </si>
  <si>
    <t>toandk</t>
  </si>
  <si>
    <t>E013324</t>
  </si>
  <si>
    <t>Phan Phạm Thảo Trang</t>
  </si>
  <si>
    <t>trangppt</t>
  </si>
  <si>
    <t>E013870</t>
  </si>
  <si>
    <t>Trần Tuyết Nhung</t>
  </si>
  <si>
    <t>nhungtt</t>
  </si>
  <si>
    <t>E013918</t>
  </si>
  <si>
    <t>Mai Thanh Tâm</t>
  </si>
  <si>
    <t>tammt1</t>
  </si>
  <si>
    <t>E014050</t>
  </si>
  <si>
    <t>Bùi Quốc Hữu</t>
  </si>
  <si>
    <t>huubq</t>
  </si>
  <si>
    <t>E014148</t>
  </si>
  <si>
    <t>Ngô Thị Mỹ Linh</t>
  </si>
  <si>
    <t>linhntm1</t>
  </si>
  <si>
    <t>E014761</t>
  </si>
  <si>
    <t>Phạm Đông Cương</t>
  </si>
  <si>
    <t>cuongpd</t>
  </si>
  <si>
    <t>E010190</t>
  </si>
  <si>
    <t>Phạm Thị Thuỳ Linh</t>
  </si>
  <si>
    <t>linhpt</t>
  </si>
  <si>
    <t>E014443</t>
  </si>
  <si>
    <t>Nguyễn Thị Hoài Vi</t>
  </si>
  <si>
    <t>vinth</t>
  </si>
  <si>
    <t>E050027</t>
  </si>
  <si>
    <t>Lê Thị Lệ Quyên</t>
  </si>
  <si>
    <t>quyenltl</t>
  </si>
  <si>
    <t>E012690</t>
  </si>
  <si>
    <t>Đỗ Thị Thảo Nguyên</t>
  </si>
  <si>
    <t>nguyendtt</t>
  </si>
  <si>
    <t>E013261</t>
  </si>
  <si>
    <t>Lê Quảng Thiện Tâm</t>
  </si>
  <si>
    <t>tamlqt</t>
  </si>
  <si>
    <t>E013461</t>
  </si>
  <si>
    <t>Nguyễn Văn Luận</t>
  </si>
  <si>
    <t>nvluan</t>
  </si>
  <si>
    <t>E013768</t>
  </si>
  <si>
    <t>Nguyễn Viết Khánh</t>
  </si>
  <si>
    <t>khanhnv1</t>
  </si>
  <si>
    <t>E010429</t>
  </si>
  <si>
    <t>Lê Trương Trọng Tuấn</t>
  </si>
  <si>
    <t>tuanltt</t>
  </si>
  <si>
    <t>E010494</t>
  </si>
  <si>
    <t>Trần Thành Thuyên</t>
  </si>
  <si>
    <t>thuyentt</t>
  </si>
  <si>
    <t>E012278</t>
  </si>
  <si>
    <t>Hồ Trung Tiên</t>
  </si>
  <si>
    <t>httien</t>
  </si>
  <si>
    <t>E012863</t>
  </si>
  <si>
    <t>Trần Thị Mộng Nghi</t>
  </si>
  <si>
    <t>nghittm</t>
  </si>
  <si>
    <t>E012872</t>
  </si>
  <si>
    <t>Nguyễn Hà Mai Phương</t>
  </si>
  <si>
    <t>phuongnhm</t>
  </si>
  <si>
    <t>E012910</t>
  </si>
  <si>
    <t>Hoàng Công Sơn</t>
  </si>
  <si>
    <t>soncong</t>
  </si>
  <si>
    <t>E013797</t>
  </si>
  <si>
    <t>Bùi Đình Linh</t>
  </si>
  <si>
    <t>linhbd</t>
  </si>
  <si>
    <t>E013929</t>
  </si>
  <si>
    <t>Nguyễn Nguyên Thành</t>
  </si>
  <si>
    <t>thanhnn1</t>
  </si>
  <si>
    <t>E014083</t>
  </si>
  <si>
    <t>Trần Thị Thủy</t>
  </si>
  <si>
    <t>thuytt1</t>
  </si>
  <si>
    <t>E014103</t>
  </si>
  <si>
    <t>Hồ Việt Cường</t>
  </si>
  <si>
    <t>cuonghv1</t>
  </si>
  <si>
    <t>E014164</t>
  </si>
  <si>
    <t>Nguyễn Văn Cho</t>
  </si>
  <si>
    <t>chonv</t>
  </si>
  <si>
    <t>E014193</t>
  </si>
  <si>
    <t>Ngô Trí Lam</t>
  </si>
  <si>
    <t>lamnt3</t>
  </si>
  <si>
    <t>E014391</t>
  </si>
  <si>
    <t>Đặng Hữu Vỹ</t>
  </si>
  <si>
    <t>vydh2</t>
  </si>
  <si>
    <t>E014456</t>
  </si>
  <si>
    <t>Nguyễn Chí Thanh</t>
  </si>
  <si>
    <t>thanhnc3</t>
  </si>
  <si>
    <t>E014611</t>
  </si>
  <si>
    <t>Nguyễn Thị Minh Hòa</t>
  </si>
  <si>
    <t>hoantm4</t>
  </si>
  <si>
    <t>E030012</t>
  </si>
  <si>
    <t>Nguyễn Thị Hồng Đào</t>
  </si>
  <si>
    <t>daonth</t>
  </si>
  <si>
    <t>E030049</t>
  </si>
  <si>
    <t>Trần Trọng Nghĩa</t>
  </si>
  <si>
    <t>nghiatt</t>
  </si>
  <si>
    <t>E060147</t>
  </si>
  <si>
    <t>Nguyễn Thị Đài Trang</t>
  </si>
  <si>
    <t>daitrangnt</t>
  </si>
  <si>
    <t>E013770</t>
  </si>
  <si>
    <t>Cao Xuân Đức</t>
  </si>
  <si>
    <t>duccx</t>
  </si>
  <si>
    <t>E014168</t>
  </si>
  <si>
    <t>Nguyễn Thị Thúy Bình</t>
  </si>
  <si>
    <t>binhntt1</t>
  </si>
  <si>
    <t>E014382</t>
  </si>
  <si>
    <t>ngant5</t>
  </si>
  <si>
    <t>E014522</t>
  </si>
  <si>
    <t>Trần Thùy An</t>
  </si>
  <si>
    <t>antt4</t>
  </si>
  <si>
    <t>E014523</t>
  </si>
  <si>
    <t>Trà Thanh Vân</t>
  </si>
  <si>
    <t>vantt3</t>
  </si>
  <si>
    <t>E014579</t>
  </si>
  <si>
    <t>Nguyễn Thị Kim Thi</t>
  </si>
  <si>
    <t>thintk1</t>
  </si>
  <si>
    <t>E014609</t>
  </si>
  <si>
    <t>Phạm Tiến Dũng</t>
  </si>
  <si>
    <t>dungpt10</t>
  </si>
  <si>
    <t>E014689</t>
  </si>
  <si>
    <t>Lý Thiện Phúc Bảo</t>
  </si>
  <si>
    <t>baoltp</t>
  </si>
  <si>
    <t>E014749</t>
  </si>
  <si>
    <t>Phan Bách Quân</t>
  </si>
  <si>
    <t>quanpb</t>
  </si>
  <si>
    <t>E014846</t>
  </si>
  <si>
    <t>Nguyễn Thị Kim Tuyền</t>
  </si>
  <si>
    <t>tuyenntk2</t>
  </si>
  <si>
    <t>E040162</t>
  </si>
  <si>
    <t>Lê Hoàng Nam</t>
  </si>
  <si>
    <t>E040175</t>
  </si>
  <si>
    <t>Phạm Hồng Sơn</t>
  </si>
  <si>
    <t>sonph1</t>
  </si>
  <si>
    <t>E150267</t>
  </si>
  <si>
    <t>trangtth5</t>
  </si>
  <si>
    <t>E011700</t>
  </si>
  <si>
    <t>Trần Trọng Hùng</t>
  </si>
  <si>
    <t>hungtt2</t>
  </si>
  <si>
    <t>E010345</t>
  </si>
  <si>
    <t>Trần Anh Thi</t>
  </si>
  <si>
    <t>thita</t>
  </si>
  <si>
    <t>E010441</t>
  </si>
  <si>
    <t>Lâm Phước Tuyên</t>
  </si>
  <si>
    <t>tuyenlp</t>
  </si>
  <si>
    <t>E011398</t>
  </si>
  <si>
    <t>Phạm Thị Tiên</t>
  </si>
  <si>
    <t>tienpt</t>
  </si>
  <si>
    <t>E012757</t>
  </si>
  <si>
    <t>Võ Thành Nên</t>
  </si>
  <si>
    <t>nenvt</t>
  </si>
  <si>
    <t>E012983</t>
  </si>
  <si>
    <t>Trần Ngọc Quỳnh Như</t>
  </si>
  <si>
    <t>nhutnq</t>
  </si>
  <si>
    <t>E013228</t>
  </si>
  <si>
    <t>Phạm Thị Hồng Thanh</t>
  </si>
  <si>
    <t>thanhpth</t>
  </si>
  <si>
    <t>E050012</t>
  </si>
  <si>
    <t>dthang</t>
  </si>
  <si>
    <t>E010261</t>
  </si>
  <si>
    <t>Bùi Duy Hồng Phong</t>
  </si>
  <si>
    <t>phongbdh</t>
  </si>
  <si>
    <t>E010706</t>
  </si>
  <si>
    <t>Lê Văn Mười</t>
  </si>
  <si>
    <t>muoilv</t>
  </si>
  <si>
    <t>E010776</t>
  </si>
  <si>
    <t>Đỗ Trần Thanh Quý</t>
  </si>
  <si>
    <t>quydtt</t>
  </si>
  <si>
    <t>E011218</t>
  </si>
  <si>
    <t>Phan Tấn Cường</t>
  </si>
  <si>
    <t>cuongpt</t>
  </si>
  <si>
    <t>E011240</t>
  </si>
  <si>
    <t>Nguyễn Công Hiếu</t>
  </si>
  <si>
    <t>hieunc</t>
  </si>
  <si>
    <t>E011482</t>
  </si>
  <si>
    <t>Bùi Thị Thanh Vân</t>
  </si>
  <si>
    <t>vanbtt</t>
  </si>
  <si>
    <t>E011562</t>
  </si>
  <si>
    <t>Võ Quang Định</t>
  </si>
  <si>
    <t>dinhvq</t>
  </si>
  <si>
    <t>E010183</t>
  </si>
  <si>
    <t>Nguyễn Thị Quỳnh Liên</t>
  </si>
  <si>
    <t>lienntq</t>
  </si>
  <si>
    <t>E010275</t>
  </si>
  <si>
    <t>Nguyễn Ngọc Phương</t>
  </si>
  <si>
    <t>phuongnn</t>
  </si>
  <si>
    <t>E010310</t>
  </si>
  <si>
    <t>Lê Thị Thanh Tâm</t>
  </si>
  <si>
    <t>tamltt</t>
  </si>
  <si>
    <t>E010370</t>
  </si>
  <si>
    <t>Hà Thị Thu Thủy</t>
  </si>
  <si>
    <t>thuyhtt</t>
  </si>
  <si>
    <t>E010746</t>
  </si>
  <si>
    <t>Trần Ngọc Yến</t>
  </si>
  <si>
    <t>yentn</t>
  </si>
  <si>
    <t>E011067</t>
  </si>
  <si>
    <t>Cao Thị Thanh Nga</t>
  </si>
  <si>
    <t>ngactt</t>
  </si>
  <si>
    <t>E011164</t>
  </si>
  <si>
    <t>Đỗ Diễm Châu</t>
  </si>
  <si>
    <t>chaudd</t>
  </si>
  <si>
    <t>E011226</t>
  </si>
  <si>
    <t>Trương Đoan Trinh</t>
  </si>
  <si>
    <t>trinhtd</t>
  </si>
  <si>
    <t>E011238</t>
  </si>
  <si>
    <t>Bùi Thành Nam</t>
  </si>
  <si>
    <t>nambt</t>
  </si>
  <si>
    <t>E011379</t>
  </si>
  <si>
    <t>Đàm Lan Anh</t>
  </si>
  <si>
    <t>anhdl</t>
  </si>
  <si>
    <t>E011634</t>
  </si>
  <si>
    <t>Võ Thị Minh Quyên</t>
  </si>
  <si>
    <t>quyenvtm</t>
  </si>
  <si>
    <t>E012532</t>
  </si>
  <si>
    <t>Trương Thị Thanh Dung</t>
  </si>
  <si>
    <t>tttdung</t>
  </si>
  <si>
    <t>E012593</t>
  </si>
  <si>
    <t>Thân Thị Mỹ Hạnh</t>
  </si>
  <si>
    <t>hanhttm</t>
  </si>
  <si>
    <t>E012624</t>
  </si>
  <si>
    <t>Nguyễn Huy Miên Thùy</t>
  </si>
  <si>
    <t>thuynhm</t>
  </si>
  <si>
    <t>E013423</t>
  </si>
  <si>
    <t>Lê Thị Kim Hương</t>
  </si>
  <si>
    <t>huongltk</t>
  </si>
  <si>
    <t>E014227</t>
  </si>
  <si>
    <t>Phạm Nguyễn Quốc Thông</t>
  </si>
  <si>
    <t>thongpnq</t>
  </si>
  <si>
    <t>E014229</t>
  </si>
  <si>
    <t>Phạm Nguyễn Anh Thư</t>
  </si>
  <si>
    <t>thupna1</t>
  </si>
  <si>
    <t>E014196</t>
  </si>
  <si>
    <t>Hoàng Văn Luyện</t>
  </si>
  <si>
    <t>luyenhv</t>
  </si>
  <si>
    <t>E010529</t>
  </si>
  <si>
    <t>Ngô Thụy Thanh Trúc</t>
  </si>
  <si>
    <t>trucntt</t>
  </si>
  <si>
    <t>E010842</t>
  </si>
  <si>
    <t>Đào Thùy Dương</t>
  </si>
  <si>
    <t>duongdt</t>
  </si>
  <si>
    <t>E013046</t>
  </si>
  <si>
    <t>Phạm Nguyễn Anh Trà</t>
  </si>
  <si>
    <t>trapna</t>
  </si>
  <si>
    <t>E014301</t>
  </si>
  <si>
    <t>ngocntb2</t>
  </si>
  <si>
    <t>E014551</t>
  </si>
  <si>
    <t>Đặng Xuân Vũ</t>
  </si>
  <si>
    <t>vudx</t>
  </si>
  <si>
    <t>E014768</t>
  </si>
  <si>
    <t>Nguyễn Hoàng Ngọc Trân</t>
  </si>
  <si>
    <t>trannhn</t>
  </si>
  <si>
    <t>E014259</t>
  </si>
  <si>
    <t>Phạm Ngọc Nguyên Phương</t>
  </si>
  <si>
    <t>phuongpnn</t>
  </si>
  <si>
    <t>E014617</t>
  </si>
  <si>
    <t>Nguyễn Minh Hoàng</t>
  </si>
  <si>
    <t>hoangnm5</t>
  </si>
  <si>
    <t>E014727</t>
  </si>
  <si>
    <t>Lê Thị Hoàng Kim</t>
  </si>
  <si>
    <t>kimlth</t>
  </si>
  <si>
    <t>E014640</t>
  </si>
  <si>
    <t>Tô Thị Kim Yến</t>
  </si>
  <si>
    <t>yenttk4</t>
  </si>
  <si>
    <t>E014720</t>
  </si>
  <si>
    <t>Huỳnh Nhân Hậu</t>
  </si>
  <si>
    <t>hauhn</t>
  </si>
  <si>
    <t>E014721</t>
  </si>
  <si>
    <t>Nguyễn Bình An</t>
  </si>
  <si>
    <t>annb1</t>
  </si>
  <si>
    <t>E014826</t>
  </si>
  <si>
    <t>Nguyễn Ngọc Thanh Duyên</t>
  </si>
  <si>
    <t>duyennnt1</t>
  </si>
  <si>
    <t>E014276</t>
  </si>
  <si>
    <t>Lê Ái Ly</t>
  </si>
  <si>
    <t>lyla</t>
  </si>
  <si>
    <t>E013704</t>
  </si>
  <si>
    <t>Nguyễn Thị Thu Thủy</t>
  </si>
  <si>
    <t>thuyntt1</t>
  </si>
  <si>
    <t>E014110</t>
  </si>
  <si>
    <t>Nguyễn Văn Phát</t>
  </si>
  <si>
    <t>phatnv</t>
  </si>
  <si>
    <t>E011563</t>
  </si>
  <si>
    <t>vietdung</t>
  </si>
  <si>
    <t>E200279</t>
  </si>
  <si>
    <t>Nguyễn Xuân Sơn</t>
  </si>
  <si>
    <t>nxson</t>
  </si>
  <si>
    <t>E011544</t>
  </si>
  <si>
    <t>Huỳnh Quốc Thới</t>
  </si>
  <si>
    <t>hqthoi</t>
  </si>
  <si>
    <t>E013041</t>
  </si>
  <si>
    <t>Nguyễn Hoàng Vũ</t>
  </si>
  <si>
    <t>vunh</t>
  </si>
  <si>
    <t>E010068</t>
  </si>
  <si>
    <t>Nguyễn Tiến Dũng</t>
  </si>
  <si>
    <t>dungnt</t>
  </si>
  <si>
    <t>E010152</t>
  </si>
  <si>
    <t>Đào Thị Kim Khánh</t>
  </si>
  <si>
    <t>khanhdtk</t>
  </si>
  <si>
    <t>E010509</t>
  </si>
  <si>
    <t>Vũ Thị Xuân Thủy</t>
  </si>
  <si>
    <t>thuyvtx</t>
  </si>
  <si>
    <t>E010924</t>
  </si>
  <si>
    <t>Nguyễn Trần Tuấn Huy</t>
  </si>
  <si>
    <t>huyntt1</t>
  </si>
  <si>
    <t>E011492</t>
  </si>
  <si>
    <t>Vy Nguyễn Kiều Na</t>
  </si>
  <si>
    <t>navnk</t>
  </si>
  <si>
    <t>E020264</t>
  </si>
  <si>
    <t>yennth</t>
  </si>
  <si>
    <t>E060041</t>
  </si>
  <si>
    <t>Phạm Châu Hồng Phượng</t>
  </si>
  <si>
    <t>phuongpch</t>
  </si>
  <si>
    <t>E023749</t>
  </si>
  <si>
    <t>Bùi Ngọc Dư</t>
  </si>
  <si>
    <t>dubn</t>
  </si>
  <si>
    <t>E023965</t>
  </si>
  <si>
    <t>Phan Thị Giang</t>
  </si>
  <si>
    <t>giangpt1</t>
  </si>
  <si>
    <t>E023969</t>
  </si>
  <si>
    <t>ducna2</t>
  </si>
  <si>
    <t>E024031</t>
  </si>
  <si>
    <t>tungns2</t>
  </si>
  <si>
    <t>E024034</t>
  </si>
  <si>
    <t>thuyntt29</t>
  </si>
  <si>
    <t>E024069</t>
  </si>
  <si>
    <t>Nguyễn Thị Thuận</t>
  </si>
  <si>
    <t>thuannt2</t>
  </si>
  <si>
    <t>E024070</t>
  </si>
  <si>
    <t>Đoàn Quang Linh</t>
  </si>
  <si>
    <t>linhdq</t>
  </si>
  <si>
    <t>E024119</t>
  </si>
  <si>
    <t>Nguyễn Văn Đoàn</t>
  </si>
  <si>
    <t>doannv</t>
  </si>
  <si>
    <t>E024141</t>
  </si>
  <si>
    <t>Lương Xuân Trường</t>
  </si>
  <si>
    <t>truonglx2</t>
  </si>
  <si>
    <t>E024143</t>
  </si>
  <si>
    <t>Cao Hương Anh</t>
  </si>
  <si>
    <t>anhch</t>
  </si>
  <si>
    <t>E024170</t>
  </si>
  <si>
    <t>Nguyễn Thành Thục</t>
  </si>
  <si>
    <t>thucnt</t>
  </si>
  <si>
    <t>E024209</t>
  </si>
  <si>
    <t>Vũ Chí Hiếu</t>
  </si>
  <si>
    <t>hieuvc2</t>
  </si>
  <si>
    <t>E024210</t>
  </si>
  <si>
    <t>Trịnh Văn Thông</t>
  </si>
  <si>
    <t>thongtv2</t>
  </si>
  <si>
    <t>E024211</t>
  </si>
  <si>
    <t>Trần Anh Quang</t>
  </si>
  <si>
    <t>quangta2</t>
  </si>
  <si>
    <t>E024235</t>
  </si>
  <si>
    <t>Trịnh Hải Nam</t>
  </si>
  <si>
    <t>namth4</t>
  </si>
  <si>
    <t>E210008</t>
  </si>
  <si>
    <t>Đặng Thị Dung</t>
  </si>
  <si>
    <t>dungdang</t>
  </si>
  <si>
    <t>E210229</t>
  </si>
  <si>
    <t>anhttv5</t>
  </si>
  <si>
    <t>E210242</t>
  </si>
  <si>
    <t>lynh5</t>
  </si>
  <si>
    <t>E210113</t>
  </si>
  <si>
    <t>Nguyễn Văn Điệp</t>
  </si>
  <si>
    <t>diepnv</t>
  </si>
  <si>
    <t>E210066</t>
  </si>
  <si>
    <t>Đặng Thị Nga</t>
  </si>
  <si>
    <t>ngadang</t>
  </si>
  <si>
    <t>E210193</t>
  </si>
  <si>
    <t>Phan Thị Hương</t>
  </si>
  <si>
    <t>huongpt1</t>
  </si>
  <si>
    <t>E210213</t>
  </si>
  <si>
    <t>Lê Đắc Hưng</t>
  </si>
  <si>
    <t>hungld</t>
  </si>
  <si>
    <t>E210233</t>
  </si>
  <si>
    <t>Đặng Thị Kim Nhung</t>
  </si>
  <si>
    <t>nhungdtk</t>
  </si>
  <si>
    <t>E350147</t>
  </si>
  <si>
    <t>Trần Thị Thanh Hiền</t>
  </si>
  <si>
    <t>hienttt8</t>
  </si>
  <si>
    <t>E130058</t>
  </si>
  <si>
    <t>Phạm Vũ Cường</t>
  </si>
  <si>
    <t>cuongpv</t>
  </si>
  <si>
    <t>E130156</t>
  </si>
  <si>
    <t>Đặng Thị Thanh Thanh</t>
  </si>
  <si>
    <t>thanhdtt</t>
  </si>
  <si>
    <t>E130206</t>
  </si>
  <si>
    <t>Nguyễn Thị Kiều Oanh</t>
  </si>
  <si>
    <t>oanhntk3</t>
  </si>
  <si>
    <t>E130226</t>
  </si>
  <si>
    <t>bichntn7</t>
  </si>
  <si>
    <t>E130234</t>
  </si>
  <si>
    <t>Vương Thị Huyền</t>
  </si>
  <si>
    <t>huyenvt1</t>
  </si>
  <si>
    <t>E130239</t>
  </si>
  <si>
    <t>Lê Thị Kim Cương</t>
  </si>
  <si>
    <t>cuongltk</t>
  </si>
  <si>
    <t>E130012</t>
  </si>
  <si>
    <t>Trần Thanh Thảo</t>
  </si>
  <si>
    <t>thanhthao</t>
  </si>
  <si>
    <t>E130061</t>
  </si>
  <si>
    <t>Lê Đăng Cường</t>
  </si>
  <si>
    <t>cuongld</t>
  </si>
  <si>
    <t>E130099</t>
  </si>
  <si>
    <t>Khúc Thị Hiền</t>
  </si>
  <si>
    <t>hienkt</t>
  </si>
  <si>
    <t>E022966</t>
  </si>
  <si>
    <t>Nguyễn Ngọc Duệ</t>
  </si>
  <si>
    <t>duenn</t>
  </si>
  <si>
    <t>E014835</t>
  </si>
  <si>
    <t>Lê Hoàng Ngọc</t>
  </si>
  <si>
    <t>ngoclh</t>
  </si>
  <si>
    <t>E014848</t>
  </si>
  <si>
    <t>dungnt27</t>
  </si>
  <si>
    <t>E014337</t>
  </si>
  <si>
    <t>Nguyễn Vũ Bảo Trân</t>
  </si>
  <si>
    <t>trannvb</t>
  </si>
  <si>
    <t>E010283</t>
  </si>
  <si>
    <t>Nguyễn Thị Hồng Phượng</t>
  </si>
  <si>
    <t>phuongnth</t>
  </si>
  <si>
    <t>E010449</t>
  </si>
  <si>
    <t>Lương Thị Thảo Uyên</t>
  </si>
  <si>
    <t>uyenlt</t>
  </si>
  <si>
    <t>E010565</t>
  </si>
  <si>
    <t>Nguyễn Thị Kim Phụng</t>
  </si>
  <si>
    <t>phungntk</t>
  </si>
  <si>
    <t>E020649</t>
  </si>
  <si>
    <t>Trần Thị Ngọc Hà</t>
  </si>
  <si>
    <t>ngocha</t>
  </si>
  <si>
    <t>E023813</t>
  </si>
  <si>
    <t>Vũ Minh Phương</t>
  </si>
  <si>
    <t>phuongvm</t>
  </si>
  <si>
    <t>E023873</t>
  </si>
  <si>
    <t>Lê Minh Đức</t>
  </si>
  <si>
    <t>duclm1</t>
  </si>
  <si>
    <t>E023877</t>
  </si>
  <si>
    <t>Phạm Thế Anh</t>
  </si>
  <si>
    <t>anhpt4</t>
  </si>
  <si>
    <t>E024249</t>
  </si>
  <si>
    <t>Phạm Xuân Lai</t>
  </si>
  <si>
    <t>laipx</t>
  </si>
  <si>
    <t>E024648</t>
  </si>
  <si>
    <t>Trần Quốc Dũng</t>
  </si>
  <si>
    <t>dungtq5</t>
  </si>
  <si>
    <t>E011567</t>
  </si>
  <si>
    <t>Phạm Duy Hiếu</t>
  </si>
  <si>
    <t>hieupham</t>
  </si>
  <si>
    <t>E020306</t>
  </si>
  <si>
    <t>Nguyễn Thị Hương</t>
  </si>
  <si>
    <t>huongnguyen</t>
  </si>
  <si>
    <t>E022291</t>
  </si>
  <si>
    <t>Lại Tất Hà</t>
  </si>
  <si>
    <t>halai</t>
  </si>
  <si>
    <t>E023188</t>
  </si>
  <si>
    <t>Khương Đức Tiệp</t>
  </si>
  <si>
    <t>tiepkd</t>
  </si>
  <si>
    <t>E012452</t>
  </si>
  <si>
    <t>Nguyễn Văn Phúc</t>
  </si>
  <si>
    <t>nguyenphuc</t>
  </si>
  <si>
    <t>E022477</t>
  </si>
  <si>
    <t>Nguyễn Thị Ngọc Huyền</t>
  </si>
  <si>
    <t>ngochuyen</t>
  </si>
  <si>
    <t>E023179</t>
  </si>
  <si>
    <t>Đàm Thị Hường</t>
  </si>
  <si>
    <t>huongdt1</t>
  </si>
  <si>
    <t>E024492</t>
  </si>
  <si>
    <t>anhntl8</t>
  </si>
  <si>
    <t>E024588</t>
  </si>
  <si>
    <t>Nguyễn Hoàng Tú</t>
  </si>
  <si>
    <t>tunh3</t>
  </si>
  <si>
    <t>E020448</t>
  </si>
  <si>
    <t>Chu Thị Hường</t>
  </si>
  <si>
    <t>huongct</t>
  </si>
  <si>
    <t>E024597</t>
  </si>
  <si>
    <t>Nandrajog Sanjay</t>
  </si>
  <si>
    <t>sanjayn</t>
  </si>
  <si>
    <t>E023137</t>
  </si>
  <si>
    <t>Nguyễn Quang Vinh</t>
  </si>
  <si>
    <t>vinhnq1</t>
  </si>
  <si>
    <t>E023001</t>
  </si>
  <si>
    <t>huyenntt2</t>
  </si>
  <si>
    <t>E023183</t>
  </si>
  <si>
    <t>Nguyễn Minh Phượng</t>
  </si>
  <si>
    <t>phuongnm1</t>
  </si>
  <si>
    <t>E023265</t>
  </si>
  <si>
    <t>thuynt6</t>
  </si>
  <si>
    <t>E023375</t>
  </si>
  <si>
    <t>Trần Hương Ly</t>
  </si>
  <si>
    <t>lyth1</t>
  </si>
  <si>
    <t>E023647</t>
  </si>
  <si>
    <t>Nguyễn Hoài Nam</t>
  </si>
  <si>
    <t>namnh4</t>
  </si>
  <si>
    <t>E023730</t>
  </si>
  <si>
    <t>Lê Cảnh Cường</t>
  </si>
  <si>
    <t>cuonglc1</t>
  </si>
  <si>
    <t>E023865</t>
  </si>
  <si>
    <t>Nguyễn Đức Anh</t>
  </si>
  <si>
    <t>anhnd7</t>
  </si>
  <si>
    <t>E024190</t>
  </si>
  <si>
    <t>Đặng Thị Quỳnh</t>
  </si>
  <si>
    <t>quynhdt4</t>
  </si>
  <si>
    <t>E024240</t>
  </si>
  <si>
    <t>quynhnt8</t>
  </si>
  <si>
    <t>E013111</t>
  </si>
  <si>
    <t>Dương Quang Tánh</t>
  </si>
  <si>
    <t>tanhdq</t>
  </si>
  <si>
    <t>E014218</t>
  </si>
  <si>
    <t>Trương Thị Mỹ Hương</t>
  </si>
  <si>
    <t>huongttm1</t>
  </si>
  <si>
    <t>E014552</t>
  </si>
  <si>
    <t>Nguyễn Hồng Việt</t>
  </si>
  <si>
    <t>vietnh4</t>
  </si>
  <si>
    <t>E014562</t>
  </si>
  <si>
    <t>Đỗ Đăng Vũ Phong</t>
  </si>
  <si>
    <t>phongddv</t>
  </si>
  <si>
    <t>E014587</t>
  </si>
  <si>
    <t>Huỳnh Thị Kiều Như</t>
  </si>
  <si>
    <t>nhuhtk</t>
  </si>
  <si>
    <t>E014588</t>
  </si>
  <si>
    <t>Phạm Thị Thùy Trang</t>
  </si>
  <si>
    <t>trangptt8</t>
  </si>
  <si>
    <t>E014772</t>
  </si>
  <si>
    <t>Nguyễn Đình Mai Vi</t>
  </si>
  <si>
    <t>vindm</t>
  </si>
  <si>
    <t>E014843</t>
  </si>
  <si>
    <t>Bùi Viết Cường</t>
  </si>
  <si>
    <t>cuongbv3</t>
  </si>
  <si>
    <t>E014844</t>
  </si>
  <si>
    <t>Đặng Huỳnh Minh Thảo</t>
  </si>
  <si>
    <t>thaodhm</t>
  </si>
  <si>
    <t>E040011</t>
  </si>
  <si>
    <t>Võ Huỳnh Thanh Duyên</t>
  </si>
  <si>
    <t>duyenvht</t>
  </si>
  <si>
    <t>E050401</t>
  </si>
  <si>
    <t>Vũ Khoa Lam</t>
  </si>
  <si>
    <t>lamvk</t>
  </si>
  <si>
    <t>E040050</t>
  </si>
  <si>
    <t>Nguyễn Văn Vinh</t>
  </si>
  <si>
    <t>vinhnv</t>
  </si>
  <si>
    <t>E011216</t>
  </si>
  <si>
    <t>Dương Văn Triều</t>
  </si>
  <si>
    <t>trieudv1</t>
  </si>
  <si>
    <t>E014668</t>
  </si>
  <si>
    <t>Võ Hoàng Linh</t>
  </si>
  <si>
    <t>linhvh</t>
  </si>
  <si>
    <t>E022286</t>
  </si>
  <si>
    <t>Đinh Xuân Mạnh</t>
  </si>
  <si>
    <t>manhdx</t>
  </si>
  <si>
    <t>E022487</t>
  </si>
  <si>
    <t>Ngô Bình Dương</t>
  </si>
  <si>
    <t>duongnb1</t>
  </si>
  <si>
    <t>E022015</t>
  </si>
  <si>
    <t>Tô Ngọc Hiếu</t>
  </si>
  <si>
    <t>hieutn</t>
  </si>
  <si>
    <t>E024666</t>
  </si>
  <si>
    <t>Phạm Thu Thủy</t>
  </si>
  <si>
    <t>thuypt8</t>
  </si>
  <si>
    <t>E022779</t>
  </si>
  <si>
    <t>Phạm Thị Thanh Ngân</t>
  </si>
  <si>
    <t>nganptt</t>
  </si>
  <si>
    <t>E020119</t>
  </si>
  <si>
    <t>Trịnh Thị Quỳnh Trang</t>
  </si>
  <si>
    <t>trangttq</t>
  </si>
  <si>
    <t>E021229</t>
  </si>
  <si>
    <t>Mai Thị Vinh Hà</t>
  </si>
  <si>
    <t>hamtv</t>
  </si>
  <si>
    <t>E021254</t>
  </si>
  <si>
    <t>Đỗ Tuyết Nhung</t>
  </si>
  <si>
    <t>nhungdt1</t>
  </si>
  <si>
    <t>E023374</t>
  </si>
  <si>
    <t>Lê Thị Minh Duyên</t>
  </si>
  <si>
    <t>duyenltm1</t>
  </si>
  <si>
    <t>E023411</t>
  </si>
  <si>
    <t>Trần Thị Bình Minh</t>
  </si>
  <si>
    <t>minhttb</t>
  </si>
  <si>
    <t>E023484</t>
  </si>
  <si>
    <t>Phạm Thị Tuyết Mai</t>
  </si>
  <si>
    <t>maiptt</t>
  </si>
  <si>
    <t>E350234</t>
  </si>
  <si>
    <t>Nguyễn Ngọc Huyền</t>
  </si>
  <si>
    <t>huyennn</t>
  </si>
  <si>
    <t>E020113</t>
  </si>
  <si>
    <t>bichntn</t>
  </si>
  <si>
    <t>E021131</t>
  </si>
  <si>
    <t>Tô Thị Hải Linh</t>
  </si>
  <si>
    <t>linhtth</t>
  </si>
  <si>
    <t>E022585</t>
  </si>
  <si>
    <t>Lê Ngọc Huyền</t>
  </si>
  <si>
    <t>huyenln</t>
  </si>
  <si>
    <t>E013115</t>
  </si>
  <si>
    <t>Nguyễn Phan Đăng Khoa</t>
  </si>
  <si>
    <t>khoaphan</t>
  </si>
  <si>
    <t>E013136</t>
  </si>
  <si>
    <t>Võ Hoàng Oanh Vũ</t>
  </si>
  <si>
    <t>vuvho</t>
  </si>
  <si>
    <t>E013193</t>
  </si>
  <si>
    <t>Lê Phú Thông</t>
  </si>
  <si>
    <t>thonglp</t>
  </si>
  <si>
    <t>E014165</t>
  </si>
  <si>
    <t>Nguyễn Tấn Đức</t>
  </si>
  <si>
    <t>ducnt3</t>
  </si>
  <si>
    <t>E014559</t>
  </si>
  <si>
    <t>Nguyễn Lê Thịnh</t>
  </si>
  <si>
    <t>thinhnl1</t>
  </si>
  <si>
    <t>E040021</t>
  </si>
  <si>
    <t>Nguyễn Hoàng Minh</t>
  </si>
  <si>
    <t>minhnh</t>
  </si>
  <si>
    <t>E040106</t>
  </si>
  <si>
    <t>Hồ Văn Hưng</t>
  </si>
  <si>
    <t>hunghv1</t>
  </si>
  <si>
    <t>E010205</t>
  </si>
  <si>
    <t>Bùi Minh Luân</t>
  </si>
  <si>
    <t>luanbm</t>
  </si>
  <si>
    <t>E010525</t>
  </si>
  <si>
    <t>Bùi Quốc Việt</t>
  </si>
  <si>
    <t>vietbq</t>
  </si>
  <si>
    <t>E010969</t>
  </si>
  <si>
    <t>tungpham</t>
  </si>
  <si>
    <t>E010547</t>
  </si>
  <si>
    <t>Nguyễn Minh Tùng</t>
  </si>
  <si>
    <t>tungnm</t>
  </si>
  <si>
    <t>E010552</t>
  </si>
  <si>
    <t>Nguyễn Xuân Long</t>
  </si>
  <si>
    <t>longnx</t>
  </si>
  <si>
    <t>E010597</t>
  </si>
  <si>
    <t>Võ Nguyễn Phương Uyên</t>
  </si>
  <si>
    <t>uyenvnp</t>
  </si>
  <si>
    <t>E011308</t>
  </si>
  <si>
    <t>Tống Thị Hồng Lượng</t>
  </si>
  <si>
    <t>luongtth</t>
  </si>
  <si>
    <t>E013557</t>
  </si>
  <si>
    <t>Lê Thu Hoàng</t>
  </si>
  <si>
    <t>hoangle</t>
  </si>
  <si>
    <t>E013748</t>
  </si>
  <si>
    <t>Mai Ngọc Ái</t>
  </si>
  <si>
    <t>aimn</t>
  </si>
  <si>
    <t>E014040</t>
  </si>
  <si>
    <t>Vũ Thúy Quỳnh Vy</t>
  </si>
  <si>
    <t>vyvtq</t>
  </si>
  <si>
    <t>E024510</t>
  </si>
  <si>
    <t>phuoclh2</t>
  </si>
  <si>
    <t>E024543</t>
  </si>
  <si>
    <t>Hoàng Nguyên Minh</t>
  </si>
  <si>
    <t>minhhn</t>
  </si>
  <si>
    <t>E024550</t>
  </si>
  <si>
    <t>tungnm8</t>
  </si>
  <si>
    <t>E024576</t>
  </si>
  <si>
    <t>Nguyễn Xuân Nam</t>
  </si>
  <si>
    <t>namnx1</t>
  </si>
  <si>
    <t>E024586</t>
  </si>
  <si>
    <t>Trương Văn Khánh</t>
  </si>
  <si>
    <t>khanhtv2</t>
  </si>
  <si>
    <t>E024601</t>
  </si>
  <si>
    <t>Nguyễn Thị Hương Thúy</t>
  </si>
  <si>
    <t>thuynth1</t>
  </si>
  <si>
    <t>E024636</t>
  </si>
  <si>
    <t>Bùi Văn Chương</t>
  </si>
  <si>
    <t>chuongbv1</t>
  </si>
  <si>
    <t>E024637</t>
  </si>
  <si>
    <t>Trương Dương Mậu</t>
  </si>
  <si>
    <t>mautd</t>
  </si>
  <si>
    <t>E024645</t>
  </si>
  <si>
    <t>Phạm Ngọc Vinh</t>
  </si>
  <si>
    <t>vinhpn</t>
  </si>
  <si>
    <t>E024671</t>
  </si>
  <si>
    <t>Trần Thị Hoàng Thư</t>
  </si>
  <si>
    <t>thutth1</t>
  </si>
  <si>
    <t>E330020</t>
  </si>
  <si>
    <t>Trần Thị Thu Quỳnh</t>
  </si>
  <si>
    <t>quynhttt2</t>
  </si>
  <si>
    <t>E350115</t>
  </si>
  <si>
    <t>Đỗ Thị Quyên</t>
  </si>
  <si>
    <t>QUYENDT</t>
  </si>
  <si>
    <t>E022545</t>
  </si>
  <si>
    <t>Triệu Quang Vũ</t>
  </si>
  <si>
    <t>vutrieu</t>
  </si>
  <si>
    <t>E022665</t>
  </si>
  <si>
    <t>Nguyễn Trọng Huyên</t>
  </si>
  <si>
    <t>huyennt1</t>
  </si>
  <si>
    <t>E023638</t>
  </si>
  <si>
    <t>Lê Bá Ngọc</t>
  </si>
  <si>
    <t>ngoclb1</t>
  </si>
  <si>
    <t>E014322</t>
  </si>
  <si>
    <t>Hoàng Thị Thu Hiền</t>
  </si>
  <si>
    <t>hienhtt2</t>
  </si>
  <si>
    <t>E014327</t>
  </si>
  <si>
    <t>Nguyễn Hồng Minh Khuyên</t>
  </si>
  <si>
    <t>khuyennhm</t>
  </si>
  <si>
    <t>E010009</t>
  </si>
  <si>
    <t>Nguyễn Công Anh</t>
  </si>
  <si>
    <t>anhnc</t>
  </si>
  <si>
    <t>E010110</t>
  </si>
  <si>
    <t>Trần Thị Thu Hiền</t>
  </si>
  <si>
    <t>thuhien</t>
  </si>
  <si>
    <t>E010194</t>
  </si>
  <si>
    <t>Đặng Tuý Loan</t>
  </si>
  <si>
    <t>loandt</t>
  </si>
  <si>
    <t>E010602</t>
  </si>
  <si>
    <t>Trần Hồng Nghiệm</t>
  </si>
  <si>
    <t>nghiemth</t>
  </si>
  <si>
    <t>E010707</t>
  </si>
  <si>
    <t>Nguyễn Hoàng Chương</t>
  </si>
  <si>
    <t>chuongnguyen</t>
  </si>
  <si>
    <t>E011323</t>
  </si>
  <si>
    <t>Ngô Thị Huyền Trang</t>
  </si>
  <si>
    <t>huyentrang</t>
  </si>
  <si>
    <t>E011360</t>
  </si>
  <si>
    <t>Hà Thị Lệ Hồng</t>
  </si>
  <si>
    <t>honghtl</t>
  </si>
  <si>
    <t>E012855</t>
  </si>
  <si>
    <t>Hoàng Thị Bích Hằng</t>
  </si>
  <si>
    <t>hanghtb</t>
  </si>
  <si>
    <t>E013562</t>
  </si>
  <si>
    <t>Võ Nguyễn Phương Linh</t>
  </si>
  <si>
    <t>linhvnp</t>
  </si>
  <si>
    <t>E014136</t>
  </si>
  <si>
    <t>Phan Nguyễn Minh Tâm</t>
  </si>
  <si>
    <t>tampnm</t>
  </si>
  <si>
    <t>E010008</t>
  </si>
  <si>
    <t>Lưu Thị Quỳnh Anh</t>
  </si>
  <si>
    <t>anhltq</t>
  </si>
  <si>
    <t>E010094</t>
  </si>
  <si>
    <t>Nguyễn Thị Xuân Hằng</t>
  </si>
  <si>
    <t>hangntx</t>
  </si>
  <si>
    <t>E010748</t>
  </si>
  <si>
    <t>Lâm Tăng Bảo</t>
  </si>
  <si>
    <t>baolt</t>
  </si>
  <si>
    <t>E013556</t>
  </si>
  <si>
    <t>Nguyễn Trọng Tâm</t>
  </si>
  <si>
    <t>trongtam</t>
  </si>
  <si>
    <t>E014298</t>
  </si>
  <si>
    <t>Nguyễn Thị Thùy Liên</t>
  </si>
  <si>
    <t>lienntt1</t>
  </si>
  <si>
    <t>E023371</t>
  </si>
  <si>
    <t>trangntt5</t>
  </si>
  <si>
    <t>E023399</t>
  </si>
  <si>
    <t>liennp</t>
  </si>
  <si>
    <t>E024127</t>
  </si>
  <si>
    <t>An Đức Kiên</t>
  </si>
  <si>
    <t>kienad</t>
  </si>
  <si>
    <t>E022973</t>
  </si>
  <si>
    <t>Chu Thị Hạnh</t>
  </si>
  <si>
    <t>hanhct</t>
  </si>
  <si>
    <t>E023159</t>
  </si>
  <si>
    <t>Lê Thúy Ngân</t>
  </si>
  <si>
    <t>nganlt1</t>
  </si>
  <si>
    <t>E023928</t>
  </si>
  <si>
    <t>Nguyễn Duy Chiến</t>
  </si>
  <si>
    <t>chiennd</t>
  </si>
  <si>
    <t>E024572</t>
  </si>
  <si>
    <t>tunt3</t>
  </si>
  <si>
    <t>E024566</t>
  </si>
  <si>
    <t>Nguyễn Huy Thành</t>
  </si>
  <si>
    <t>thanhnh6</t>
  </si>
  <si>
    <t>E020760</t>
  </si>
  <si>
    <t>Lê Huyền Trang</t>
  </si>
  <si>
    <t>tranglh1</t>
  </si>
  <si>
    <t>E023947</t>
  </si>
  <si>
    <t>Phạm Khánh Vân</t>
  </si>
  <si>
    <t>vanpk1</t>
  </si>
  <si>
    <t>E350166</t>
  </si>
  <si>
    <t>Vũ Thị Gấm</t>
  </si>
  <si>
    <t>GAMVT</t>
  </si>
  <si>
    <t>E350167</t>
  </si>
  <si>
    <t>Lưu Hồng Quân</t>
  </si>
  <si>
    <t>QUANLH3</t>
  </si>
  <si>
    <t>E350162</t>
  </si>
  <si>
    <t>Nguyễn Quyết Thắng</t>
  </si>
  <si>
    <t>THANGNQ1</t>
  </si>
  <si>
    <t>E350163</t>
  </si>
  <si>
    <t>Lê Tiến Mạnh</t>
  </si>
  <si>
    <t>MANHLT</t>
  </si>
  <si>
    <t>E350164</t>
  </si>
  <si>
    <t>THUYTT20</t>
  </si>
  <si>
    <t>E010022</t>
  </si>
  <si>
    <t>Nguyễn Thị Mai Bình</t>
  </si>
  <si>
    <t>binhntm</t>
  </si>
  <si>
    <t>E010363</t>
  </si>
  <si>
    <t>Nguyễn Thị Hoài Thương</t>
  </si>
  <si>
    <t>thuongnth</t>
  </si>
  <si>
    <t>E011830</t>
  </si>
  <si>
    <t>Vũ Hoàng Tuấn</t>
  </si>
  <si>
    <t>tuanvh</t>
  </si>
  <si>
    <t>E014459</t>
  </si>
  <si>
    <t>Vũ Thị Minh Tâm</t>
  </si>
  <si>
    <t>tamvtm</t>
  </si>
  <si>
    <t>E013954</t>
  </si>
  <si>
    <t>Phạm Nguyễn Thiên Ân</t>
  </si>
  <si>
    <t>anpnt</t>
  </si>
  <si>
    <t>E014505</t>
  </si>
  <si>
    <t>Nguyễn Thị Ngọc Quỳnh</t>
  </si>
  <si>
    <t>quynhntn3</t>
  </si>
  <si>
    <t>E014760</t>
  </si>
  <si>
    <t>Huỳnh Thị Ngọc Hạnh</t>
  </si>
  <si>
    <t>hanhhtn3</t>
  </si>
  <si>
    <t>E030242</t>
  </si>
  <si>
    <t>Phan Ngọc Diễm</t>
  </si>
  <si>
    <t>diempn</t>
  </si>
  <si>
    <t>E010178</t>
  </si>
  <si>
    <t>Lê Thị Lẹ</t>
  </si>
  <si>
    <t>lelt</t>
  </si>
  <si>
    <t>E010883</t>
  </si>
  <si>
    <t>Nguyễn Thị Thanh Phương</t>
  </si>
  <si>
    <t>phuongntt1</t>
  </si>
  <si>
    <t>E012025</t>
  </si>
  <si>
    <t>Trần Thị Kim Tuyến</t>
  </si>
  <si>
    <t>tuyenttk1</t>
  </si>
  <si>
    <t>E012415</t>
  </si>
  <si>
    <t>Hoàng Ngọc Thọ</t>
  </si>
  <si>
    <t>thohn</t>
  </si>
  <si>
    <t>E012694</t>
  </si>
  <si>
    <t>Phạm Thị Thanh Nga</t>
  </si>
  <si>
    <t>pttnga</t>
  </si>
  <si>
    <t>E013026</t>
  </si>
  <si>
    <t>Lê Thị Hồng Lý</t>
  </si>
  <si>
    <t>lylth</t>
  </si>
  <si>
    <t>E013350</t>
  </si>
  <si>
    <t>Hoàng Công Tiến</t>
  </si>
  <si>
    <t>tienhc</t>
  </si>
  <si>
    <t>E020602</t>
  </si>
  <si>
    <t>Đào Thị Ngọc Linh</t>
  </si>
  <si>
    <t>linhdtn</t>
  </si>
  <si>
    <t>E011399</t>
  </si>
  <si>
    <t>Lê Mạnh Hùng</t>
  </si>
  <si>
    <t>hunglm</t>
  </si>
  <si>
    <t>E040051</t>
  </si>
  <si>
    <t>Nguyễn Phước Vĩnh</t>
  </si>
  <si>
    <t>vinhnp</t>
  </si>
  <si>
    <t>E040194</t>
  </si>
  <si>
    <t>Hồ Cảnh Phong</t>
  </si>
  <si>
    <t>phonghc</t>
  </si>
  <si>
    <t>E040339</t>
  </si>
  <si>
    <t>Phạm Thị Ngọc Ánh</t>
  </si>
  <si>
    <t>phamthingocanh</t>
  </si>
  <si>
    <t>E021996</t>
  </si>
  <si>
    <t>Trịnh Thị Thu Hà</t>
  </si>
  <si>
    <t>hattt2</t>
  </si>
  <si>
    <t>E150132</t>
  </si>
  <si>
    <t>Đào Thị Doan</t>
  </si>
  <si>
    <t>doandt1</t>
  </si>
  <si>
    <t>E120128</t>
  </si>
  <si>
    <t>Nguyễn Thị Ngọc Ánh</t>
  </si>
  <si>
    <t>anh.ntn</t>
  </si>
  <si>
    <t>E010050</t>
  </si>
  <si>
    <t>Nguyễn Thị Mẫn Đào</t>
  </si>
  <si>
    <t>daontm</t>
  </si>
  <si>
    <t>E010492</t>
  </si>
  <si>
    <t>Hồ Thị Lan Phương</t>
  </si>
  <si>
    <t>phuonghtl</t>
  </si>
  <si>
    <t>E010980</t>
  </si>
  <si>
    <t>Nguyễn Thị Hồng Trinh</t>
  </si>
  <si>
    <t>trinhnth</t>
  </si>
  <si>
    <t>E011386</t>
  </si>
  <si>
    <t>Hoàng Trần Thức</t>
  </si>
  <si>
    <t>thucht1</t>
  </si>
  <si>
    <t>E011595</t>
  </si>
  <si>
    <t>nguyenthuhuong</t>
  </si>
  <si>
    <t>E011997</t>
  </si>
  <si>
    <t>Phạm Thị Thanh Ngọc</t>
  </si>
  <si>
    <t>pttngoc</t>
  </si>
  <si>
    <t>E013189</t>
  </si>
  <si>
    <t>Võ Thị Hồng Minh</t>
  </si>
  <si>
    <t>minhvth</t>
  </si>
  <si>
    <t>E010652</t>
  </si>
  <si>
    <t>Huỳnh Thị Diệu</t>
  </si>
  <si>
    <t>dieuht</t>
  </si>
  <si>
    <t>E010794</t>
  </si>
  <si>
    <t>Đặng Quốc Danh</t>
  </si>
  <si>
    <t>danhdq</t>
  </si>
  <si>
    <t>E010892</t>
  </si>
  <si>
    <t>Trần Thị Hoàng Anh</t>
  </si>
  <si>
    <t>anhtth</t>
  </si>
  <si>
    <t>E010968</t>
  </si>
  <si>
    <t>Nguyễn Minh Bình Phương</t>
  </si>
  <si>
    <t>phuongnmb</t>
  </si>
  <si>
    <t>E011138</t>
  </si>
  <si>
    <t>Hoàng Thị Ngọc Duyên</t>
  </si>
  <si>
    <t>duyenhtn</t>
  </si>
  <si>
    <t>E012282</t>
  </si>
  <si>
    <t>Kiều Thị Mỹ Trinh</t>
  </si>
  <si>
    <t>trinhktm</t>
  </si>
  <si>
    <t>E012835</t>
  </si>
  <si>
    <t>Ma Kiên Khánh</t>
  </si>
  <si>
    <t>khanhma</t>
  </si>
  <si>
    <t>E012847</t>
  </si>
  <si>
    <t>Lưu Thị Ngọc Sen</t>
  </si>
  <si>
    <t>senltn</t>
  </si>
  <si>
    <t>E012924</t>
  </si>
  <si>
    <t>Phạm Văn Vĩnh Phương</t>
  </si>
  <si>
    <t>phuongpvv1</t>
  </si>
  <si>
    <t>E013868</t>
  </si>
  <si>
    <t>Lê Thị Tâm</t>
  </si>
  <si>
    <t>tamlt1</t>
  </si>
  <si>
    <t>E014101</t>
  </si>
  <si>
    <t>Ngô Thị Xuân Đào</t>
  </si>
  <si>
    <t>daontx</t>
  </si>
  <si>
    <t>E014356</t>
  </si>
  <si>
    <t>Nguyễn Cao Kỳ Duyên</t>
  </si>
  <si>
    <t>duyennck</t>
  </si>
  <si>
    <t>E014531</t>
  </si>
  <si>
    <t>Nguyễn Thị Ngọc Trâm</t>
  </si>
  <si>
    <t>tramntn</t>
  </si>
  <si>
    <t>E014732</t>
  </si>
  <si>
    <t>anhntv11</t>
  </si>
  <si>
    <t>E014828</t>
  </si>
  <si>
    <t>Nguyễn Chánh Tín</t>
  </si>
  <si>
    <t>tinnc2</t>
  </si>
  <si>
    <t>E130175</t>
  </si>
  <si>
    <t>Ngô Thị Bích</t>
  </si>
  <si>
    <t>bichnt1</t>
  </si>
  <si>
    <t>E350212</t>
  </si>
  <si>
    <t>Lê Thị Ngọc Thơ</t>
  </si>
  <si>
    <t>tholtn</t>
  </si>
  <si>
    <t>E023941</t>
  </si>
  <si>
    <t>Nguyễn Thu Hiền</t>
  </si>
  <si>
    <t>hiennt5</t>
  </si>
  <si>
    <t>E023942</t>
  </si>
  <si>
    <t>Dương Quốc Vương</t>
  </si>
  <si>
    <t>vuongdq</t>
  </si>
  <si>
    <t>E023943</t>
  </si>
  <si>
    <t>Trần Văn Lộc</t>
  </si>
  <si>
    <t>loctv1</t>
  </si>
  <si>
    <t>E023948</t>
  </si>
  <si>
    <t>Nguyễn Văn Hưởng</t>
  </si>
  <si>
    <t>huongnv</t>
  </si>
  <si>
    <t>E023954</t>
  </si>
  <si>
    <t>Nguyễn Danh Nghĩa</t>
  </si>
  <si>
    <t>nghiand1</t>
  </si>
  <si>
    <t>E023959</t>
  </si>
  <si>
    <t>Nguyễn Đức Quang</t>
  </si>
  <si>
    <t>QUANGND</t>
  </si>
  <si>
    <t>E023961</t>
  </si>
  <si>
    <t>Trương Diệu Linh</t>
  </si>
  <si>
    <t>linhtd2</t>
  </si>
  <si>
    <t>E023962</t>
  </si>
  <si>
    <t>huongvt3</t>
  </si>
  <si>
    <t>E023963</t>
  </si>
  <si>
    <t>Phạm Thanh Đạt</t>
  </si>
  <si>
    <t>datpt4</t>
  </si>
  <si>
    <t>E023964</t>
  </si>
  <si>
    <t>Nguyễn Trọng Hưng</t>
  </si>
  <si>
    <t>hungnt2</t>
  </si>
  <si>
    <t>E023967</t>
  </si>
  <si>
    <t>Chu Ngọc Thủy</t>
  </si>
  <si>
    <t>thuycn</t>
  </si>
  <si>
    <t>E023975</t>
  </si>
  <si>
    <t>anhnt30</t>
  </si>
  <si>
    <t>E023978</t>
  </si>
  <si>
    <t>Nguyễn Thị Khánh Dương</t>
  </si>
  <si>
    <t>duongntk</t>
  </si>
  <si>
    <t>E023979</t>
  </si>
  <si>
    <t>Ngọ Việt Hoàng</t>
  </si>
  <si>
    <t>hoangnv3</t>
  </si>
  <si>
    <t>E022677</t>
  </si>
  <si>
    <t>phuongvtm1</t>
  </si>
  <si>
    <t>E022787</t>
  </si>
  <si>
    <t>Hoàng Thị Bé</t>
  </si>
  <si>
    <t>beht</t>
  </si>
  <si>
    <t>E023754</t>
  </si>
  <si>
    <t>Vũ Thị Diễm Quỳnh</t>
  </si>
  <si>
    <t>quynhvtd</t>
  </si>
  <si>
    <t>E024512</t>
  </si>
  <si>
    <t>Phan Thu Hiền</t>
  </si>
  <si>
    <t>hienpt11</t>
  </si>
  <si>
    <t>E014245</t>
  </si>
  <si>
    <t>Võ Thị Minh Hiếu</t>
  </si>
  <si>
    <t>hieuvtm</t>
  </si>
  <si>
    <t>E014427</t>
  </si>
  <si>
    <t>Nguyễn Ngọc Quỳnh Hương</t>
  </si>
  <si>
    <t>huongnnq</t>
  </si>
  <si>
    <t>E014853</t>
  </si>
  <si>
    <t>Nguyễn Hoàng An</t>
  </si>
  <si>
    <t>annh5</t>
  </si>
  <si>
    <t>E050195</t>
  </si>
  <si>
    <t>thanhtoan</t>
  </si>
  <si>
    <t>E200131</t>
  </si>
  <si>
    <t>Trần Thị Ngọc Trâm</t>
  </si>
  <si>
    <t>tramttn</t>
  </si>
  <si>
    <t>E200165</t>
  </si>
  <si>
    <t>Nguyễn Trung Trực</t>
  </si>
  <si>
    <t>trucnguyen</t>
  </si>
  <si>
    <t>E200224</t>
  </si>
  <si>
    <t>Lê Thị Kiều Trinh</t>
  </si>
  <si>
    <t>trinhle</t>
  </si>
  <si>
    <t>E200267</t>
  </si>
  <si>
    <t>Hoàng Xuân Tùng</t>
  </si>
  <si>
    <t>hxtung</t>
  </si>
  <si>
    <t>E200273</t>
  </si>
  <si>
    <t>Nguyễn Văn Ngân</t>
  </si>
  <si>
    <t>ngannv</t>
  </si>
  <si>
    <t>E200296</t>
  </si>
  <si>
    <t>Lê Thị Thư Hồng</t>
  </si>
  <si>
    <t>hongle</t>
  </si>
  <si>
    <t>E014020</t>
  </si>
  <si>
    <t>Hoàng Thị Mỹ Dung</t>
  </si>
  <si>
    <t>dunghtm</t>
  </si>
  <si>
    <t>E014021</t>
  </si>
  <si>
    <t>Lâm Thị Tường Vân</t>
  </si>
  <si>
    <t>vanltt1</t>
  </si>
  <si>
    <t>E014035</t>
  </si>
  <si>
    <t>Lê Thị Mai Trinh</t>
  </si>
  <si>
    <t>trinhltm</t>
  </si>
  <si>
    <t>E130220</t>
  </si>
  <si>
    <t>Lê Vân Hà</t>
  </si>
  <si>
    <t>halv</t>
  </si>
  <si>
    <t>E170025</t>
  </si>
  <si>
    <t>Trần Thị Huế</t>
  </si>
  <si>
    <t>huetran</t>
  </si>
  <si>
    <t>E350215</t>
  </si>
  <si>
    <t>Nguyễn Văn Đạo</t>
  </si>
  <si>
    <t>daonv</t>
  </si>
  <si>
    <t>E100090</t>
  </si>
  <si>
    <t>Nguyễn Quang Toàn</t>
  </si>
  <si>
    <t>toannq</t>
  </si>
  <si>
    <t>E100251</t>
  </si>
  <si>
    <t>Phạm Thị Minh Nguyệt</t>
  </si>
  <si>
    <t>nguyetptm</t>
  </si>
  <si>
    <t>E100100</t>
  </si>
  <si>
    <t>Nguyễn Thúy Ngọc</t>
  </si>
  <si>
    <t>thuyngoc</t>
  </si>
  <si>
    <t>E100203</t>
  </si>
  <si>
    <t>Hoàng Thị Phương Thảo</t>
  </si>
  <si>
    <t>thaohtp</t>
  </si>
  <si>
    <t>E100254</t>
  </si>
  <si>
    <t>Nguyễn Thị Thái Hà</t>
  </si>
  <si>
    <t>hantt18</t>
  </si>
  <si>
    <t>E100256</t>
  </si>
  <si>
    <t>trangvtq5</t>
  </si>
  <si>
    <t>E100257</t>
  </si>
  <si>
    <t>Khúc Hà Phương</t>
  </si>
  <si>
    <t>phuongkh</t>
  </si>
  <si>
    <t>E100255</t>
  </si>
  <si>
    <t>quannm5</t>
  </si>
  <si>
    <t>E024234</t>
  </si>
  <si>
    <t>Lê Trí Trung</t>
  </si>
  <si>
    <t>trunglt3</t>
  </si>
  <si>
    <t>E170167</t>
  </si>
  <si>
    <t>thanhnt3</t>
  </si>
  <si>
    <t>E170180</t>
  </si>
  <si>
    <t>Nguyễn Văn Công</t>
  </si>
  <si>
    <t>congnv2</t>
  </si>
  <si>
    <t>E170090</t>
  </si>
  <si>
    <t>Kiều Thị Đào</t>
  </si>
  <si>
    <t>daokt</t>
  </si>
  <si>
    <t>E170163</t>
  </si>
  <si>
    <t>Nguyễn Thị Mai</t>
  </si>
  <si>
    <t>maint4</t>
  </si>
  <si>
    <t>E170169</t>
  </si>
  <si>
    <t>Lê Thị Huệ</t>
  </si>
  <si>
    <t>huelt1</t>
  </si>
  <si>
    <t>E170022</t>
  </si>
  <si>
    <t>Nguyễn Văn Dương</t>
  </si>
  <si>
    <t>duongnv</t>
  </si>
  <si>
    <t>E023560</t>
  </si>
  <si>
    <t>Nguyễn Văn Sơn</t>
  </si>
  <si>
    <t>sonnv1</t>
  </si>
  <si>
    <t>E023990</t>
  </si>
  <si>
    <t>Trần Văn Thuật</t>
  </si>
  <si>
    <t>thuattv</t>
  </si>
  <si>
    <t>E040354</t>
  </si>
  <si>
    <t>Trần Xuân Phong</t>
  </si>
  <si>
    <t>phongtx</t>
  </si>
  <si>
    <t>E100128</t>
  </si>
  <si>
    <t>Vũ Minh Chiến</t>
  </si>
  <si>
    <t>chienvm</t>
  </si>
  <si>
    <t>E110140</t>
  </si>
  <si>
    <t>Vũ Thanh Bình</t>
  </si>
  <si>
    <t>vtbinh</t>
  </si>
  <si>
    <t>E110144</t>
  </si>
  <si>
    <t>Đỗ Thành Đạt</t>
  </si>
  <si>
    <t>datdo</t>
  </si>
  <si>
    <t>E140024</t>
  </si>
  <si>
    <t>Hoàng Anh</t>
  </si>
  <si>
    <t>anhh</t>
  </si>
  <si>
    <t>E190081</t>
  </si>
  <si>
    <t>Lê Đức Minh</t>
  </si>
  <si>
    <t>leminh</t>
  </si>
  <si>
    <t>E210146</t>
  </si>
  <si>
    <t>Nguyễn Ngọc Hậu</t>
  </si>
  <si>
    <t>haunn</t>
  </si>
  <si>
    <t>E350156</t>
  </si>
  <si>
    <t>Trịnh Thị Thúy Hà</t>
  </si>
  <si>
    <t>HATTT11</t>
  </si>
  <si>
    <t>E350157</t>
  </si>
  <si>
    <t>THANHVT4</t>
  </si>
  <si>
    <t>E350158</t>
  </si>
  <si>
    <t>Tạ Thị Hương Trang</t>
  </si>
  <si>
    <t>TRANGTTH12</t>
  </si>
  <si>
    <t>E030124</t>
  </si>
  <si>
    <t>nthvan</t>
  </si>
  <si>
    <t>E030168</t>
  </si>
  <si>
    <t>Trương Ngọc Sơn</t>
  </si>
  <si>
    <t>sontn</t>
  </si>
  <si>
    <t>E070044</t>
  </si>
  <si>
    <t>Trương Định Khánh</t>
  </si>
  <si>
    <t>khanhtd</t>
  </si>
  <si>
    <t>E070081</t>
  </si>
  <si>
    <t>Phan Tín Nhiệm</t>
  </si>
  <si>
    <t>nhiempt</t>
  </si>
  <si>
    <t>E070014</t>
  </si>
  <si>
    <t>Trịnh Mỹ Phương</t>
  </si>
  <si>
    <t>phuongtm</t>
  </si>
  <si>
    <t>E070059</t>
  </si>
  <si>
    <t>Nghê Thị Mỹ Hạnh</t>
  </si>
  <si>
    <t>hanhnghe</t>
  </si>
  <si>
    <t>E070071</t>
  </si>
  <si>
    <t>Trương Yến Nhi</t>
  </si>
  <si>
    <t>nhity1</t>
  </si>
  <si>
    <t>E070083</t>
  </si>
  <si>
    <t>Nguyễn Thị Nhã Vy</t>
  </si>
  <si>
    <t>vyntn</t>
  </si>
  <si>
    <t>E070084</t>
  </si>
  <si>
    <t>Trương Quán Thư</t>
  </si>
  <si>
    <t>thutq2</t>
  </si>
  <si>
    <t>E070075</t>
  </si>
  <si>
    <t>Dương Cẩm Tiên</t>
  </si>
  <si>
    <t>tiendc</t>
  </si>
  <si>
    <t>E130211</t>
  </si>
  <si>
    <t>Hoàng Minh Phương</t>
  </si>
  <si>
    <t>phuonghm2</t>
  </si>
  <si>
    <t>E130017</t>
  </si>
  <si>
    <t>Tôn Thiện Bích Ngọc</t>
  </si>
  <si>
    <t>ngocttb</t>
  </si>
  <si>
    <t>E130049</t>
  </si>
  <si>
    <t>Nguyễn Văn Kỳ</t>
  </si>
  <si>
    <t>kynv</t>
  </si>
  <si>
    <t>E130089</t>
  </si>
  <si>
    <t>Nguyễn Văn Toàn</t>
  </si>
  <si>
    <t>toannguyen</t>
  </si>
  <si>
    <t>E130004</t>
  </si>
  <si>
    <t>Dương Xuân Quý</t>
  </si>
  <si>
    <t>quydx</t>
  </si>
  <si>
    <t>E130037</t>
  </si>
  <si>
    <t>Lại Thị Bắc</t>
  </si>
  <si>
    <t>baclt</t>
  </si>
  <si>
    <t>E130143</t>
  </si>
  <si>
    <t>Nguyễn Chí Hiếu</t>
  </si>
  <si>
    <t>nguyenchihieu</t>
  </si>
  <si>
    <t>E130147</t>
  </si>
  <si>
    <t>Lê Đăng Công Thành</t>
  </si>
  <si>
    <t>thanhldc</t>
  </si>
  <si>
    <t>E110113</t>
  </si>
  <si>
    <t>Nguyễn Thị Huế</t>
  </si>
  <si>
    <t>huethi</t>
  </si>
  <si>
    <t>E012691</t>
  </si>
  <si>
    <t>Nguyễn Hoàng Phúc</t>
  </si>
  <si>
    <t>phucnh1</t>
  </si>
  <si>
    <t>E013482</t>
  </si>
  <si>
    <t>Đặng Thị Thu Thảo</t>
  </si>
  <si>
    <t>dangthao</t>
  </si>
  <si>
    <t>E013626</t>
  </si>
  <si>
    <t>Hồ Thị Ngọc Diễm</t>
  </si>
  <si>
    <t>diemhtn</t>
  </si>
  <si>
    <t>E014036</t>
  </si>
  <si>
    <t>Mai Ngọc Linh</t>
  </si>
  <si>
    <t>linhmn</t>
  </si>
  <si>
    <t>E014115</t>
  </si>
  <si>
    <t>anhntq2</t>
  </si>
  <si>
    <t>E014234</t>
  </si>
  <si>
    <t>phuongnt9</t>
  </si>
  <si>
    <t>E013583</t>
  </si>
  <si>
    <t>Nguyễn Thị Ngọc Kiều</t>
  </si>
  <si>
    <t>kieuntn</t>
  </si>
  <si>
    <t>E013744</t>
  </si>
  <si>
    <t>Thái Thị Cúc</t>
  </si>
  <si>
    <t>cuctt</t>
  </si>
  <si>
    <t>E014025</t>
  </si>
  <si>
    <t>Nguyễn Trương Yến Nhi</t>
  </si>
  <si>
    <t>nhinty1</t>
  </si>
  <si>
    <t>E050159</t>
  </si>
  <si>
    <t>Lý Thùy Trang</t>
  </si>
  <si>
    <t>tranglt</t>
  </si>
  <si>
    <t>E010478</t>
  </si>
  <si>
    <t>Quách Hải Hà</t>
  </si>
  <si>
    <t>haqh</t>
  </si>
  <si>
    <t>E011623</t>
  </si>
  <si>
    <t>Lê Vĩnh Sơn</t>
  </si>
  <si>
    <t>sonlv</t>
  </si>
  <si>
    <t>E013576</t>
  </si>
  <si>
    <t>Vũ Thảo Phương</t>
  </si>
  <si>
    <t>vuphuong</t>
  </si>
  <si>
    <t>E014596</t>
  </si>
  <si>
    <t>Trần Minh Từng</t>
  </si>
  <si>
    <t>tungtm2</t>
  </si>
  <si>
    <t>E021213</t>
  </si>
  <si>
    <t>Phạm Thị Nga</t>
  </si>
  <si>
    <t>ngapham</t>
  </si>
  <si>
    <t>E010331</t>
  </si>
  <si>
    <t>Võ Thị Quế Thanh</t>
  </si>
  <si>
    <t>thanhvtq</t>
  </si>
  <si>
    <t>E010790</t>
  </si>
  <si>
    <t>Nguyễn Thị Châu Long</t>
  </si>
  <si>
    <t>longntc</t>
  </si>
  <si>
    <t>E012060</t>
  </si>
  <si>
    <t>Trần Quang Tín</t>
  </si>
  <si>
    <t>tintq</t>
  </si>
  <si>
    <t>E011235</t>
  </si>
  <si>
    <t>Vũ Thụy Mai</t>
  </si>
  <si>
    <t>maivt</t>
  </si>
  <si>
    <t>E011977</t>
  </si>
  <si>
    <t>Lê Thị Kim Thanh</t>
  </si>
  <si>
    <t>thanhltk</t>
  </si>
  <si>
    <t>E012029</t>
  </si>
  <si>
    <t>ntnmai</t>
  </si>
  <si>
    <t>E012684</t>
  </si>
  <si>
    <t>Cao Thị Diễm Ngọc</t>
  </si>
  <si>
    <t>ngocctd</t>
  </si>
  <si>
    <t>E012963</t>
  </si>
  <si>
    <t>Nguyễn Mai Chi</t>
  </si>
  <si>
    <t>chimai</t>
  </si>
  <si>
    <t>E013641</t>
  </si>
  <si>
    <t>Lê Mai Vân</t>
  </si>
  <si>
    <t>vanlm</t>
  </si>
  <si>
    <t>E013648</t>
  </si>
  <si>
    <t>Hoàng Ngọc Giang</t>
  </si>
  <si>
    <t>gianghn</t>
  </si>
  <si>
    <t>E014733</t>
  </si>
  <si>
    <t>Võ Nguyễn Thanh Nhiên</t>
  </si>
  <si>
    <t>nhienvnt</t>
  </si>
  <si>
    <t>E014804</t>
  </si>
  <si>
    <t>Nguyễn Hoàng Minh Trâm</t>
  </si>
  <si>
    <t>tramnhm</t>
  </si>
  <si>
    <t>E014837</t>
  </si>
  <si>
    <t>Hồ Thị Thuận An</t>
  </si>
  <si>
    <t>anhtt14</t>
  </si>
  <si>
    <t>E350104</t>
  </si>
  <si>
    <t>Trần Như Tình</t>
  </si>
  <si>
    <t>tinhtn</t>
  </si>
  <si>
    <t>E012180</t>
  </si>
  <si>
    <t>quannguyen</t>
  </si>
  <si>
    <t>E010013</t>
  </si>
  <si>
    <t>Ong Quế Anh</t>
  </si>
  <si>
    <t>anhoq</t>
  </si>
  <si>
    <t>E010256</t>
  </si>
  <si>
    <t>Đỗ Thị Oanh</t>
  </si>
  <si>
    <t>oanhdo</t>
  </si>
  <si>
    <t>E010496</t>
  </si>
  <si>
    <t>Lê Duy Minh</t>
  </si>
  <si>
    <t>minhld</t>
  </si>
  <si>
    <t>E011043</t>
  </si>
  <si>
    <t>Nguyễn Nữ Mê Linh</t>
  </si>
  <si>
    <t>linhnnm1</t>
  </si>
  <si>
    <t>E014516</t>
  </si>
  <si>
    <t>Tăng Ngọc Lan</t>
  </si>
  <si>
    <t>lantn1</t>
  </si>
  <si>
    <t>E014577</t>
  </si>
  <si>
    <t>Nguyễn Trần Uyên Thư</t>
  </si>
  <si>
    <t>thuntu</t>
  </si>
  <si>
    <t>E014758</t>
  </si>
  <si>
    <t>Nguyễn Hoàng Ánh</t>
  </si>
  <si>
    <t>anhnh13</t>
  </si>
  <si>
    <t>E200074</t>
  </si>
  <si>
    <t>Đỗ Thị Cẩm Vân</t>
  </si>
  <si>
    <t>vandtc</t>
  </si>
  <si>
    <t>E200158</t>
  </si>
  <si>
    <t>Võ Thành Minh Trí</t>
  </si>
  <si>
    <t>trivtm</t>
  </si>
  <si>
    <t>E350131</t>
  </si>
  <si>
    <t>Vàng Hiếu Thành</t>
  </si>
  <si>
    <t>thanhvh1</t>
  </si>
  <si>
    <t>E350132</t>
  </si>
  <si>
    <t>tranghtt5</t>
  </si>
  <si>
    <t>E011872</t>
  </si>
  <si>
    <t>Nguyễn Thị Hồng Uyên</t>
  </si>
  <si>
    <t>uyennth</t>
  </si>
  <si>
    <t>E012641</t>
  </si>
  <si>
    <t>Trương Ngọc Kiều Trinh</t>
  </si>
  <si>
    <t>trinhtnk</t>
  </si>
  <si>
    <t>E013472</t>
  </si>
  <si>
    <t>Lương Anh Tôn</t>
  </si>
  <si>
    <t>tonla</t>
  </si>
  <si>
    <t>E013640</t>
  </si>
  <si>
    <t>Nguyễn Duy Long</t>
  </si>
  <si>
    <t>ndlong</t>
  </si>
  <si>
    <t>E013730</t>
  </si>
  <si>
    <t>Dương Quang Minh</t>
  </si>
  <si>
    <t>minhdq1</t>
  </si>
  <si>
    <t>E013891</t>
  </si>
  <si>
    <t>Nguyễn Quốc Liêm</t>
  </si>
  <si>
    <t>liemnq</t>
  </si>
  <si>
    <t>E014738</t>
  </si>
  <si>
    <t>Bùi Duy Tuấn</t>
  </si>
  <si>
    <t>tuanbd1</t>
  </si>
  <si>
    <t>E010260</t>
  </si>
  <si>
    <t>Nguyễn Tấn Phát</t>
  </si>
  <si>
    <t>phatnt</t>
  </si>
  <si>
    <t>E010431</t>
  </si>
  <si>
    <t>Nguyễn Hoàng Anh Tuấn</t>
  </si>
  <si>
    <t>tuannha</t>
  </si>
  <si>
    <t>E010553</t>
  </si>
  <si>
    <t>Nguyễn Hải Hà</t>
  </si>
  <si>
    <t>hanh</t>
  </si>
  <si>
    <t>E010995</t>
  </si>
  <si>
    <t>Dương Kim Hùng</t>
  </si>
  <si>
    <t>hungdk</t>
  </si>
  <si>
    <t>E011032</t>
  </si>
  <si>
    <t>Đinh Ngọc Thái</t>
  </si>
  <si>
    <t>thaidn</t>
  </si>
  <si>
    <t>E011313</t>
  </si>
  <si>
    <t>Trần Đặng Phong</t>
  </si>
  <si>
    <t>tdphong</t>
  </si>
  <si>
    <t>E011324</t>
  </si>
  <si>
    <t>Lê Quốc Phú</t>
  </si>
  <si>
    <t>phulq</t>
  </si>
  <si>
    <t>E011738</t>
  </si>
  <si>
    <t>Nguyễn Phương Phi</t>
  </si>
  <si>
    <t>phinp</t>
  </si>
  <si>
    <t>E012801</t>
  </si>
  <si>
    <t>Lê Văn Hoài Nam</t>
  </si>
  <si>
    <t>namlvh</t>
  </si>
  <si>
    <t>E013110</t>
  </si>
  <si>
    <t>Võ Văn Cương</t>
  </si>
  <si>
    <t>cuongvo</t>
  </si>
  <si>
    <t>E013434</t>
  </si>
  <si>
    <t>Lê Quốc Bảo</t>
  </si>
  <si>
    <t>baole</t>
  </si>
  <si>
    <t>E013755</t>
  </si>
  <si>
    <t>Trịnh Vân Ngọc</t>
  </si>
  <si>
    <t>ngoctv1</t>
  </si>
  <si>
    <t>E013926</t>
  </si>
  <si>
    <t>Phạm Hạnh Châu</t>
  </si>
  <si>
    <t>chauph1</t>
  </si>
  <si>
    <t>E014055</t>
  </si>
  <si>
    <t>datnt2</t>
  </si>
  <si>
    <t>E014281</t>
  </si>
  <si>
    <t>Trương Huỳnh Vân Anh</t>
  </si>
  <si>
    <t>anhthv</t>
  </si>
  <si>
    <t>E050031</t>
  </si>
  <si>
    <t>Dư Vĩnh Thạnh</t>
  </si>
  <si>
    <t>thanhdv</t>
  </si>
  <si>
    <t>E013440</t>
  </si>
  <si>
    <t>Nguyễn Thị Sương</t>
  </si>
  <si>
    <t>ntsuong</t>
  </si>
  <si>
    <t>E014728</t>
  </si>
  <si>
    <t>Đặng Đức Mạnh</t>
  </si>
  <si>
    <t>manhdd1</t>
  </si>
  <si>
    <t>E010189</t>
  </si>
  <si>
    <t>Nguyễn Nhật Linh</t>
  </si>
  <si>
    <t>linhnn</t>
  </si>
  <si>
    <t>E010246</t>
  </si>
  <si>
    <t>Lê Thị Thanh Nhàn</t>
  </si>
  <si>
    <t>nhanltt</t>
  </si>
  <si>
    <t>E010321</t>
  </si>
  <si>
    <t>Đặng Thị Phương Thanh</t>
  </si>
  <si>
    <t>thanhdtp</t>
  </si>
  <si>
    <t>E010332</t>
  </si>
  <si>
    <t>Bành Tấn Thành</t>
  </si>
  <si>
    <t>thanhbt</t>
  </si>
  <si>
    <t>E010391</t>
  </si>
  <si>
    <t>Lê Thị Phương Trâm</t>
  </si>
  <si>
    <t>tramltp</t>
  </si>
  <si>
    <t>E010648</t>
  </si>
  <si>
    <t>thanhha</t>
  </si>
  <si>
    <t>E011480</t>
  </si>
  <si>
    <t>Phan Thị Thuý Hằng</t>
  </si>
  <si>
    <t>hangptt</t>
  </si>
  <si>
    <t>E010249</t>
  </si>
  <si>
    <t>Trần Thị Nhân</t>
  </si>
  <si>
    <t>nhantt</t>
  </si>
  <si>
    <t>E010582</t>
  </si>
  <si>
    <t>Thang Minh Thư</t>
  </si>
  <si>
    <t>thuthang</t>
  </si>
  <si>
    <t>E011046</t>
  </si>
  <si>
    <t>Nguyễn Thị Thúy Hằng</t>
  </si>
  <si>
    <t>ntthang</t>
  </si>
  <si>
    <t>E011430</t>
  </si>
  <si>
    <t>Lê Đặng Thuỳ Anh</t>
  </si>
  <si>
    <t>ldtanh</t>
  </si>
  <si>
    <t>E012438</t>
  </si>
  <si>
    <t>Nguyễn Thị Minh Hạnh</t>
  </si>
  <si>
    <t>hanhntm</t>
  </si>
  <si>
    <t>E012991</t>
  </si>
  <si>
    <t>Nguyễn Thị Mỹ Hằng</t>
  </si>
  <si>
    <t>hangntm</t>
  </si>
  <si>
    <t>E014498</t>
  </si>
  <si>
    <t>Nguyễn Thị Bích Nguyệt</t>
  </si>
  <si>
    <t>nguyetntb1</t>
  </si>
  <si>
    <t>E010018</t>
  </si>
  <si>
    <t>Lê Long Biên</t>
  </si>
  <si>
    <t>bienll</t>
  </si>
  <si>
    <t>E012159</t>
  </si>
  <si>
    <t>Trần Thị Hồng Thu</t>
  </si>
  <si>
    <t>thutth</t>
  </si>
  <si>
    <t>E012318</t>
  </si>
  <si>
    <t>Trần Thanh Hậu</t>
  </si>
  <si>
    <t>hautt</t>
  </si>
  <si>
    <t>E012327</t>
  </si>
  <si>
    <t>Trần Thị Minh Trang</t>
  </si>
  <si>
    <t>trangttm</t>
  </si>
  <si>
    <t>E012601</t>
  </si>
  <si>
    <t>Lê Mỹ Linh</t>
  </si>
  <si>
    <t>lmlinh</t>
  </si>
  <si>
    <t>E012692</t>
  </si>
  <si>
    <t>Trương Thị Nga</t>
  </si>
  <si>
    <t>ngatruong</t>
  </si>
  <si>
    <t>E012699</t>
  </si>
  <si>
    <t>hienbtt1</t>
  </si>
  <si>
    <t>E012707</t>
  </si>
  <si>
    <t>Phạm Thị Phương Dung</t>
  </si>
  <si>
    <t>dungptp1</t>
  </si>
  <si>
    <t>E012734</t>
  </si>
  <si>
    <t>Dương Thị Thanh Tuyền</t>
  </si>
  <si>
    <t>tuyenduong</t>
  </si>
  <si>
    <t>E012751</t>
  </si>
  <si>
    <t>Lê Thị Mỹ Hiệp</t>
  </si>
  <si>
    <t>hiepltm</t>
  </si>
  <si>
    <t>E012787</t>
  </si>
  <si>
    <t>Lê Thị Thuỳ Linh</t>
  </si>
  <si>
    <t>linhthi</t>
  </si>
  <si>
    <t>E012827</t>
  </si>
  <si>
    <t>Võ Văn Hợp</t>
  </si>
  <si>
    <t>hopvv</t>
  </si>
  <si>
    <t>E012851</t>
  </si>
  <si>
    <t>Phạm Hồng Trang Thanh</t>
  </si>
  <si>
    <t>thanhpht</t>
  </si>
  <si>
    <t>E012914</t>
  </si>
  <si>
    <t>baongoc</t>
  </si>
  <si>
    <t>E150066</t>
  </si>
  <si>
    <t>Nguyễn Ngọc Sơn</t>
  </si>
  <si>
    <t>sonnn1</t>
  </si>
  <si>
    <t>E200173</t>
  </si>
  <si>
    <t>Lê Mai Thị Mỹ Tiên</t>
  </si>
  <si>
    <t>tienlmtm</t>
  </si>
  <si>
    <t>E200185</t>
  </si>
  <si>
    <t>Trần Kim Ngọc</t>
  </si>
  <si>
    <t>ngoctk</t>
  </si>
  <si>
    <t>E200284</t>
  </si>
  <si>
    <t>ttthuha</t>
  </si>
  <si>
    <t>E270011</t>
  </si>
  <si>
    <t>Hồng Thanh Diễm</t>
  </si>
  <si>
    <t>diemht</t>
  </si>
  <si>
    <t>E012401</t>
  </si>
  <si>
    <t>Lâm Trúc Ly</t>
  </si>
  <si>
    <t>lylt</t>
  </si>
  <si>
    <t>E220007</t>
  </si>
  <si>
    <t>Phạm Thị Vĩnh Hoa</t>
  </si>
  <si>
    <t>hoaptv1</t>
  </si>
  <si>
    <t>E010063</t>
  </si>
  <si>
    <t>Phạm Thị Kim Dung</t>
  </si>
  <si>
    <t>kimdung</t>
  </si>
  <si>
    <t>E010739</t>
  </si>
  <si>
    <t>Võ Thị Xuân Hương</t>
  </si>
  <si>
    <t>huongvtx</t>
  </si>
  <si>
    <t>E013978</t>
  </si>
  <si>
    <t>Châu Thị Quỳnh Như</t>
  </si>
  <si>
    <t>nhuctq</t>
  </si>
  <si>
    <t>E014064</t>
  </si>
  <si>
    <t>Lý Thụy Đoan Trang</t>
  </si>
  <si>
    <t>trangltd</t>
  </si>
  <si>
    <t>E014202</t>
  </si>
  <si>
    <t>Phạm Thị Bạch Lủy</t>
  </si>
  <si>
    <t>luyptb</t>
  </si>
  <si>
    <t>E014653</t>
  </si>
  <si>
    <t>Trần Thị Thúy Liễu</t>
  </si>
  <si>
    <t>lieuttt</t>
  </si>
  <si>
    <t>E011592</t>
  </si>
  <si>
    <t>Lê Đắc Công Hiệu</t>
  </si>
  <si>
    <t>hieuldc</t>
  </si>
  <si>
    <t>E013983</t>
  </si>
  <si>
    <t>Nguyễn Huy Cường</t>
  </si>
  <si>
    <t>cuongnh2</t>
  </si>
  <si>
    <t>E014057</t>
  </si>
  <si>
    <t>Lê Thị Ngọc Oanh</t>
  </si>
  <si>
    <t>oanhltn</t>
  </si>
  <si>
    <t>E023342</t>
  </si>
  <si>
    <t>Trần Trọng An</t>
  </si>
  <si>
    <t>antt3</t>
  </si>
  <si>
    <t>E023593</t>
  </si>
  <si>
    <t>Phạm Hồng Ngọc</t>
  </si>
  <si>
    <t>ngocph1</t>
  </si>
  <si>
    <t>E024438</t>
  </si>
  <si>
    <t>Nguyễn Xuân Thủy</t>
  </si>
  <si>
    <t>thuynx</t>
  </si>
  <si>
    <t>E024585</t>
  </si>
  <si>
    <t>Trần Thị Mai</t>
  </si>
  <si>
    <t>maitt</t>
  </si>
  <si>
    <t>E024600</t>
  </si>
  <si>
    <t>Nguyễn Thị Huyền Nhung</t>
  </si>
  <si>
    <t>nhungnth13</t>
  </si>
  <si>
    <t>E020240</t>
  </si>
  <si>
    <t>Phùng Thanh Tuấn</t>
  </si>
  <si>
    <t>tuanpt</t>
  </si>
  <si>
    <t>E022161</t>
  </si>
  <si>
    <t>tranghong</t>
  </si>
  <si>
    <t>E022463</t>
  </si>
  <si>
    <t>Trần Thị Bích Phượng</t>
  </si>
  <si>
    <t>ttbphuong</t>
  </si>
  <si>
    <t>E023310</t>
  </si>
  <si>
    <t>trangntq2</t>
  </si>
  <si>
    <t>E021140</t>
  </si>
  <si>
    <t>Đỗ Thị Thu Hà</t>
  </si>
  <si>
    <t>hadtt</t>
  </si>
  <si>
    <t>E021160</t>
  </si>
  <si>
    <t>Trần Thị Thu Hằng</t>
  </si>
  <si>
    <t>hangttt</t>
  </si>
  <si>
    <t>E021215</t>
  </si>
  <si>
    <t>Đào Huy Linh</t>
  </si>
  <si>
    <t>linhdao</t>
  </si>
  <si>
    <t>E021704</t>
  </si>
  <si>
    <t>nhung.nguyen</t>
  </si>
  <si>
    <t>E021799</t>
  </si>
  <si>
    <t>Đinh Thị Bốn</t>
  </si>
  <si>
    <t>bondt</t>
  </si>
  <si>
    <t>E022014</t>
  </si>
  <si>
    <t>Tô Xuân Chiến</t>
  </si>
  <si>
    <t>chientx</t>
  </si>
  <si>
    <t>E022592</t>
  </si>
  <si>
    <t>Vũ Thị Hồng Ngọc</t>
  </si>
  <si>
    <t>ngocvth</t>
  </si>
  <si>
    <t>E022965</t>
  </si>
  <si>
    <t>Nguyễn Thị Minh</t>
  </si>
  <si>
    <t>minhnt1</t>
  </si>
  <si>
    <t>E023114</t>
  </si>
  <si>
    <t>Bùi Thị Lan Phương</t>
  </si>
  <si>
    <t>phuongbtl</t>
  </si>
  <si>
    <t>E023922</t>
  </si>
  <si>
    <t>Nguyễn Tiến Linh</t>
  </si>
  <si>
    <t>linhnt24</t>
  </si>
  <si>
    <t>E024128</t>
  </si>
  <si>
    <t>Trương Trung Hiếu</t>
  </si>
  <si>
    <t>hieutt8</t>
  </si>
  <si>
    <t>E024412</t>
  </si>
  <si>
    <t>Biện Quang Đức</t>
  </si>
  <si>
    <t>ducbq1</t>
  </si>
  <si>
    <t>E024547</t>
  </si>
  <si>
    <t>Vương Thanh Ngân</t>
  </si>
  <si>
    <t>nganvt4</t>
  </si>
  <si>
    <t>E024573</t>
  </si>
  <si>
    <t>Nguyễn Ngọc Quỳnh</t>
  </si>
  <si>
    <t>quynhnn3</t>
  </si>
  <si>
    <t>E024587</t>
  </si>
  <si>
    <t>Nguyễn Trần Việt</t>
  </si>
  <si>
    <t>vietnt4</t>
  </si>
  <si>
    <t>E024667</t>
  </si>
  <si>
    <t>Vũ Liên Hương</t>
  </si>
  <si>
    <t>huongvl1</t>
  </si>
  <si>
    <t>E020288</t>
  </si>
  <si>
    <t>hangnguyen</t>
  </si>
  <si>
    <t>E020781</t>
  </si>
  <si>
    <t>Vũ Hương Trà</t>
  </si>
  <si>
    <t>travh</t>
  </si>
  <si>
    <t>E022365</t>
  </si>
  <si>
    <t>Trương Tuyết Nhung</t>
  </si>
  <si>
    <t>nhung.tt</t>
  </si>
  <si>
    <t>E023022</t>
  </si>
  <si>
    <t>Khuất Xuân Quỳnh</t>
  </si>
  <si>
    <t>quynhkx</t>
  </si>
  <si>
    <t>E023173</t>
  </si>
  <si>
    <t>Phạm Mỹ Linh</t>
  </si>
  <si>
    <t>linhpm</t>
  </si>
  <si>
    <t>E350165</t>
  </si>
  <si>
    <t>Trần Thị Thanh Hải</t>
  </si>
  <si>
    <t>HAITTT</t>
  </si>
  <si>
    <t>E020034</t>
  </si>
  <si>
    <t>Nguyễn Quốc Tuấn</t>
  </si>
  <si>
    <t>tuannq</t>
  </si>
  <si>
    <t>E020227</t>
  </si>
  <si>
    <t>Võ Đức Thuận</t>
  </si>
  <si>
    <t>thuanvd</t>
  </si>
  <si>
    <t>E020657</t>
  </si>
  <si>
    <t>Phan Thị Huyền Trang</t>
  </si>
  <si>
    <t>pthtrang</t>
  </si>
  <si>
    <t>E021306</t>
  </si>
  <si>
    <t>Lê Quyết Thắng</t>
  </si>
  <si>
    <t>thanglq</t>
  </si>
  <si>
    <t>E021314</t>
  </si>
  <si>
    <t>Trần Thị Hằng</t>
  </si>
  <si>
    <t>hangtranthi</t>
  </si>
  <si>
    <t>E021374</t>
  </si>
  <si>
    <t>Nguyễn Năng Tân</t>
  </si>
  <si>
    <t>tannguyen</t>
  </si>
  <si>
    <t>E021431</t>
  </si>
  <si>
    <t>Vũ Châu Sơn</t>
  </si>
  <si>
    <t>sonvc</t>
  </si>
  <si>
    <t>E021517</t>
  </si>
  <si>
    <t>Nguyễn Thị Lân</t>
  </si>
  <si>
    <t>ntlan</t>
  </si>
  <si>
    <t>E021800</t>
  </si>
  <si>
    <t>Nguyễn Thu Huệ</t>
  </si>
  <si>
    <t>huethu</t>
  </si>
  <si>
    <t>E021855</t>
  </si>
  <si>
    <t>Lê Xuân Trung</t>
  </si>
  <si>
    <t>trunglx</t>
  </si>
  <si>
    <t>E022208</t>
  </si>
  <si>
    <t>Lê Xuân Tùng</t>
  </si>
  <si>
    <t>tunglx</t>
  </si>
  <si>
    <t>E022263</t>
  </si>
  <si>
    <t>Nguyễn Văn Quyết</t>
  </si>
  <si>
    <t>nvquyet</t>
  </si>
  <si>
    <t>E022826</t>
  </si>
  <si>
    <t>huongnt4</t>
  </si>
  <si>
    <t>E022876</t>
  </si>
  <si>
    <t>Vũ Quý Đạt</t>
  </si>
  <si>
    <t>datvq</t>
  </si>
  <si>
    <t>E022979</t>
  </si>
  <si>
    <t>Phạm Huy Cường</t>
  </si>
  <si>
    <t>cuongph1</t>
  </si>
  <si>
    <t>E023031</t>
  </si>
  <si>
    <t>Trần Thành Đạt</t>
  </si>
  <si>
    <t>dattt2</t>
  </si>
  <si>
    <t>E023290</t>
  </si>
  <si>
    <t>Đỗ Khánh Nguyên Phương</t>
  </si>
  <si>
    <t>phuongdkn</t>
  </si>
  <si>
    <t>E350175</t>
  </si>
  <si>
    <t>Phạm Văn Thắng</t>
  </si>
  <si>
    <t>THANGPV</t>
  </si>
  <si>
    <t>E350176</t>
  </si>
  <si>
    <t>ANHPT11</t>
  </si>
  <si>
    <t>E350177</t>
  </si>
  <si>
    <t>Nguyễn Huy Phong</t>
  </si>
  <si>
    <t>PHONGNH5</t>
  </si>
  <si>
    <t>E350178</t>
  </si>
  <si>
    <t>DUONGNV2</t>
  </si>
  <si>
    <t>E350179</t>
  </si>
  <si>
    <t>Nguyễn Văn Hòa</t>
  </si>
  <si>
    <t>HOANV3</t>
  </si>
  <si>
    <t>E350180</t>
  </si>
  <si>
    <t>Bùi Xuân Hải</t>
  </si>
  <si>
    <t>HAIBX</t>
  </si>
  <si>
    <t>E350181</t>
  </si>
  <si>
    <t>Nguyễn Uy Pháp</t>
  </si>
  <si>
    <t>PHAPNU</t>
  </si>
  <si>
    <t>E350182</t>
  </si>
  <si>
    <t>Đào Công Thành</t>
  </si>
  <si>
    <t>THANHDC3</t>
  </si>
  <si>
    <t>E350183</t>
  </si>
  <si>
    <t>Mai Vân Anh</t>
  </si>
  <si>
    <t>ANHMV2</t>
  </si>
  <si>
    <t>E350184</t>
  </si>
  <si>
    <t>Đỗ Đăng Hải</t>
  </si>
  <si>
    <t>HAIDD1</t>
  </si>
  <si>
    <t>E350185</t>
  </si>
  <si>
    <t>Nguyễn Hữu Mạnh</t>
  </si>
  <si>
    <t>MANHNH2</t>
  </si>
  <si>
    <t>E024368</t>
  </si>
  <si>
    <t>Đan Ngọc Anh</t>
  </si>
  <si>
    <t>anhdn2</t>
  </si>
  <si>
    <t>E021041</t>
  </si>
  <si>
    <t>Trần Tuấn Anh</t>
  </si>
  <si>
    <t>anhtt3</t>
  </si>
  <si>
    <t>E022609</t>
  </si>
  <si>
    <t>Phan Thị Kiều</t>
  </si>
  <si>
    <t>kieupt</t>
  </si>
  <si>
    <t>E022623</t>
  </si>
  <si>
    <t>Nguyễn Phúc Thành Thảo Anh</t>
  </si>
  <si>
    <t>anhnptt</t>
  </si>
  <si>
    <t>E022867</t>
  </si>
  <si>
    <t>tuanta2</t>
  </si>
  <si>
    <t>E023070</t>
  </si>
  <si>
    <t>Hoàng Thị Kim Anh</t>
  </si>
  <si>
    <t>anhhtk1</t>
  </si>
  <si>
    <t>E023094</t>
  </si>
  <si>
    <t>Nguyễn Hữu Vinh</t>
  </si>
  <si>
    <t>vinhnh1</t>
  </si>
  <si>
    <t>E023914</t>
  </si>
  <si>
    <t>Đào Đình Hai</t>
  </si>
  <si>
    <t>haidd</t>
  </si>
  <si>
    <t>E023915</t>
  </si>
  <si>
    <t>Bùi Quốc Hưng</t>
  </si>
  <si>
    <t>hungbq2</t>
  </si>
  <si>
    <t>E024381</t>
  </si>
  <si>
    <t>hangtt9</t>
  </si>
  <si>
    <t>E024382</t>
  </si>
  <si>
    <t>Hoàng Bích Ngọc</t>
  </si>
  <si>
    <t>ngochb4</t>
  </si>
  <si>
    <t>E024383</t>
  </si>
  <si>
    <t>Trần Huyền Trang</t>
  </si>
  <si>
    <t>trangth</t>
  </si>
  <si>
    <t>E024384</t>
  </si>
  <si>
    <t>Bùi Thị Ngọc Hà</t>
  </si>
  <si>
    <t>habtn2</t>
  </si>
  <si>
    <t>E024618</t>
  </si>
  <si>
    <t>Dương Anh Đào</t>
  </si>
  <si>
    <t>daoda</t>
  </si>
  <si>
    <t>E024619</t>
  </si>
  <si>
    <t>Phan Thị Hoài</t>
  </si>
  <si>
    <t>hoaipt1</t>
  </si>
  <si>
    <t>E024620</t>
  </si>
  <si>
    <t>thuynt34</t>
  </si>
  <si>
    <t>E020327</t>
  </si>
  <si>
    <t>Duỳn Minh Thúy</t>
  </si>
  <si>
    <t>thuydm1</t>
  </si>
  <si>
    <t>E021462</t>
  </si>
  <si>
    <t>Vũ Phương Duyên</t>
  </si>
  <si>
    <t>duyenvp</t>
  </si>
  <si>
    <t>E022130</t>
  </si>
  <si>
    <t>Chu Quỳnh Trang</t>
  </si>
  <si>
    <t>trangcq1</t>
  </si>
  <si>
    <t>E022231</t>
  </si>
  <si>
    <t>Vũ Văn Hiệp</t>
  </si>
  <si>
    <t>hiepvv2</t>
  </si>
  <si>
    <t>E022554</t>
  </si>
  <si>
    <t>Nguyễn Viết Hòa</t>
  </si>
  <si>
    <t>viethoa</t>
  </si>
  <si>
    <t>E023626</t>
  </si>
  <si>
    <t>Đỗ Đức Hạnh</t>
  </si>
  <si>
    <t>hanhdd</t>
  </si>
  <si>
    <t>E023627</t>
  </si>
  <si>
    <t>Nguyễn Thị Anh</t>
  </si>
  <si>
    <t>anhnt12</t>
  </si>
  <si>
    <t>E023656</t>
  </si>
  <si>
    <t>Trần Quang Minh</t>
  </si>
  <si>
    <t>minhtq</t>
  </si>
  <si>
    <t>E023671</t>
  </si>
  <si>
    <t>Vũ Thị Thọ</t>
  </si>
  <si>
    <t>thovt</t>
  </si>
  <si>
    <t>E023712</t>
  </si>
  <si>
    <t>Lương Thùy Liên</t>
  </si>
  <si>
    <t>lienlt1</t>
  </si>
  <si>
    <t>E023909</t>
  </si>
  <si>
    <t>E024115</t>
  </si>
  <si>
    <t>Hoàng Tuấn Minh</t>
  </si>
  <si>
    <t>minhht1</t>
  </si>
  <si>
    <t>E024233</t>
  </si>
  <si>
    <t>Hoàng Thanh Thủy</t>
  </si>
  <si>
    <t>thuyht11</t>
  </si>
  <si>
    <t>E024458</t>
  </si>
  <si>
    <t>Trần Đức Tú</t>
  </si>
  <si>
    <t>tutd4</t>
  </si>
  <si>
    <t>E024502</t>
  </si>
  <si>
    <t>Nguyễn Huyền Trang</t>
  </si>
  <si>
    <t>trangnh8</t>
  </si>
  <si>
    <t>E024644</t>
  </si>
  <si>
    <t>Trần Thị Thanh Huyền</t>
  </si>
  <si>
    <t>huyenttt5</t>
  </si>
  <si>
    <t>E024655</t>
  </si>
  <si>
    <t>Trần Lê Thành Trung</t>
  </si>
  <si>
    <t>trungtlt2</t>
  </si>
  <si>
    <t>E023981</t>
  </si>
  <si>
    <t>Nguyễn Hoàng Dương</t>
  </si>
  <si>
    <t>duongnh1</t>
  </si>
  <si>
    <t>E024528</t>
  </si>
  <si>
    <t>anhntq5</t>
  </si>
  <si>
    <t>E024641</t>
  </si>
  <si>
    <t>Phạm Thị Quỳnh</t>
  </si>
  <si>
    <t>quynhpt3</t>
  </si>
  <si>
    <t>E210022</t>
  </si>
  <si>
    <t>Đỗ Đức Sơn</t>
  </si>
  <si>
    <t>sondd1</t>
  </si>
  <si>
    <t>E210092</t>
  </si>
  <si>
    <t>Đỗ Văn Tiệp</t>
  </si>
  <si>
    <t>tiepdv2</t>
  </si>
  <si>
    <t>E023251</t>
  </si>
  <si>
    <t>Trần Bảo Sơn</t>
  </si>
  <si>
    <t>sontb</t>
  </si>
  <si>
    <t>E210007</t>
  </si>
  <si>
    <t>Đỗ Đình Huy</t>
  </si>
  <si>
    <t>huydo</t>
  </si>
  <si>
    <t>E024555</t>
  </si>
  <si>
    <t>Đỗ Việt Hùng</t>
  </si>
  <si>
    <t>hung.doviet</t>
  </si>
  <si>
    <t>E020343</t>
  </si>
  <si>
    <t>Nguyễn Thị Hương Anh</t>
  </si>
  <si>
    <t>anhnth</t>
  </si>
  <si>
    <t>E020347</t>
  </si>
  <si>
    <t>ngocdv</t>
  </si>
  <si>
    <t>E021049</t>
  </si>
  <si>
    <t>Đỗ Hữu Đạt</t>
  </si>
  <si>
    <t>datdh1</t>
  </si>
  <si>
    <t>E021391</t>
  </si>
  <si>
    <t>Vũ Văn Cường</t>
  </si>
  <si>
    <t>cuongvv</t>
  </si>
  <si>
    <t>E021821</t>
  </si>
  <si>
    <t>Nguyễn Quang Trung</t>
  </si>
  <si>
    <t>trungnq3</t>
  </si>
  <si>
    <t>E021842</t>
  </si>
  <si>
    <t>anhtt4</t>
  </si>
  <si>
    <t>E022190</t>
  </si>
  <si>
    <t>xuan.nguyen</t>
  </si>
  <si>
    <t>E022214</t>
  </si>
  <si>
    <t>Nguyễn Thị Bảo Ngọc</t>
  </si>
  <si>
    <t>ngoc.nguyen</t>
  </si>
  <si>
    <t>E024259</t>
  </si>
  <si>
    <t>Nguyễn Văn Bảo Toàn</t>
  </si>
  <si>
    <t>toannvb</t>
  </si>
  <si>
    <t>E024286</t>
  </si>
  <si>
    <t>Đoàn Đức Mạnh</t>
  </si>
  <si>
    <t>manhdd</t>
  </si>
  <si>
    <t>E024287</t>
  </si>
  <si>
    <t>Đào Văn Trường</t>
  </si>
  <si>
    <t>truongdv2</t>
  </si>
  <si>
    <t>E024401</t>
  </si>
  <si>
    <t>Đỗ Minh Đức</t>
  </si>
  <si>
    <t>ducdm1</t>
  </si>
  <si>
    <t>E024433</t>
  </si>
  <si>
    <t>Mai Nhật Tân</t>
  </si>
  <si>
    <t>tanmn</t>
  </si>
  <si>
    <t>E024507</t>
  </si>
  <si>
    <t>Lê Hải Anh</t>
  </si>
  <si>
    <t>anhlh5</t>
  </si>
  <si>
    <t>E024544</t>
  </si>
  <si>
    <t>Đỗ Hoàng Anh</t>
  </si>
  <si>
    <t>anhdh6</t>
  </si>
  <si>
    <t>E020320</t>
  </si>
  <si>
    <t>Phạm Nguyệt Ánh</t>
  </si>
  <si>
    <t>anhpn</t>
  </si>
  <si>
    <t>E020436</t>
  </si>
  <si>
    <t>Lê Hồng Diệp</t>
  </si>
  <si>
    <t>dieplh</t>
  </si>
  <si>
    <t>E021369</t>
  </si>
  <si>
    <t>Nguyễn Viết Trung</t>
  </si>
  <si>
    <t>trungnv5</t>
  </si>
  <si>
    <t>E021536</t>
  </si>
  <si>
    <t>Phạm Văn Tuấn</t>
  </si>
  <si>
    <t>pvtuan</t>
  </si>
  <si>
    <t>E022293</t>
  </si>
  <si>
    <t>Nguyễn Quốc Cơ</t>
  </si>
  <si>
    <t>conq</t>
  </si>
  <si>
    <t>E022449</t>
  </si>
  <si>
    <t>Trịnh Thị Nhài</t>
  </si>
  <si>
    <t>nhaitt</t>
  </si>
  <si>
    <t>E023149</t>
  </si>
  <si>
    <t>Trần Quang Huy</t>
  </si>
  <si>
    <t>huytq2</t>
  </si>
  <si>
    <t>E023323</t>
  </si>
  <si>
    <t>Nguyễn Quốc Trung</t>
  </si>
  <si>
    <t>trungnq2</t>
  </si>
  <si>
    <t>E024030</t>
  </si>
  <si>
    <t>Phạm Quang Dương</t>
  </si>
  <si>
    <t>duongpq4</t>
  </si>
  <si>
    <t>E024075</t>
  </si>
  <si>
    <t>Phạm Thị Phượng</t>
  </si>
  <si>
    <t>phuongpt6</t>
  </si>
  <si>
    <t>E024080</t>
  </si>
  <si>
    <t>Ma Doãn Tiếp</t>
  </si>
  <si>
    <t>tiepmd</t>
  </si>
  <si>
    <t>E024081</t>
  </si>
  <si>
    <t>vuongnq3</t>
  </si>
  <si>
    <t>E024129</t>
  </si>
  <si>
    <t>Vũ Phương Liên</t>
  </si>
  <si>
    <t>lienvp</t>
  </si>
  <si>
    <t>E024173</t>
  </si>
  <si>
    <t>linhttt7</t>
  </si>
  <si>
    <t>E024291</t>
  </si>
  <si>
    <t>Nguyễn Viết Anh</t>
  </si>
  <si>
    <t>anhnv7</t>
  </si>
  <si>
    <t>E024356</t>
  </si>
  <si>
    <t>Đào Minh Hiếu</t>
  </si>
  <si>
    <t>hieudm</t>
  </si>
  <si>
    <t>E024501</t>
  </si>
  <si>
    <t>Trịnh Văn Đại</t>
  </si>
  <si>
    <t>daitv</t>
  </si>
  <si>
    <t>E024580</t>
  </si>
  <si>
    <t>Mai Đức Đăng</t>
  </si>
  <si>
    <t>dangmd</t>
  </si>
  <si>
    <t>E024581</t>
  </si>
  <si>
    <t>Nguyễn Hữu Châu</t>
  </si>
  <si>
    <t>chaunh2</t>
  </si>
  <si>
    <t>E024669</t>
  </si>
  <si>
    <t>Trần Quang Sơn</t>
  </si>
  <si>
    <t>sontq</t>
  </si>
  <si>
    <t>E024679</t>
  </si>
  <si>
    <t>Nguyễn Thị Mỹ Hạnh</t>
  </si>
  <si>
    <t>HANHNTM4</t>
  </si>
  <si>
    <t>E024680</t>
  </si>
  <si>
    <t>Cao Xuân Ngọc</t>
  </si>
  <si>
    <t>ngoccx</t>
  </si>
  <si>
    <t>E021757</t>
  </si>
  <si>
    <t>Đào Thị Bích Diệp</t>
  </si>
  <si>
    <t>diepdtb</t>
  </si>
  <si>
    <t>E022366</t>
  </si>
  <si>
    <t>thuylinhnguyen</t>
  </si>
  <si>
    <t>E022695</t>
  </si>
  <si>
    <t>Đỗ Quang Duy</t>
  </si>
  <si>
    <t>duydq</t>
  </si>
  <si>
    <t>E022704</t>
  </si>
  <si>
    <t>Nguyễn Văn Được</t>
  </si>
  <si>
    <t>duocnv</t>
  </si>
  <si>
    <t>E022866</t>
  </si>
  <si>
    <t>Nghiêm Hải Quân</t>
  </si>
  <si>
    <t>quannh1</t>
  </si>
  <si>
    <t>E022953</t>
  </si>
  <si>
    <t>Nguyễn Duy Hòa</t>
  </si>
  <si>
    <t>hoand1</t>
  </si>
  <si>
    <t>E023024</t>
  </si>
  <si>
    <t>Nguyễn Ngọc Hưng</t>
  </si>
  <si>
    <t>hungnn1</t>
  </si>
  <si>
    <t>E023127</t>
  </si>
  <si>
    <t>Nguyễn Thế Thắng</t>
  </si>
  <si>
    <t>thangnt2</t>
  </si>
  <si>
    <t>E023148</t>
  </si>
  <si>
    <t>Đoàn Thế Linh</t>
  </si>
  <si>
    <t>linhdt5</t>
  </si>
  <si>
    <t>E023365</t>
  </si>
  <si>
    <t>trangnt2</t>
  </si>
  <si>
    <t>E023397</t>
  </si>
  <si>
    <t>Nguyễn Hữu Triều</t>
  </si>
  <si>
    <t>trieunh</t>
  </si>
  <si>
    <t>E023442</t>
  </si>
  <si>
    <t>Nguyễn Phương Thúy</t>
  </si>
  <si>
    <t>thuynp1</t>
  </si>
  <si>
    <t>E023481</t>
  </si>
  <si>
    <t>Phan Khắc Diễn</t>
  </si>
  <si>
    <t>dienpk</t>
  </si>
  <si>
    <t>E023587</t>
  </si>
  <si>
    <t>Nguyễn Thị Hiển</t>
  </si>
  <si>
    <t>hiennt6</t>
  </si>
  <si>
    <t>E023728</t>
  </si>
  <si>
    <t>thuylt2</t>
  </si>
  <si>
    <t>E024340</t>
  </si>
  <si>
    <t>Phạm Thị Mới</t>
  </si>
  <si>
    <t>moipt</t>
  </si>
  <si>
    <t>E024357</t>
  </si>
  <si>
    <t>Lê Chà My</t>
  </si>
  <si>
    <t>mylc</t>
  </si>
  <si>
    <t>E024359</t>
  </si>
  <si>
    <t>ngantt12</t>
  </si>
  <si>
    <t>E024360</t>
  </si>
  <si>
    <t>Nguyễn Đức Chiến</t>
  </si>
  <si>
    <t>chiennd1</t>
  </si>
  <si>
    <t>E024364</t>
  </si>
  <si>
    <t>Triệu Quang Dũng</t>
  </si>
  <si>
    <t>dungtq4</t>
  </si>
  <si>
    <t>E024419</t>
  </si>
  <si>
    <t>Bùi Đức Hoàng</t>
  </si>
  <si>
    <t>hoangbd</t>
  </si>
  <si>
    <t>E024424</t>
  </si>
  <si>
    <t>Vũ Tấn Lộc</t>
  </si>
  <si>
    <t>locvt2</t>
  </si>
  <si>
    <t>E024425</t>
  </si>
  <si>
    <t>Nguyễn Tuấn Hùng</t>
  </si>
  <si>
    <t>hungnt7</t>
  </si>
  <si>
    <t>E024468</t>
  </si>
  <si>
    <t>Đỗ Thanh Hảo</t>
  </si>
  <si>
    <t>haodt2</t>
  </si>
  <si>
    <t>E024469</t>
  </si>
  <si>
    <t>Nguyễn Minh Thương</t>
  </si>
  <si>
    <t>thuongnm3</t>
  </si>
  <si>
    <t>E024483</t>
  </si>
  <si>
    <t>Nguyễn Minh Tuấn</t>
  </si>
  <si>
    <t>tuannm7</t>
  </si>
  <si>
    <t>E024484</t>
  </si>
  <si>
    <t>Vũ Đình Tùng Lâm</t>
  </si>
  <si>
    <t>lamvdt</t>
  </si>
  <si>
    <t>E024486</t>
  </si>
  <si>
    <t>Phan Văn Quảng</t>
  </si>
  <si>
    <t>quangpv2</t>
  </si>
  <si>
    <t>E024495</t>
  </si>
  <si>
    <t>Đỗ Quốc Khánh</t>
  </si>
  <si>
    <t>khanhdq2</t>
  </si>
  <si>
    <t>E024509</t>
  </si>
  <si>
    <t>Hoàng Thúy Huyền</t>
  </si>
  <si>
    <t>huyenht2</t>
  </si>
  <si>
    <t>E024377</t>
  </si>
  <si>
    <t>Nguyễn Trọng Cường</t>
  </si>
  <si>
    <t>cuongnt6</t>
  </si>
  <si>
    <t>E024378</t>
  </si>
  <si>
    <t>Trần Thọ Huy</t>
  </si>
  <si>
    <t>huytt4</t>
  </si>
  <si>
    <t>E024389</t>
  </si>
  <si>
    <t>Nguyễn Trung Hưởng</t>
  </si>
  <si>
    <t>huongnt31</t>
  </si>
  <si>
    <t>E024390</t>
  </si>
  <si>
    <t>Đỗ Xuân Hưng</t>
  </si>
  <si>
    <t>hungdx2</t>
  </si>
  <si>
    <t>E024432</t>
  </si>
  <si>
    <t>Phạm Đức Nam</t>
  </si>
  <si>
    <t>nampd</t>
  </si>
  <si>
    <t>E024450</t>
  </si>
  <si>
    <t>Hoàng Minh Tuấn</t>
  </si>
  <si>
    <t>tuanhm1</t>
  </si>
  <si>
    <t>E024517</t>
  </si>
  <si>
    <t>hanh5</t>
  </si>
  <si>
    <t>E024672</t>
  </si>
  <si>
    <t>Phạm Quốc Khánh</t>
  </si>
  <si>
    <t>khanhpq</t>
  </si>
  <si>
    <t>E020341</t>
  </si>
  <si>
    <t>Đỗ Ngọc Trung</t>
  </si>
  <si>
    <t>trungdn</t>
  </si>
  <si>
    <t>E020344</t>
  </si>
  <si>
    <t>minhhuu</t>
  </si>
  <si>
    <t>E350159</t>
  </si>
  <si>
    <t>ANHTT15</t>
  </si>
  <si>
    <t>E350160</t>
  </si>
  <si>
    <t>Nguyễn Thị Thanh Nhàn</t>
  </si>
  <si>
    <t>NHANNTT5</t>
  </si>
  <si>
    <t>E350161</t>
  </si>
  <si>
    <t>Lê Việt Phương</t>
  </si>
  <si>
    <t>PHUONGLV3</t>
  </si>
  <si>
    <t>E350169</t>
  </si>
  <si>
    <t>Phạm Minh Mẫn</t>
  </si>
  <si>
    <t>MANPM</t>
  </si>
  <si>
    <t>E350170</t>
  </si>
  <si>
    <t>Nguyễn Việt Hoàng</t>
  </si>
  <si>
    <t>HOANGNV4</t>
  </si>
  <si>
    <t>E350171</t>
  </si>
  <si>
    <t>Lê Hải Phong</t>
  </si>
  <si>
    <t>PHONGLH2</t>
  </si>
  <si>
    <t>E350172</t>
  </si>
  <si>
    <t>Vũ Tiến Vân</t>
  </si>
  <si>
    <t>VANVT4</t>
  </si>
  <si>
    <t>E270056</t>
  </si>
  <si>
    <t>Hồ Thị Thanh Huyền</t>
  </si>
  <si>
    <t>huyenhtt</t>
  </si>
  <si>
    <t>E270059</t>
  </si>
  <si>
    <t>Nguyễn Thị Trúc Huỳnh</t>
  </si>
  <si>
    <t>huynhntt1</t>
  </si>
  <si>
    <t>E350123</t>
  </si>
  <si>
    <t>Nguyễn Khánh Ly</t>
  </si>
  <si>
    <t>lynk3</t>
  </si>
  <si>
    <t>E350124</t>
  </si>
  <si>
    <t>Phan Thị Ngọc Nhản</t>
  </si>
  <si>
    <t>nhanptn</t>
  </si>
  <si>
    <t>E210217</t>
  </si>
  <si>
    <t>trangnth11</t>
  </si>
  <si>
    <t>E210091</t>
  </si>
  <si>
    <t>huytq</t>
  </si>
  <si>
    <t>E210166</t>
  </si>
  <si>
    <t>truongnx1</t>
  </si>
  <si>
    <t>E210218</t>
  </si>
  <si>
    <t>Lê Minh Hiếu</t>
  </si>
  <si>
    <t>hieulm</t>
  </si>
  <si>
    <t>E210128</t>
  </si>
  <si>
    <t>Vũ Văn Trường</t>
  </si>
  <si>
    <t>vvtruong</t>
  </si>
  <si>
    <t>E210165</t>
  </si>
  <si>
    <t>Nguyễn Ngọc Quyền</t>
  </si>
  <si>
    <t>quyennn1</t>
  </si>
  <si>
    <t>E210192</t>
  </si>
  <si>
    <t>Đinh Thị Hiền</t>
  </si>
  <si>
    <t>hiendt1</t>
  </si>
  <si>
    <t>E210216</t>
  </si>
  <si>
    <t>Nguyễn Ánh Dương</t>
  </si>
  <si>
    <t>duongna1</t>
  </si>
  <si>
    <t>E210224</t>
  </si>
  <si>
    <t>Nguyễn Duy Chính</t>
  </si>
  <si>
    <t>chinhnd2</t>
  </si>
  <si>
    <t>E210235</t>
  </si>
  <si>
    <t>hant29</t>
  </si>
  <si>
    <t>E210238</t>
  </si>
  <si>
    <t>Phạm Hồng Hạnh</t>
  </si>
  <si>
    <t>hanhph</t>
  </si>
  <si>
    <t>E210245</t>
  </si>
  <si>
    <t>Nguyễn Thị Loan</t>
  </si>
  <si>
    <t>loannt7</t>
  </si>
  <si>
    <t>E210248</t>
  </si>
  <si>
    <t>Phạm Thị Hoa</t>
  </si>
  <si>
    <t>hoapt3</t>
  </si>
  <si>
    <t>E110064</t>
  </si>
  <si>
    <t>Tòng Minh Dương</t>
  </si>
  <si>
    <t>duongtm</t>
  </si>
  <si>
    <t>E110077</t>
  </si>
  <si>
    <t>Bùi Thu Quyên</t>
  </si>
  <si>
    <t>quyenbt</t>
  </si>
  <si>
    <t>E110079</t>
  </si>
  <si>
    <t>Khúc Thái Hà</t>
  </si>
  <si>
    <t>hakt</t>
  </si>
  <si>
    <t>E110082</t>
  </si>
  <si>
    <t>Nguyễn Thị Thùy</t>
  </si>
  <si>
    <t>thithuy</t>
  </si>
  <si>
    <t>E110134</t>
  </si>
  <si>
    <t>Hoàng Thị Phương Thu</t>
  </si>
  <si>
    <t>thuhtp</t>
  </si>
  <si>
    <t>E110155</t>
  </si>
  <si>
    <t>Lê Minh Thành</t>
  </si>
  <si>
    <t>thanhlm</t>
  </si>
  <si>
    <t>E110193</t>
  </si>
  <si>
    <t>Lò Thị Luân</t>
  </si>
  <si>
    <t>luanlt</t>
  </si>
  <si>
    <t>E110158</t>
  </si>
  <si>
    <t>Lò Ngọc Hoàng</t>
  </si>
  <si>
    <t>hoangln</t>
  </si>
  <si>
    <t>E110008</t>
  </si>
  <si>
    <t>Nguyễn Chí Trung</t>
  </si>
  <si>
    <t>trungnc</t>
  </si>
  <si>
    <t>E110156</t>
  </si>
  <si>
    <t>thutrangnguyenthi</t>
  </si>
  <si>
    <t>E110168</t>
  </si>
  <si>
    <t>Lê Thị Quỳnh Hương</t>
  </si>
  <si>
    <t>huongltq</t>
  </si>
  <si>
    <t>E350069</t>
  </si>
  <si>
    <t>Lò Thị Nhung</t>
  </si>
  <si>
    <t>nhunglt5</t>
  </si>
  <si>
    <t>E110115</t>
  </si>
  <si>
    <t>Hà Thị Huệ</t>
  </si>
  <si>
    <t>hueht</t>
  </si>
  <si>
    <t>E110196</t>
  </si>
  <si>
    <t>Mai Thị Uyên</t>
  </si>
  <si>
    <t>uyenmt2</t>
  </si>
  <si>
    <t>E110197</t>
  </si>
  <si>
    <t>Đỗ Thu Hà</t>
  </si>
  <si>
    <t>hadt12</t>
  </si>
  <si>
    <t>E350093</t>
  </si>
  <si>
    <t>Hoàng Ngọc Quý</t>
  </si>
  <si>
    <t>quyhn</t>
  </si>
  <si>
    <t>E011275</t>
  </si>
  <si>
    <t>Nguyễn Hữu Thiên Tâm</t>
  </si>
  <si>
    <t>nhttam</t>
  </si>
  <si>
    <t>E014220</t>
  </si>
  <si>
    <t>Trương Thị Liến</t>
  </si>
  <si>
    <t>lientt1</t>
  </si>
  <si>
    <t>E013290</t>
  </si>
  <si>
    <t>Mai Trần Niên Thảo</t>
  </si>
  <si>
    <t>thaomtn</t>
  </si>
  <si>
    <t>E010411</t>
  </si>
  <si>
    <t>Lê Thị An Trinh</t>
  </si>
  <si>
    <t>trinhlta</t>
  </si>
  <si>
    <t>E011939</t>
  </si>
  <si>
    <t>Nguyễn Hồ Anh Thơ</t>
  </si>
  <si>
    <t>thonha</t>
  </si>
  <si>
    <t>E011953</t>
  </si>
  <si>
    <t>ptthuy</t>
  </si>
  <si>
    <t>E012352</t>
  </si>
  <si>
    <t>Vũ Phương Khanh</t>
  </si>
  <si>
    <t>khanhvp</t>
  </si>
  <si>
    <t>E012904</t>
  </si>
  <si>
    <t>Nguyễn Thị Yến Nhi</t>
  </si>
  <si>
    <t>nhithi</t>
  </si>
  <si>
    <t>E013761</t>
  </si>
  <si>
    <t>Trần Ngọc Hạnh</t>
  </si>
  <si>
    <t>hanhtn1</t>
  </si>
  <si>
    <t>E030103</t>
  </si>
  <si>
    <t>Lê Thái Phương Thy</t>
  </si>
  <si>
    <t>thyltp1</t>
  </si>
  <si>
    <t>E011356</t>
  </si>
  <si>
    <t>Hà Ngọc Uyên Phương</t>
  </si>
  <si>
    <t>phuonghnu</t>
  </si>
  <si>
    <t>E013366</t>
  </si>
  <si>
    <t>Lê Phan Huy</t>
  </si>
  <si>
    <t>huylp1</t>
  </si>
  <si>
    <t>E013743</t>
  </si>
  <si>
    <t>Nguyễn Chí Linh</t>
  </si>
  <si>
    <t>linhnc</t>
  </si>
  <si>
    <t>E013828</t>
  </si>
  <si>
    <t>maintn2</t>
  </si>
  <si>
    <t>E014479</t>
  </si>
  <si>
    <t>Nguyễn Việt Chung</t>
  </si>
  <si>
    <t>chungnv2</t>
  </si>
  <si>
    <t>E012981</t>
  </si>
  <si>
    <t>Nguyễn Nhật Kim Trang</t>
  </si>
  <si>
    <t>trangnnk</t>
  </si>
  <si>
    <t>E014360</t>
  </si>
  <si>
    <t>Phan Ngọc Yến</t>
  </si>
  <si>
    <t>yenpn</t>
  </si>
  <si>
    <t>E022192</t>
  </si>
  <si>
    <t>tmngoc</t>
  </si>
  <si>
    <t>E022300</t>
  </si>
  <si>
    <t>Đoàn Xuân Nam</t>
  </si>
  <si>
    <t>namdx</t>
  </si>
  <si>
    <t>E022335</t>
  </si>
  <si>
    <t>Nguyễn Xuân Thức</t>
  </si>
  <si>
    <t>thucnx</t>
  </si>
  <si>
    <t>E022425</t>
  </si>
  <si>
    <t>Triệu Mạnh Linh</t>
  </si>
  <si>
    <t>linhtrieu</t>
  </si>
  <si>
    <t>E023463</t>
  </si>
  <si>
    <t>Vũ Bích Ngọc</t>
  </si>
  <si>
    <t>ngocvb1</t>
  </si>
  <si>
    <t>E024399</t>
  </si>
  <si>
    <t>Bạch Thị Phương Liên</t>
  </si>
  <si>
    <t>lienbtp</t>
  </si>
  <si>
    <t>E020134</t>
  </si>
  <si>
    <t>Nguyễn Thị Phượng Hằng</t>
  </si>
  <si>
    <t>hangntp</t>
  </si>
  <si>
    <t>E020149</t>
  </si>
  <si>
    <t>trangtran</t>
  </si>
  <si>
    <t>E021284</t>
  </si>
  <si>
    <t>Trương Thanh Nhàn</t>
  </si>
  <si>
    <t>nhantruongthanh</t>
  </si>
  <si>
    <t>E021342</t>
  </si>
  <si>
    <t>Phạm Quỳnh Anh</t>
  </si>
  <si>
    <t>anhpq</t>
  </si>
  <si>
    <t>E021759</t>
  </si>
  <si>
    <t>Bùi Thị Phương Thảo</t>
  </si>
  <si>
    <t>thaobtp</t>
  </si>
  <si>
    <t>E022240</t>
  </si>
  <si>
    <t>Phạm Thị Bích Thảo</t>
  </si>
  <si>
    <t>thaoptb</t>
  </si>
  <si>
    <t>E022818</t>
  </si>
  <si>
    <t>Lê Thanh Thúy</t>
  </si>
  <si>
    <t>thuylt1</t>
  </si>
  <si>
    <t>E022846</t>
  </si>
  <si>
    <t>Đoàn Thị Duyên</t>
  </si>
  <si>
    <t>duyendt1</t>
  </si>
  <si>
    <t>E014550</t>
  </si>
  <si>
    <t>Trần Minh Giám</t>
  </si>
  <si>
    <t>giamtm</t>
  </si>
  <si>
    <t>E210080</t>
  </si>
  <si>
    <t>tuanha</t>
  </si>
  <si>
    <t>E210241</t>
  </si>
  <si>
    <t>Phan Thị Khánh Hương</t>
  </si>
  <si>
    <t>huongptk</t>
  </si>
  <si>
    <t>E060219</t>
  </si>
  <si>
    <t>Nguyễn Thủy Lam</t>
  </si>
  <si>
    <t>lamnt2</t>
  </si>
  <si>
    <t>E060009</t>
  </si>
  <si>
    <t>Nguyễn Thị Len</t>
  </si>
  <si>
    <t>lennt</t>
  </si>
  <si>
    <t>E060148</t>
  </si>
  <si>
    <t>Nguyễn Thị Thương</t>
  </si>
  <si>
    <t>thuongnt</t>
  </si>
  <si>
    <t>E060183</t>
  </si>
  <si>
    <t>Trần Thị Chiến</t>
  </si>
  <si>
    <t>chientt</t>
  </si>
  <si>
    <t>E060245</t>
  </si>
  <si>
    <t>sonnh8</t>
  </si>
  <si>
    <t>E060246</t>
  </si>
  <si>
    <t>Nguyễn Hà Trung</t>
  </si>
  <si>
    <t>trungnh6</t>
  </si>
  <si>
    <t>E350100</t>
  </si>
  <si>
    <t>quannh4</t>
  </si>
  <si>
    <t>E210062</t>
  </si>
  <si>
    <t>Nguyễn Khắc Linh</t>
  </si>
  <si>
    <t>linhnk2</t>
  </si>
  <si>
    <t>E210010</t>
  </si>
  <si>
    <t>Nguyễn Thị Nguyệt</t>
  </si>
  <si>
    <t>nguyetnguyen</t>
  </si>
  <si>
    <t>E210177</t>
  </si>
  <si>
    <t>Nguyễn Thị Tuyến</t>
  </si>
  <si>
    <t>tuyennt1</t>
  </si>
  <si>
    <t>E210239</t>
  </si>
  <si>
    <t>Nguyễn Thị Quyên</t>
  </si>
  <si>
    <t>quyennt2</t>
  </si>
  <si>
    <t>E210138</t>
  </si>
  <si>
    <t>Phạm Thị Hồng Hạnh</t>
  </si>
  <si>
    <t>pthhanh</t>
  </si>
  <si>
    <t>E210181</t>
  </si>
  <si>
    <t>Đặng Quỳnh Mai</t>
  </si>
  <si>
    <t>maidq</t>
  </si>
  <si>
    <t>E210202</t>
  </si>
  <si>
    <t>Phan Thị Tuyết</t>
  </si>
  <si>
    <t>tuyetpt1</t>
  </si>
  <si>
    <t>E210244</t>
  </si>
  <si>
    <t>Nguyễn Trà Giang</t>
  </si>
  <si>
    <t>giangnt22</t>
  </si>
  <si>
    <t>E210250</t>
  </si>
  <si>
    <t>Nguyễn Thị Bích Hạnh</t>
  </si>
  <si>
    <t>hanhntb2</t>
  </si>
  <si>
    <t>E020884</t>
  </si>
  <si>
    <t>Đỗ Thị Bích Nụ</t>
  </si>
  <si>
    <t>nudtb</t>
  </si>
  <si>
    <t>E023662</t>
  </si>
  <si>
    <t>Lê Thị Kim Ngân</t>
  </si>
  <si>
    <t>nganltk3</t>
  </si>
  <si>
    <t>E020158</t>
  </si>
  <si>
    <t>Nguyễn Thị Thu Hồng</t>
  </si>
  <si>
    <t>hongnguyen</t>
  </si>
  <si>
    <t>E022331</t>
  </si>
  <si>
    <t>Vũ Thị Nguyệt</t>
  </si>
  <si>
    <t>nguyetvt2</t>
  </si>
  <si>
    <t>E023846</t>
  </si>
  <si>
    <t>anhvtl2</t>
  </si>
  <si>
    <t>E024117</t>
  </si>
  <si>
    <t>Nguyễn Hữu Thông</t>
  </si>
  <si>
    <t>thongnh</t>
  </si>
  <si>
    <t>E300101</t>
  </si>
  <si>
    <t>Nguyễn Thanh Nhân</t>
  </si>
  <si>
    <t>nhanthanh</t>
  </si>
  <si>
    <t>E010507</t>
  </si>
  <si>
    <t>Nguyễn An Điền</t>
  </si>
  <si>
    <t>dienna</t>
  </si>
  <si>
    <t>E300061</t>
  </si>
  <si>
    <t>thanhphong</t>
  </si>
  <si>
    <t>E011194</t>
  </si>
  <si>
    <t>Đặng Thị Nhã</t>
  </si>
  <si>
    <t>dtnha</t>
  </si>
  <si>
    <t>E300027</t>
  </si>
  <si>
    <t>Dương Thị Mi Ca</t>
  </si>
  <si>
    <t>cadtm</t>
  </si>
  <si>
    <t>E300028</t>
  </si>
  <si>
    <t>Nguyễn Xuân Phúc</t>
  </si>
  <si>
    <t>phucnx</t>
  </si>
  <si>
    <t>E300054</t>
  </si>
  <si>
    <t>Dương Đức Đấu</t>
  </si>
  <si>
    <t>daudd</t>
  </si>
  <si>
    <t>E300072</t>
  </si>
  <si>
    <t>Trần Thị Mận</t>
  </si>
  <si>
    <t>mantt</t>
  </si>
  <si>
    <t>E300088</t>
  </si>
  <si>
    <t>Lê Kim Ngân</t>
  </si>
  <si>
    <t>nganlk</t>
  </si>
  <si>
    <t>E300154</t>
  </si>
  <si>
    <t>Trần Quí Thọ</t>
  </si>
  <si>
    <t>thotq</t>
  </si>
  <si>
    <t>E300161</t>
  </si>
  <si>
    <t>Trần Thị Mỹ Duyên</t>
  </si>
  <si>
    <t>duyenttm2</t>
  </si>
  <si>
    <t>E021879</t>
  </si>
  <si>
    <t>Nguyễn Đức Hoàng</t>
  </si>
  <si>
    <t>hoangduc</t>
  </si>
  <si>
    <t>E021890</t>
  </si>
  <si>
    <t>Vũ Hải Việt</t>
  </si>
  <si>
    <t>vietvu</t>
  </si>
  <si>
    <t>E021979</t>
  </si>
  <si>
    <t>anh.lt</t>
  </si>
  <si>
    <t>E022005</t>
  </si>
  <si>
    <t>ptkien</t>
  </si>
  <si>
    <t>E022019</t>
  </si>
  <si>
    <t>Nguyễn Xuân Thư</t>
  </si>
  <si>
    <t>thunx</t>
  </si>
  <si>
    <t>E022150</t>
  </si>
  <si>
    <t>Nguyễn Tuấn Minh</t>
  </si>
  <si>
    <t>ntminh</t>
  </si>
  <si>
    <t>E022181</t>
  </si>
  <si>
    <t>Lê Thị Thu Hương</t>
  </si>
  <si>
    <t>le.huong</t>
  </si>
  <si>
    <t>E022215</t>
  </si>
  <si>
    <t>Bùi Bích Phương</t>
  </si>
  <si>
    <t>phuongbb1</t>
  </si>
  <si>
    <t>E022217</t>
  </si>
  <si>
    <t>Đặng Hữu Đạo</t>
  </si>
  <si>
    <t>daodh</t>
  </si>
  <si>
    <t>E022222</t>
  </si>
  <si>
    <t>Nguyễn Quang Cường</t>
  </si>
  <si>
    <t>cuongnq2</t>
  </si>
  <si>
    <t>E022390</t>
  </si>
  <si>
    <t>pt.dung</t>
  </si>
  <si>
    <t>E022398</t>
  </si>
  <si>
    <t>phamkien</t>
  </si>
  <si>
    <t>E022437</t>
  </si>
  <si>
    <t>Chu Thành Đạt</t>
  </si>
  <si>
    <t>datct</t>
  </si>
  <si>
    <t>E022958</t>
  </si>
  <si>
    <t>Trần Đức Khang</t>
  </si>
  <si>
    <t>khangtd</t>
  </si>
  <si>
    <t>E350087</t>
  </si>
  <si>
    <t>Hoàng Thọ Phi</t>
  </si>
  <si>
    <t>phiht</t>
  </si>
  <si>
    <t>E330003</t>
  </si>
  <si>
    <t>Bùi Thanh Tiệm</t>
  </si>
  <si>
    <t>tiembt</t>
  </si>
  <si>
    <t>E021107</t>
  </si>
  <si>
    <t>Vũ Anh Tuấn</t>
  </si>
  <si>
    <t>tuanva</t>
  </si>
  <si>
    <t>E020575</t>
  </si>
  <si>
    <t>nguyenthithanhhuyen</t>
  </si>
  <si>
    <t>E330014</t>
  </si>
  <si>
    <t>Đỗ Thị Minh Thư</t>
  </si>
  <si>
    <t>thudtm</t>
  </si>
  <si>
    <t>E330040</t>
  </si>
  <si>
    <t>Trương Thị Linh</t>
  </si>
  <si>
    <t>truonglinh</t>
  </si>
  <si>
    <t>E330048</t>
  </si>
  <si>
    <t>Phạm Thị Minh Phượng</t>
  </si>
  <si>
    <t>phuongptm1</t>
  </si>
  <si>
    <t>E330051</t>
  </si>
  <si>
    <t>anhnd5</t>
  </si>
  <si>
    <t>E330059</t>
  </si>
  <si>
    <t>Phạm Thị Hoài</t>
  </si>
  <si>
    <t>hoaipt</t>
  </si>
  <si>
    <t>E330060</t>
  </si>
  <si>
    <t>Cao Thị Minh Huệ</t>
  </si>
  <si>
    <t>huectm</t>
  </si>
  <si>
    <t>E330064</t>
  </si>
  <si>
    <t>Đỗ Thị Thu</t>
  </si>
  <si>
    <t>thudt4</t>
  </si>
  <si>
    <t>E330041</t>
  </si>
  <si>
    <t>Cao Thị Thúy Minh</t>
  </si>
  <si>
    <t>minhctt</t>
  </si>
  <si>
    <t>E330042</t>
  </si>
  <si>
    <t>thuha.nt</t>
  </si>
  <si>
    <t>E330054</t>
  </si>
  <si>
    <t>Nguyễn Duy Thảnh</t>
  </si>
  <si>
    <t>thanhnd2</t>
  </si>
  <si>
    <t>E330063</t>
  </si>
  <si>
    <t>Lê Thị Thương Huyền</t>
  </si>
  <si>
    <t>huyenltt2</t>
  </si>
  <si>
    <t>E011502</t>
  </si>
  <si>
    <t>Phạm Trung Hiệp</t>
  </si>
  <si>
    <t>hieppt</t>
  </si>
  <si>
    <t>E012264</t>
  </si>
  <si>
    <t>Nguyễn Hoàng Mai</t>
  </si>
  <si>
    <t>mainh</t>
  </si>
  <si>
    <t>E013085</t>
  </si>
  <si>
    <t>Võ Nguyễn Yến Nhi</t>
  </si>
  <si>
    <t>nhivny</t>
  </si>
  <si>
    <t>E013942</t>
  </si>
  <si>
    <t>Nguyễn Hoàng Nhật Vi</t>
  </si>
  <si>
    <t>vinhn1</t>
  </si>
  <si>
    <t>E080132</t>
  </si>
  <si>
    <t>nguyenlnn1</t>
  </si>
  <si>
    <t>E150026</t>
  </si>
  <si>
    <t>Đào Thị Phương Dung</t>
  </si>
  <si>
    <t>dungdtp1</t>
  </si>
  <si>
    <t>E200110</t>
  </si>
  <si>
    <t>Nguyễn Đăng Kha</t>
  </si>
  <si>
    <t>khand</t>
  </si>
  <si>
    <t>E010941</t>
  </si>
  <si>
    <t>Nguyễn Tín Bản</t>
  </si>
  <si>
    <t>bannt</t>
  </si>
  <si>
    <t>E012500</t>
  </si>
  <si>
    <t>Trần Trung Trực</t>
  </si>
  <si>
    <t>tttruc</t>
  </si>
  <si>
    <t>E012674</t>
  </si>
  <si>
    <t>lethihien</t>
  </si>
  <si>
    <t>E013753</t>
  </si>
  <si>
    <t>Triệu Hán Quang</t>
  </si>
  <si>
    <t>quangth</t>
  </si>
  <si>
    <t>E014132</t>
  </si>
  <si>
    <t>Nguyễn Thị Mỹ Lan</t>
  </si>
  <si>
    <t>lanntm</t>
  </si>
  <si>
    <t>E014470</t>
  </si>
  <si>
    <t>Hà Tuấn Anh</t>
  </si>
  <si>
    <t>anhht2</t>
  </si>
  <si>
    <t>E190152</t>
  </si>
  <si>
    <t>Cao Thị Thu Nhung</t>
  </si>
  <si>
    <t>nhungctt</t>
  </si>
  <si>
    <t>E190155</t>
  </si>
  <si>
    <t>Trần Văn Tùng</t>
  </si>
  <si>
    <t>tungtv1</t>
  </si>
  <si>
    <t>E190183</t>
  </si>
  <si>
    <t>Lã Chí Công</t>
  </si>
  <si>
    <t>conglc</t>
  </si>
  <si>
    <t>E190194</t>
  </si>
  <si>
    <t>Nịnh Thành Chung</t>
  </si>
  <si>
    <t>chungnt2</t>
  </si>
  <si>
    <t>E190197</t>
  </si>
  <si>
    <t>Hoàng Thị Đào</t>
  </si>
  <si>
    <t>daoht1</t>
  </si>
  <si>
    <t>E190196</t>
  </si>
  <si>
    <t>Lương Minh Việt</t>
  </si>
  <si>
    <t>vietlm</t>
  </si>
  <si>
    <t>E020421</t>
  </si>
  <si>
    <t>Hoàng Hạnh Thảo</t>
  </si>
  <si>
    <t>thaohh</t>
  </si>
  <si>
    <t>E190040</t>
  </si>
  <si>
    <t>Đỗ Thị Huyền Châm</t>
  </si>
  <si>
    <t>chamdth</t>
  </si>
  <si>
    <t>E190041</t>
  </si>
  <si>
    <t>Nguyễn Thị Minh Phương</t>
  </si>
  <si>
    <t>phuongminh</t>
  </si>
  <si>
    <t>E190056</t>
  </si>
  <si>
    <t>yenhai</t>
  </si>
  <si>
    <t>E190086</t>
  </si>
  <si>
    <t>huyennm</t>
  </si>
  <si>
    <t>E190103</t>
  </si>
  <si>
    <t>nguyentrunghieu</t>
  </si>
  <si>
    <t>E190139</t>
  </si>
  <si>
    <t>Nguyễn Đỗ Quyên</t>
  </si>
  <si>
    <t>quyendo</t>
  </si>
  <si>
    <t>E190142</t>
  </si>
  <si>
    <t>Trần Thu Trang</t>
  </si>
  <si>
    <t>tranthutrang</t>
  </si>
  <si>
    <t>E190172</t>
  </si>
  <si>
    <t>Đỗ Hải Yến</t>
  </si>
  <si>
    <t>yendh1</t>
  </si>
  <si>
    <t>E350102</t>
  </si>
  <si>
    <t>Phạm Thị Kim Yến</t>
  </si>
  <si>
    <t>yenptk4</t>
  </si>
  <si>
    <t>E210236</t>
  </si>
  <si>
    <t>anhntp7</t>
  </si>
  <si>
    <t>E350092</t>
  </si>
  <si>
    <t>Mai Đức Anh</t>
  </si>
  <si>
    <t>anhmd</t>
  </si>
  <si>
    <t>E060022</t>
  </si>
  <si>
    <t>Nguyễn Hoàng Thụy Vy</t>
  </si>
  <si>
    <t>vynht</t>
  </si>
  <si>
    <t>E060201</t>
  </si>
  <si>
    <t>Nguyễn Thụy Nhật Hà</t>
  </si>
  <si>
    <t>hantn1</t>
  </si>
  <si>
    <t>E060241</t>
  </si>
  <si>
    <t>tamntm2</t>
  </si>
  <si>
    <t>E060230</t>
  </si>
  <si>
    <t>Tiếu Minh Thảo</t>
  </si>
  <si>
    <t>thaotm1</t>
  </si>
  <si>
    <t>E060249</t>
  </si>
  <si>
    <t>Đỗ Đình Tâm</t>
  </si>
  <si>
    <t>tamdd1</t>
  </si>
  <si>
    <t>E060250</t>
  </si>
  <si>
    <t>Trần Anh Tú</t>
  </si>
  <si>
    <t>tuta3</t>
  </si>
  <si>
    <t>E013769</t>
  </si>
  <si>
    <t>binhnt1</t>
  </si>
  <si>
    <t>E014178</t>
  </si>
  <si>
    <t>Nguyễn Khắc Anh</t>
  </si>
  <si>
    <t>anhnk</t>
  </si>
  <si>
    <t>E014265</t>
  </si>
  <si>
    <t>Nguyễn Chí Thành</t>
  </si>
  <si>
    <t>thanhnc2</t>
  </si>
  <si>
    <t>E010140</t>
  </si>
  <si>
    <t>Phan Thị Thu Hương</t>
  </si>
  <si>
    <t>huongptt</t>
  </si>
  <si>
    <t>E013886</t>
  </si>
  <si>
    <t>Hoàng Thị Thanh Dung</t>
  </si>
  <si>
    <t>dunghtt1</t>
  </si>
  <si>
    <t>E012272</t>
  </si>
  <si>
    <t>Nguyễn Nam Sơn</t>
  </si>
  <si>
    <t>nnson</t>
  </si>
  <si>
    <t>E013267</t>
  </si>
  <si>
    <t>Phan Đình Luận</t>
  </si>
  <si>
    <t>luanpd</t>
  </si>
  <si>
    <t>E010077</t>
  </si>
  <si>
    <t>Kim Thị Hồng Gấm</t>
  </si>
  <si>
    <t>gamkth</t>
  </si>
  <si>
    <t>E014248</t>
  </si>
  <si>
    <t>Phan Thị Kim Huyền</t>
  </si>
  <si>
    <t>huyenptk1</t>
  </si>
  <si>
    <t>E013365</t>
  </si>
  <si>
    <t>Lê Minh Quang</t>
  </si>
  <si>
    <t>QUANGLM1</t>
  </si>
  <si>
    <t>E011151</t>
  </si>
  <si>
    <t>Cao Thị Mỹ Phú</t>
  </si>
  <si>
    <t>phuctm</t>
  </si>
  <si>
    <t>E012017</t>
  </si>
  <si>
    <t>Trần Thị Mai Trâm</t>
  </si>
  <si>
    <t>tramttm</t>
  </si>
  <si>
    <t>E012723</t>
  </si>
  <si>
    <t>Tạ Nguyễn Vân Châu</t>
  </si>
  <si>
    <t>chautnv1</t>
  </si>
  <si>
    <t>E180008</t>
  </si>
  <si>
    <t>Thái Thị Yến Chi</t>
  </si>
  <si>
    <t>chitty</t>
  </si>
  <si>
    <t>E350168</t>
  </si>
  <si>
    <t>Lê Đại Nhật</t>
  </si>
  <si>
    <t>NHATLD</t>
  </si>
  <si>
    <t>E023688</t>
  </si>
  <si>
    <t>Nguyễn Đình Thuận</t>
  </si>
  <si>
    <t>thuannd1</t>
  </si>
  <si>
    <t>E100041</t>
  </si>
  <si>
    <t>Đỗ Văn Quận</t>
  </si>
  <si>
    <t>quandv</t>
  </si>
  <si>
    <t>E100050</t>
  </si>
  <si>
    <t>ntttrang</t>
  </si>
  <si>
    <t>E100156</t>
  </si>
  <si>
    <t>Trịnh Nhật Huy</t>
  </si>
  <si>
    <t>huytn</t>
  </si>
  <si>
    <t>E100198</t>
  </si>
  <si>
    <t>Tạ Xuân Hải</t>
  </si>
  <si>
    <t>haitx</t>
  </si>
  <si>
    <t>E100239</t>
  </si>
  <si>
    <t>Đỗ Thị Thu Huyền</t>
  </si>
  <si>
    <t>huyendtt2</t>
  </si>
  <si>
    <t>E100240</t>
  </si>
  <si>
    <t>anhntl1</t>
  </si>
  <si>
    <t>E100258</t>
  </si>
  <si>
    <t>anhnt32</t>
  </si>
  <si>
    <t>E100259</t>
  </si>
  <si>
    <t>tungpt11</t>
  </si>
  <si>
    <t>E100176</t>
  </si>
  <si>
    <t>nt.ngoc</t>
  </si>
  <si>
    <t>E100237</t>
  </si>
  <si>
    <t>Nguyễn Thị Hương Trà</t>
  </si>
  <si>
    <t>tranth</t>
  </si>
  <si>
    <t>E350012</t>
  </si>
  <si>
    <t>Lê Thị Thu Thủy</t>
  </si>
  <si>
    <t>thuy.ltt</t>
  </si>
  <si>
    <t>E350013</t>
  </si>
  <si>
    <t>Lê Thị Mai</t>
  </si>
  <si>
    <t>maile</t>
  </si>
  <si>
    <t>E350044</t>
  </si>
  <si>
    <t>ngant4</t>
  </si>
  <si>
    <t>E350045</t>
  </si>
  <si>
    <t>huongnt13</t>
  </si>
  <si>
    <t>E350054</t>
  </si>
  <si>
    <t>trangnt15</t>
  </si>
  <si>
    <t>E350057</t>
  </si>
  <si>
    <t>Nguyễn Thị Nương</t>
  </si>
  <si>
    <t>nuongnt</t>
  </si>
  <si>
    <t>E014589</t>
  </si>
  <si>
    <t>Bùi Văn Trọn</t>
  </si>
  <si>
    <t>tronbv</t>
  </si>
  <si>
    <t>E011064</t>
  </si>
  <si>
    <t>Nguyễn Lý Liên Thy</t>
  </si>
  <si>
    <t>thynll</t>
  </si>
  <si>
    <t>E014433</t>
  </si>
  <si>
    <t>Đỗ Đặng Diễm Chi</t>
  </si>
  <si>
    <t>chiddd</t>
  </si>
  <si>
    <t>E200403</t>
  </si>
  <si>
    <t>Trần Thị Thúy An</t>
  </si>
  <si>
    <t>anttt</t>
  </si>
  <si>
    <t>E013191</t>
  </si>
  <si>
    <t>Trần Thoại Phương</t>
  </si>
  <si>
    <t>phuongthoai</t>
  </si>
  <si>
    <t>E013384</t>
  </si>
  <si>
    <t>minhquan</t>
  </si>
  <si>
    <t>E014784</t>
  </si>
  <si>
    <t>Nguyễn Xuân Tình</t>
  </si>
  <si>
    <t>tinhnx</t>
  </si>
  <si>
    <t>E014849</t>
  </si>
  <si>
    <t>Nguyễn Đăng Bằng</t>
  </si>
  <si>
    <t>bangnd2</t>
  </si>
  <si>
    <t>E350117</t>
  </si>
  <si>
    <t>Trương Vũ Anh</t>
  </si>
  <si>
    <t>anhtv5</t>
  </si>
  <si>
    <t>E012617</t>
  </si>
  <si>
    <t>Nguyễn Văn Quấn</t>
  </si>
  <si>
    <t>quannv</t>
  </si>
  <si>
    <t>E013866</t>
  </si>
  <si>
    <t>Đặng Phạm Duyên Hạnh</t>
  </si>
  <si>
    <t>hanhdpd</t>
  </si>
  <si>
    <t>E022221</t>
  </si>
  <si>
    <t>Lê Quang Hiếu</t>
  </si>
  <si>
    <t>hieulq</t>
  </si>
  <si>
    <t>E022234</t>
  </si>
  <si>
    <t>Nguyễn Thị Tuyết</t>
  </si>
  <si>
    <t>tuyet.nt</t>
  </si>
  <si>
    <t>E022290</t>
  </si>
  <si>
    <t>Vũ Thùy Linh</t>
  </si>
  <si>
    <t>linh.vt</t>
  </si>
  <si>
    <t>E022314</t>
  </si>
  <si>
    <t>Đào Thị Phượng</t>
  </si>
  <si>
    <t>dt.phuong</t>
  </si>
  <si>
    <t>E022363</t>
  </si>
  <si>
    <t>Lý Thị Khánh Linh</t>
  </si>
  <si>
    <t>linhltk</t>
  </si>
  <si>
    <t>E022382</t>
  </si>
  <si>
    <t>Ngô Duy Đông</t>
  </si>
  <si>
    <t>dongnd</t>
  </si>
  <si>
    <t>E022406</t>
  </si>
  <si>
    <t>Chu Thị Thảo</t>
  </si>
  <si>
    <t>ctthao</t>
  </si>
  <si>
    <t>E022420</t>
  </si>
  <si>
    <t>Phùng Thị Khánh Huyền</t>
  </si>
  <si>
    <t>huyenptk</t>
  </si>
  <si>
    <t>E022499</t>
  </si>
  <si>
    <t>Ngô Thị Khánh Vân</t>
  </si>
  <si>
    <t>ntkvan</t>
  </si>
  <si>
    <t>E022512</t>
  </si>
  <si>
    <t>Vũ Thị Thanh Mai</t>
  </si>
  <si>
    <t>maivu</t>
  </si>
  <si>
    <t>E022603</t>
  </si>
  <si>
    <t>Đặng Thị Thu Hiền</t>
  </si>
  <si>
    <t>hiendtt1</t>
  </si>
  <si>
    <t>E022700</t>
  </si>
  <si>
    <t>Lại Nguyễn Quỳnh Trang</t>
  </si>
  <si>
    <t>tranglnq</t>
  </si>
  <si>
    <t>E023540</t>
  </si>
  <si>
    <t>Ngô Tiến Đạt</t>
  </si>
  <si>
    <t>datnt5</t>
  </si>
  <si>
    <t>E023800</t>
  </si>
  <si>
    <t>Nguyễn Hữu Đức</t>
  </si>
  <si>
    <t>ducnh1</t>
  </si>
  <si>
    <t>E024231</t>
  </si>
  <si>
    <t>Bành Anh Thư</t>
  </si>
  <si>
    <t>thuba2</t>
  </si>
  <si>
    <t>E024569</t>
  </si>
  <si>
    <t>Trần Mạnh Hải</t>
  </si>
  <si>
    <t>haitm5</t>
  </si>
  <si>
    <t>E120073</t>
  </si>
  <si>
    <t>Bùi Thị Nga</t>
  </si>
  <si>
    <t>ngabt</t>
  </si>
  <si>
    <t>E170040</t>
  </si>
  <si>
    <t>huongthi</t>
  </si>
  <si>
    <t>E190045</t>
  </si>
  <si>
    <t>Bùi Thị Thu Hằng</t>
  </si>
  <si>
    <t>hangbtt</t>
  </si>
  <si>
    <t>E330015</t>
  </si>
  <si>
    <t>Đặng Thị Vân Anh</t>
  </si>
  <si>
    <t>anh.dtv</t>
  </si>
  <si>
    <t>E350130</t>
  </si>
  <si>
    <t>Bùi Thị Thu Trà</t>
  </si>
  <si>
    <t>trabtt</t>
  </si>
  <si>
    <t>E021172</t>
  </si>
  <si>
    <t>Lê Thị Khắc Khoan</t>
  </si>
  <si>
    <t>khoanltk</t>
  </si>
  <si>
    <t>E020663</t>
  </si>
  <si>
    <t>Vũ Ngọc Anh</t>
  </si>
  <si>
    <t>anhvn</t>
  </si>
  <si>
    <t>E021053</t>
  </si>
  <si>
    <t>Đoàn Phương Thuận</t>
  </si>
  <si>
    <t>thuandp</t>
  </si>
  <si>
    <t>E022040</t>
  </si>
  <si>
    <t>Lê Thị Cẩm Tú</t>
  </si>
  <si>
    <t>tultc</t>
  </si>
  <si>
    <t>E023110</t>
  </si>
  <si>
    <t>giangpth3</t>
  </si>
  <si>
    <t>E023496</t>
  </si>
  <si>
    <t>Vũ Quỳnh Anh</t>
  </si>
  <si>
    <t>anhvq</t>
  </si>
  <si>
    <t>E022569</t>
  </si>
  <si>
    <t>Phạm Bình Minh</t>
  </si>
  <si>
    <t>phambinhminh</t>
  </si>
  <si>
    <t>E023169</t>
  </si>
  <si>
    <t>Nguyễn Minh Đức</t>
  </si>
  <si>
    <t>ducnm4</t>
  </si>
  <si>
    <t>E023249</t>
  </si>
  <si>
    <t>Đặng Thị Hằng</t>
  </si>
  <si>
    <t>hangdt1</t>
  </si>
  <si>
    <t>E024131</t>
  </si>
  <si>
    <t>Phạm Thị Lệ Thanh</t>
  </si>
  <si>
    <t>thanhptl</t>
  </si>
  <si>
    <t>E350083</t>
  </si>
  <si>
    <t>Lê Tuấn Tú</t>
  </si>
  <si>
    <t>tult4</t>
  </si>
  <si>
    <t>E350084</t>
  </si>
  <si>
    <t>Phạm Trần Kiều Trang</t>
  </si>
  <si>
    <t>trangptk</t>
  </si>
  <si>
    <t>E021167</t>
  </si>
  <si>
    <t>Nguyễn Phụng Anh</t>
  </si>
  <si>
    <t>phunganh</t>
  </si>
  <si>
    <t>E021390</t>
  </si>
  <si>
    <t>Phạm Thị Thùy Linh</t>
  </si>
  <si>
    <t>linhpham</t>
  </si>
  <si>
    <t>E021909</t>
  </si>
  <si>
    <t>anhntl5</t>
  </si>
  <si>
    <t>E022495</t>
  </si>
  <si>
    <t>Tạ Ngọc Tùng</t>
  </si>
  <si>
    <t>tungtn</t>
  </si>
  <si>
    <t>E022683</t>
  </si>
  <si>
    <t>linhnv1</t>
  </si>
  <si>
    <t>E022820</t>
  </si>
  <si>
    <t>quynhtt1</t>
  </si>
  <si>
    <t>E023203</t>
  </si>
  <si>
    <t>Phạm Thị Hải</t>
  </si>
  <si>
    <t>haipt1</t>
  </si>
  <si>
    <t>E023345</t>
  </si>
  <si>
    <t>hant4</t>
  </si>
  <si>
    <t>E024187</t>
  </si>
  <si>
    <t>hantt16</t>
  </si>
  <si>
    <t>E024238</t>
  </si>
  <si>
    <t>Nguyễn Thu Trang</t>
  </si>
  <si>
    <t>trangnt14</t>
  </si>
  <si>
    <t>E024266</t>
  </si>
  <si>
    <t>Đặng Quốc Đát</t>
  </si>
  <si>
    <t>datdq3</t>
  </si>
  <si>
    <t>E024363</t>
  </si>
  <si>
    <t>phuongnt29</t>
  </si>
  <si>
    <t>E024453</t>
  </si>
  <si>
    <t>Nguyễn Gia Khánh</t>
  </si>
  <si>
    <t>khanhng3</t>
  </si>
  <si>
    <t>E024358</t>
  </si>
  <si>
    <t>Vũ Khánh Linh</t>
  </si>
  <si>
    <t>linhvk2</t>
  </si>
  <si>
    <t>E020782</t>
  </si>
  <si>
    <t>Nguyễn Diệp Anh</t>
  </si>
  <si>
    <t>anhdiep</t>
  </si>
  <si>
    <t>E024676</t>
  </si>
  <si>
    <t>nhungnth14</t>
  </si>
  <si>
    <t>E024599</t>
  </si>
  <si>
    <t>Trương Thu Hiền</t>
  </si>
  <si>
    <t>hientt2</t>
  </si>
  <si>
    <t>E021349</t>
  </si>
  <si>
    <t>Bùi Việt Cường</t>
  </si>
  <si>
    <t>cuongbv</t>
  </si>
  <si>
    <t>E011366</t>
  </si>
  <si>
    <t>Ngô Thị Thủy Liên</t>
  </si>
  <si>
    <t>lienntt</t>
  </si>
  <si>
    <t>E020006</t>
  </si>
  <si>
    <t>hado</t>
  </si>
  <si>
    <t>E020008</t>
  </si>
  <si>
    <t>sonnh</t>
  </si>
  <si>
    <t>E020011</t>
  </si>
  <si>
    <t>Ngô Thị Mỹ Hương</t>
  </si>
  <si>
    <t>huongntm</t>
  </si>
  <si>
    <t>E022476</t>
  </si>
  <si>
    <t>Trần Thị Minh Châu</t>
  </si>
  <si>
    <t>chauttm</t>
  </si>
  <si>
    <t>E022572</t>
  </si>
  <si>
    <t>Vũ Thị Thường</t>
  </si>
  <si>
    <t>thuongvt1</t>
  </si>
  <si>
    <t>E023157</t>
  </si>
  <si>
    <t>Bùi Trí Hải</t>
  </si>
  <si>
    <t>haibt</t>
  </si>
  <si>
    <t>E012511</t>
  </si>
  <si>
    <t>Lê Trường Sơn</t>
  </si>
  <si>
    <t>sonlt</t>
  </si>
  <si>
    <t>E020729</t>
  </si>
  <si>
    <t>Đoàn Thị Thủy</t>
  </si>
  <si>
    <t>thuydt</t>
  </si>
  <si>
    <t>E021336</t>
  </si>
  <si>
    <t>thuytranthanh</t>
  </si>
  <si>
    <t>E021542</t>
  </si>
  <si>
    <t>ntbinh</t>
  </si>
  <si>
    <t>E021607</t>
  </si>
  <si>
    <t>Lê Thị Nhung</t>
  </si>
  <si>
    <t>nhungle</t>
  </si>
  <si>
    <t>E021625</t>
  </si>
  <si>
    <t>tuanhm</t>
  </si>
  <si>
    <t>E021689</t>
  </si>
  <si>
    <t>chinl</t>
  </si>
  <si>
    <t>E021738</t>
  </si>
  <si>
    <t>Phạm Thị Phúc Thuận</t>
  </si>
  <si>
    <t>thuanptp1</t>
  </si>
  <si>
    <t>E021950</t>
  </si>
  <si>
    <t>Bùi Thị Thơm</t>
  </si>
  <si>
    <t>thombt</t>
  </si>
  <si>
    <t>E022012</t>
  </si>
  <si>
    <t>Hoàng Hà Linh</t>
  </si>
  <si>
    <t>linhhh</t>
  </si>
  <si>
    <t>E024269</t>
  </si>
  <si>
    <t>phuongnt28</t>
  </si>
  <si>
    <t>E024500</t>
  </si>
  <si>
    <t>quyennt3</t>
  </si>
  <si>
    <t>E024527</t>
  </si>
  <si>
    <t>Nguyễn Tuấn Long</t>
  </si>
  <si>
    <t>longnt4</t>
  </si>
  <si>
    <t>E024616</t>
  </si>
  <si>
    <t>Nguyễn Thị Hải Vân</t>
  </si>
  <si>
    <t>vannth6</t>
  </si>
  <si>
    <t>E024617</t>
  </si>
  <si>
    <t>huongnt33</t>
  </si>
  <si>
    <t>E110182</t>
  </si>
  <si>
    <t>Hoàng Văn Chính</t>
  </si>
  <si>
    <t>chinhhv</t>
  </si>
  <si>
    <t>E020015</t>
  </si>
  <si>
    <t>Hoàng Thị Phương Lam</t>
  </si>
  <si>
    <t>lamhtp</t>
  </si>
  <si>
    <t>E020087</t>
  </si>
  <si>
    <t>kiennt</t>
  </si>
  <si>
    <t>E020554</t>
  </si>
  <si>
    <t>Phan Hà Minh Hằng</t>
  </si>
  <si>
    <t>hangphm</t>
  </si>
  <si>
    <t>E020620</t>
  </si>
  <si>
    <t>Phan Thị Mai Trang</t>
  </si>
  <si>
    <t>trangptm</t>
  </si>
  <si>
    <t>E021066</t>
  </si>
  <si>
    <t>Đào Đại Đạt</t>
  </si>
  <si>
    <t>datdd</t>
  </si>
  <si>
    <t>E021222</t>
  </si>
  <si>
    <t>Hoàng Thị Yến</t>
  </si>
  <si>
    <t>yenhoang</t>
  </si>
  <si>
    <t>E021785</t>
  </si>
  <si>
    <t>nthhanh</t>
  </si>
  <si>
    <t>E022583</t>
  </si>
  <si>
    <t>hoangnd1</t>
  </si>
  <si>
    <t>E020300</t>
  </si>
  <si>
    <t>lynguyen</t>
  </si>
  <si>
    <t>E190023</t>
  </si>
  <si>
    <t>Đào Mạnh Vương</t>
  </si>
  <si>
    <t>vuongdm</t>
  </si>
  <si>
    <t>E020031</t>
  </si>
  <si>
    <t>Phạm Lê Hà</t>
  </si>
  <si>
    <t>phamha</t>
  </si>
  <si>
    <t>E020367</t>
  </si>
  <si>
    <t>minhduc</t>
  </si>
  <si>
    <t>E020748</t>
  </si>
  <si>
    <t>Dương Huy Trung</t>
  </si>
  <si>
    <t>trungdh</t>
  </si>
  <si>
    <t>E021157</t>
  </si>
  <si>
    <t>Vũ Thị Minh Trang</t>
  </si>
  <si>
    <t>trangvtm</t>
  </si>
  <si>
    <t>E021226</t>
  </si>
  <si>
    <t>Ngô Thị Thu Huyền</t>
  </si>
  <si>
    <t>huyenngo</t>
  </si>
  <si>
    <t>E021296</t>
  </si>
  <si>
    <t>Nguyễn Ngọc Tuấn</t>
  </si>
  <si>
    <t>tuannguyenngoc</t>
  </si>
  <si>
    <t>E021598</t>
  </si>
  <si>
    <t>Bùi Bá Thành</t>
  </si>
  <si>
    <t>thanhbb</t>
  </si>
  <si>
    <t>E021630</t>
  </si>
  <si>
    <t>Trần Văn Chính</t>
  </si>
  <si>
    <t>chinhtv</t>
  </si>
  <si>
    <t>E021741</t>
  </si>
  <si>
    <t>quangpv</t>
  </si>
  <si>
    <t>E022180</t>
  </si>
  <si>
    <t>Hà Ngọc Mai</t>
  </si>
  <si>
    <t>maihn</t>
  </si>
  <si>
    <t>E022455</t>
  </si>
  <si>
    <t>tuanva6</t>
  </si>
  <si>
    <t>E022517</t>
  </si>
  <si>
    <t>Lê Anh Thư</t>
  </si>
  <si>
    <t>thula</t>
  </si>
  <si>
    <t>E022764</t>
  </si>
  <si>
    <t>Phạm Phương Thanh</t>
  </si>
  <si>
    <t>thanhpp</t>
  </si>
  <si>
    <t>E022859</t>
  </si>
  <si>
    <t>Lê Thị Phương Huế</t>
  </si>
  <si>
    <t>hueltp</t>
  </si>
  <si>
    <t>E024043</t>
  </si>
  <si>
    <t>Phạm Vũ Hùng</t>
  </si>
  <si>
    <t>HUNGPV4</t>
  </si>
  <si>
    <t>E024051</t>
  </si>
  <si>
    <t>Đậu Vĩnh Yên</t>
  </si>
  <si>
    <t>yendv</t>
  </si>
  <si>
    <t>E024058</t>
  </si>
  <si>
    <t>Hà Thanh Hoài</t>
  </si>
  <si>
    <t>hoaiht2</t>
  </si>
  <si>
    <t>E024060</t>
  </si>
  <si>
    <t>Đàm Văn Quang</t>
  </si>
  <si>
    <t>quangdv1</t>
  </si>
  <si>
    <t>E024062</t>
  </si>
  <si>
    <t>Vũ Thị Hồng Nhung</t>
  </si>
  <si>
    <t>nhungvth3</t>
  </si>
  <si>
    <t>E024074</t>
  </si>
  <si>
    <t>LAMNT12</t>
  </si>
  <si>
    <t>E024078</t>
  </si>
  <si>
    <t>Vũ Đình Thanh</t>
  </si>
  <si>
    <t>thanhvd</t>
  </si>
  <si>
    <t>E024084</t>
  </si>
  <si>
    <t>Nguyễn Thế Dũng</t>
  </si>
  <si>
    <t>dungnt25</t>
  </si>
  <si>
    <t>E024090</t>
  </si>
  <si>
    <t>Hoàng Phương Dung</t>
  </si>
  <si>
    <t>dunghp</t>
  </si>
  <si>
    <t>E024091</t>
  </si>
  <si>
    <t>Nguyễn Thành Đạt</t>
  </si>
  <si>
    <t>datnt13</t>
  </si>
  <si>
    <t>E024122</t>
  </si>
  <si>
    <t>Lê Thị Hồng Ngọc</t>
  </si>
  <si>
    <t>ngoclth</t>
  </si>
  <si>
    <t>E024182</t>
  </si>
  <si>
    <t>Nguyễn Huy Đông</t>
  </si>
  <si>
    <t>dongnh</t>
  </si>
  <si>
    <t>E024195</t>
  </si>
  <si>
    <t>Nguyễn Anh Trung</t>
  </si>
  <si>
    <t>trungna</t>
  </si>
  <si>
    <t>E024197</t>
  </si>
  <si>
    <t>Lê Văn Đức</t>
  </si>
  <si>
    <t>duclv5</t>
  </si>
  <si>
    <t>E024203</t>
  </si>
  <si>
    <t>Phạm Công Tiến Anh</t>
  </si>
  <si>
    <t>anhpct</t>
  </si>
  <si>
    <t>E023438</t>
  </si>
  <si>
    <t>Bùi Doãn Tiệp</t>
  </si>
  <si>
    <t>tiepbd</t>
  </si>
  <si>
    <t>E023460</t>
  </si>
  <si>
    <t>Lâm Thị Dinh</t>
  </si>
  <si>
    <t>dinhlt</t>
  </si>
  <si>
    <t>E021291</t>
  </si>
  <si>
    <t>Bùi Thị Hằng</t>
  </si>
  <si>
    <t>hangbui</t>
  </si>
  <si>
    <t>E021440</t>
  </si>
  <si>
    <t>Phan Thị Vân Anh</t>
  </si>
  <si>
    <t>anhthi</t>
  </si>
  <si>
    <t>E021650</t>
  </si>
  <si>
    <t>Trần Trung Kiên</t>
  </si>
  <si>
    <t>ttkien</t>
  </si>
  <si>
    <t>E022140</t>
  </si>
  <si>
    <t>Vũ Thị Hải Yến</t>
  </si>
  <si>
    <t>vthyen</t>
  </si>
  <si>
    <t>E022600</t>
  </si>
  <si>
    <t>Lê Hải My</t>
  </si>
  <si>
    <t>mylh</t>
  </si>
  <si>
    <t>E023229</t>
  </si>
  <si>
    <t>Lưu Thành Nam</t>
  </si>
  <si>
    <t>namlt2</t>
  </si>
  <si>
    <t>E021514</t>
  </si>
  <si>
    <t>Vũ Quang Đức</t>
  </si>
  <si>
    <t>ducvq</t>
  </si>
  <si>
    <t>E021551</t>
  </si>
  <si>
    <t>Vũ Khanh</t>
  </si>
  <si>
    <t>vukhanh</t>
  </si>
  <si>
    <t>E021579</t>
  </si>
  <si>
    <t>namhoai</t>
  </si>
  <si>
    <t>E021888</t>
  </si>
  <si>
    <t>Bùi Đức Thiện</t>
  </si>
  <si>
    <t>thienbd</t>
  </si>
  <si>
    <t>E020283</t>
  </si>
  <si>
    <t>Nguyễn Thị Hồng Nhung</t>
  </si>
  <si>
    <t>nhungnth</t>
  </si>
  <si>
    <t>E021938</t>
  </si>
  <si>
    <t>Trần Việt Thắng</t>
  </si>
  <si>
    <t>tvthang</t>
  </si>
  <si>
    <t>E020159</t>
  </si>
  <si>
    <t>Tăng Thanh Huyền</t>
  </si>
  <si>
    <t>huyentt</t>
  </si>
  <si>
    <t>E020336</t>
  </si>
  <si>
    <t>Trần Thanh Thủy</t>
  </si>
  <si>
    <t>ttthuy</t>
  </si>
  <si>
    <t>E024524</t>
  </si>
  <si>
    <t>Phạm Hồng Phúc</t>
  </si>
  <si>
    <t>phucph1</t>
  </si>
  <si>
    <t>E024531</t>
  </si>
  <si>
    <t>Trịnh Quốc Nhân</t>
  </si>
  <si>
    <t>nhantq2</t>
  </si>
  <si>
    <t>E024532</t>
  </si>
  <si>
    <t>Đinh Hùng Cường</t>
  </si>
  <si>
    <t>cuongdh2</t>
  </si>
  <si>
    <t>E024546</t>
  </si>
  <si>
    <t>toannq2</t>
  </si>
  <si>
    <t>E024564</t>
  </si>
  <si>
    <t>Đào Mạnh Hoàng</t>
  </si>
  <si>
    <t>hoangdm1</t>
  </si>
  <si>
    <t>E024570</t>
  </si>
  <si>
    <t>linhntt12</t>
  </si>
  <si>
    <t>E024571</t>
  </si>
  <si>
    <t>Nguyễn Trần Sơn</t>
  </si>
  <si>
    <t>sonnt9</t>
  </si>
  <si>
    <t>E024677</t>
  </si>
  <si>
    <t>Trần Xuân Bách</t>
  </si>
  <si>
    <t>bachtx1</t>
  </si>
  <si>
    <t>E020358</t>
  </si>
  <si>
    <t>Trần Trung Thông</t>
  </si>
  <si>
    <t>thongtt1</t>
  </si>
  <si>
    <t>E020610</t>
  </si>
  <si>
    <t>Võ Thị Trang</t>
  </si>
  <si>
    <t>trangvt3</t>
  </si>
  <si>
    <t>E022823</t>
  </si>
  <si>
    <t>Phạm Tú Anh</t>
  </si>
  <si>
    <t>anhpt2</t>
  </si>
  <si>
    <t>E023111</t>
  </si>
  <si>
    <t>phuongnt7</t>
  </si>
  <si>
    <t>E023414</t>
  </si>
  <si>
    <t>Ngô Chí Tiệp</t>
  </si>
  <si>
    <t>tiepnc</t>
  </si>
  <si>
    <t>E023595</t>
  </si>
  <si>
    <t>Lê Xuân Trường</t>
  </si>
  <si>
    <t>truonglx</t>
  </si>
  <si>
    <t>E023602</t>
  </si>
  <si>
    <t>Phạm Thanh Bình</t>
  </si>
  <si>
    <t>binhpt</t>
  </si>
  <si>
    <t>E024300</t>
  </si>
  <si>
    <t>Nguyễn Hồng Chiêm</t>
  </si>
  <si>
    <t>chiemnh</t>
  </si>
  <si>
    <t>E024301</t>
  </si>
  <si>
    <t>Vũ Minh Trang</t>
  </si>
  <si>
    <t>trangvm1</t>
  </si>
  <si>
    <t>E024302</t>
  </si>
  <si>
    <t>Nguyễn Vũ Phương Linh</t>
  </si>
  <si>
    <t>linhnvp</t>
  </si>
  <si>
    <t>E024305</t>
  </si>
  <si>
    <t>Vũ Thị Châm</t>
  </si>
  <si>
    <t>chamvt</t>
  </si>
  <si>
    <t>E024404</t>
  </si>
  <si>
    <t>Nguyễn Thanh Thúy</t>
  </si>
  <si>
    <t>thuynt31</t>
  </si>
  <si>
    <t>E350129</t>
  </si>
  <si>
    <t>Mai Thị Hằng</t>
  </si>
  <si>
    <t>hangmt</t>
  </si>
  <si>
    <t>E020075</t>
  </si>
  <si>
    <t>Đặng Thị Phương Anh</t>
  </si>
  <si>
    <t>anhdtp</t>
  </si>
  <si>
    <t>E020098</t>
  </si>
  <si>
    <t>Lê Việt Hùng</t>
  </si>
  <si>
    <t>hunglv</t>
  </si>
  <si>
    <t>E020111</t>
  </si>
  <si>
    <t>Hoàng Phi Trường</t>
  </si>
  <si>
    <t>truonghp</t>
  </si>
  <si>
    <t>E020403</t>
  </si>
  <si>
    <t>Chu Thị Trang Hằng</t>
  </si>
  <si>
    <t>hangctt</t>
  </si>
  <si>
    <t>E020474</t>
  </si>
  <si>
    <t>Nguyễn Hoàng Thi</t>
  </si>
  <si>
    <t>thinh</t>
  </si>
  <si>
    <t>E020491</t>
  </si>
  <si>
    <t>Phạm Công Thắng</t>
  </si>
  <si>
    <t>thangpc</t>
  </si>
  <si>
    <t>E021126</t>
  </si>
  <si>
    <t>Ngô Phương Linh</t>
  </si>
  <si>
    <t>linhnp</t>
  </si>
  <si>
    <t>E020277</t>
  </si>
  <si>
    <t>Lê Thị Huyền Thanh</t>
  </si>
  <si>
    <t>thanhlth</t>
  </si>
  <si>
    <t>E020284</t>
  </si>
  <si>
    <t>Lã Thu Hương</t>
  </si>
  <si>
    <t>huonglt</t>
  </si>
  <si>
    <t>E020301</t>
  </si>
  <si>
    <t>Nguyễn Thị Nga</t>
  </si>
  <si>
    <t>thinga</t>
  </si>
  <si>
    <t>E023785</t>
  </si>
  <si>
    <t>Lê Thị Thúy Hiền</t>
  </si>
  <si>
    <t>hienltt3</t>
  </si>
  <si>
    <t>E023786</t>
  </si>
  <si>
    <t>Cao Văn Sơn</t>
  </si>
  <si>
    <t>soncv</t>
  </si>
  <si>
    <t>E023849</t>
  </si>
  <si>
    <t>Phạm Xuân Trung</t>
  </si>
  <si>
    <t>trungpx</t>
  </si>
  <si>
    <t>E023850</t>
  </si>
  <si>
    <t>Nguyễn Đình Chung</t>
  </si>
  <si>
    <t>chungnd</t>
  </si>
  <si>
    <t>E023862</t>
  </si>
  <si>
    <t>Trương Minh Đức</t>
  </si>
  <si>
    <t>ductm2</t>
  </si>
  <si>
    <t>E023863</t>
  </si>
  <si>
    <t>Phạm Đức Thắng</t>
  </si>
  <si>
    <t>thangpd</t>
  </si>
  <si>
    <t>E023916</t>
  </si>
  <si>
    <t>Hoàng Công Thành</t>
  </si>
  <si>
    <t>thanhhc1</t>
  </si>
  <si>
    <t>E023929</t>
  </si>
  <si>
    <t>Bùi Thị Hồng</t>
  </si>
  <si>
    <t>HONGBT</t>
  </si>
  <si>
    <t>E023949</t>
  </si>
  <si>
    <t>Lường Đình Quân</t>
  </si>
  <si>
    <t>quanld</t>
  </si>
  <si>
    <t>E023951</t>
  </si>
  <si>
    <t>Nguyễn Bảo Long</t>
  </si>
  <si>
    <t>longnb</t>
  </si>
  <si>
    <t>E023960</t>
  </si>
  <si>
    <t>Nguyễn Thị Thoan</t>
  </si>
  <si>
    <t>thoannt1</t>
  </si>
  <si>
    <t>E023980</t>
  </si>
  <si>
    <t>DUNGNT24</t>
  </si>
  <si>
    <t>E024018</t>
  </si>
  <si>
    <t>Lê Thị Vân Nga</t>
  </si>
  <si>
    <t>ngaltv</t>
  </si>
  <si>
    <t>E024038</t>
  </si>
  <si>
    <t>Màn Ngọc Huyền</t>
  </si>
  <si>
    <t>huyenmn</t>
  </si>
  <si>
    <t>E024394</t>
  </si>
  <si>
    <t>Vũ Đức Huân</t>
  </si>
  <si>
    <t>huanvd</t>
  </si>
  <si>
    <t>E024395</t>
  </si>
  <si>
    <t>Lâm Thị Thương Huyền</t>
  </si>
  <si>
    <t>huyenltt4</t>
  </si>
  <si>
    <t>E024414</t>
  </si>
  <si>
    <t>Lê Thảo Hương</t>
  </si>
  <si>
    <t>huonglt6</t>
  </si>
  <si>
    <t>E024420</t>
  </si>
  <si>
    <t>Nguyễn Quang Tú</t>
  </si>
  <si>
    <t>tunq1</t>
  </si>
  <si>
    <t>E024422</t>
  </si>
  <si>
    <t>hangttt5</t>
  </si>
  <si>
    <t>E024459</t>
  </si>
  <si>
    <t>Nguyễn Thế Linh</t>
  </si>
  <si>
    <t>linhnt29</t>
  </si>
  <si>
    <t>E024461</t>
  </si>
  <si>
    <t>Bùi Nguyễn Đăng Việt</t>
  </si>
  <si>
    <t>vietbnd</t>
  </si>
  <si>
    <t>E024504</t>
  </si>
  <si>
    <t>Lê Văn Đàn</t>
  </si>
  <si>
    <t>danlv</t>
  </si>
  <si>
    <t>E024514</t>
  </si>
  <si>
    <t>Nguyễn Trọng Chuyển</t>
  </si>
  <si>
    <t>chuyennt</t>
  </si>
  <si>
    <t>E024530</t>
  </si>
  <si>
    <t>Lê Trường Giang</t>
  </si>
  <si>
    <t>gianglt1</t>
  </si>
  <si>
    <t>E024558</t>
  </si>
  <si>
    <t>Nguyễn Xuân Việt</t>
  </si>
  <si>
    <t>vietnx2</t>
  </si>
  <si>
    <t>E024559</t>
  </si>
  <si>
    <t>trangnm3</t>
  </si>
  <si>
    <t>E024602</t>
  </si>
  <si>
    <t>Trần Văn Hiệp</t>
  </si>
  <si>
    <t>hieptv</t>
  </si>
  <si>
    <t>E020030</t>
  </si>
  <si>
    <t>Phạm Đức Hiếu</t>
  </si>
  <si>
    <t>pdhieu</t>
  </si>
  <si>
    <t>E021856</t>
  </si>
  <si>
    <t>Lê Thị Ngọc Thủy</t>
  </si>
  <si>
    <t>thuyltn</t>
  </si>
  <si>
    <t>E022901</t>
  </si>
  <si>
    <t>Nguyễn Thị Ngọc Anh</t>
  </si>
  <si>
    <t>anhntn2</t>
  </si>
  <si>
    <t>E023041</t>
  </si>
  <si>
    <t>Nguyễn Thị Phan Tâm</t>
  </si>
  <si>
    <t>tamntp</t>
  </si>
  <si>
    <t>E024165</t>
  </si>
  <si>
    <t>anhnq6</t>
  </si>
  <si>
    <t>E021556</t>
  </si>
  <si>
    <t>Trịnh Văn Trung</t>
  </si>
  <si>
    <t>trungtrinh</t>
  </si>
  <si>
    <t>E022121</t>
  </si>
  <si>
    <t>Lê Thị Ngọc Hân</t>
  </si>
  <si>
    <t>hanltn</t>
  </si>
  <si>
    <t>E022566</t>
  </si>
  <si>
    <t>Trần Thị Thu</t>
  </si>
  <si>
    <t>ttthu</t>
  </si>
  <si>
    <t>E022747</t>
  </si>
  <si>
    <t>Nguyễn Hoa Ngọc Diệu Linh</t>
  </si>
  <si>
    <t>linhnhnd</t>
  </si>
  <si>
    <t>E022810</t>
  </si>
  <si>
    <t>Nguyễn Đạo Việt Anh</t>
  </si>
  <si>
    <t>anhndv</t>
  </si>
  <si>
    <t>E022956</t>
  </si>
  <si>
    <t>Nguyễn Việt Anh</t>
  </si>
  <si>
    <t>anhnv1</t>
  </si>
  <si>
    <t>E023174</t>
  </si>
  <si>
    <t>Đinh Thị Tuệ</t>
  </si>
  <si>
    <t>tuedt</t>
  </si>
  <si>
    <t>E023328</t>
  </si>
  <si>
    <t>Lâm Thị Ngọc Hoa</t>
  </si>
  <si>
    <t>hoaltn1</t>
  </si>
  <si>
    <t>E021351</t>
  </si>
  <si>
    <t>dung.nguyen</t>
  </si>
  <si>
    <t>E021696</t>
  </si>
  <si>
    <t>Nguyễn Mạnh Quyết</t>
  </si>
  <si>
    <t>quyetnm</t>
  </si>
  <si>
    <t>E023900</t>
  </si>
  <si>
    <t>Mai Thị Thúy Hường</t>
  </si>
  <si>
    <t>HUONGMTT</t>
  </si>
  <si>
    <t>E023902</t>
  </si>
  <si>
    <t>Nguyễn Thanh Cao</t>
  </si>
  <si>
    <t>caont1</t>
  </si>
  <si>
    <t>E024156</t>
  </si>
  <si>
    <t>Đinh Thị Phương Anh</t>
  </si>
  <si>
    <t>anhdtp3</t>
  </si>
  <si>
    <t>E024228</t>
  </si>
  <si>
    <t>Châu Quỳnh Hoa</t>
  </si>
  <si>
    <t>hoacq</t>
  </si>
  <si>
    <t>E024314</t>
  </si>
  <si>
    <t>Phan Thị Thùy Trang</t>
  </si>
  <si>
    <t>trangptt9</t>
  </si>
  <si>
    <t>E024551</t>
  </si>
  <si>
    <t>Đặng Duy Phong</t>
  </si>
  <si>
    <t>phongdd2</t>
  </si>
  <si>
    <t>E024554</t>
  </si>
  <si>
    <t>anhnn6</t>
  </si>
  <si>
    <t>E024662</t>
  </si>
  <si>
    <t>anhntv15</t>
  </si>
  <si>
    <t>E024097</t>
  </si>
  <si>
    <t>Nguyễn Thị Hà My</t>
  </si>
  <si>
    <t>mynth4</t>
  </si>
  <si>
    <t>E024561</t>
  </si>
  <si>
    <t>Nguyễn Thị Thanh Hương</t>
  </si>
  <si>
    <t>huongntt23</t>
  </si>
  <si>
    <t>E022675</t>
  </si>
  <si>
    <t>Trương Tố Uyên</t>
  </si>
  <si>
    <t>uyentruong</t>
  </si>
  <si>
    <t>E010130</t>
  </si>
  <si>
    <t>Trần Văn Huân</t>
  </si>
  <si>
    <t>huantran</t>
  </si>
  <si>
    <t>E020349</t>
  </si>
  <si>
    <t>Nguyễn Thị Thùy Hương</t>
  </si>
  <si>
    <t>huongthuy</t>
  </si>
  <si>
    <t>E021900</t>
  </si>
  <si>
    <t>nguyenhaiyen</t>
  </si>
  <si>
    <t>E022994</t>
  </si>
  <si>
    <t>nhungntp1</t>
  </si>
  <si>
    <t>E021125</t>
  </si>
  <si>
    <t>huongnguyenthithu</t>
  </si>
  <si>
    <t>E020493</t>
  </si>
  <si>
    <t>Lương Thùy Linh</t>
  </si>
  <si>
    <t>linhluong</t>
  </si>
  <si>
    <t>E022324</t>
  </si>
  <si>
    <t>hanhnt6</t>
  </si>
  <si>
    <t>E024271</t>
  </si>
  <si>
    <t>Lê Diệu Linh</t>
  </si>
  <si>
    <t>linhld4</t>
  </si>
  <si>
    <t>E023748</t>
  </si>
  <si>
    <t>thanhnv1</t>
  </si>
  <si>
    <t>E020027</t>
  </si>
  <si>
    <t>Phạm Văn Tuyền</t>
  </si>
  <si>
    <t>tuyenpv</t>
  </si>
  <si>
    <t>E021456</t>
  </si>
  <si>
    <t>Phan Tùng Anh</t>
  </si>
  <si>
    <t>anhtung</t>
  </si>
  <si>
    <t>E020067</t>
  </si>
  <si>
    <t>Nguyễn Lương Thanh Thanh</t>
  </si>
  <si>
    <t>thanhnlt</t>
  </si>
  <si>
    <t>E021670</t>
  </si>
  <si>
    <t>Đỗ Thị Phương Thảo</t>
  </si>
  <si>
    <t>thaodo</t>
  </si>
  <si>
    <t>E022413</t>
  </si>
  <si>
    <t>Trần Ngọc Hoàng</t>
  </si>
  <si>
    <t>hoangngoc</t>
  </si>
  <si>
    <t>E350238</t>
  </si>
  <si>
    <t>Trần Thị Hoài Hương</t>
  </si>
  <si>
    <t>huongtth</t>
  </si>
  <si>
    <t>E120183</t>
  </si>
  <si>
    <t>xuanntt1</t>
  </si>
  <si>
    <t>E120094</t>
  </si>
  <si>
    <t>Trịnh Thị Nhi</t>
  </si>
  <si>
    <t>nhitt1</t>
  </si>
  <si>
    <t>E120253</t>
  </si>
  <si>
    <t>Đàm Thị Thuỳ Dương</t>
  </si>
  <si>
    <t>duongdtt2</t>
  </si>
  <si>
    <t>E120268</t>
  </si>
  <si>
    <t>Nguyễn Thị Thiên Thảo</t>
  </si>
  <si>
    <t>thaontt16</t>
  </si>
  <si>
    <t>E120182</t>
  </si>
  <si>
    <t>anhntn1</t>
  </si>
  <si>
    <t>E120187</t>
  </si>
  <si>
    <t>Vũ Văn Huân</t>
  </si>
  <si>
    <t>huanvv</t>
  </si>
  <si>
    <t>E120217</t>
  </si>
  <si>
    <t>Lê Ngọc Anh</t>
  </si>
  <si>
    <t>anhln5</t>
  </si>
  <si>
    <t>E120255</t>
  </si>
  <si>
    <t>Bùi Thuý Nga</t>
  </si>
  <si>
    <t>ngabt2</t>
  </si>
  <si>
    <t>E150292</t>
  </si>
  <si>
    <t>anhpt10</t>
  </si>
  <si>
    <t>E150035</t>
  </si>
  <si>
    <t>Dương Thanh Lộc</t>
  </si>
  <si>
    <t>locdt</t>
  </si>
  <si>
    <t>E150076</t>
  </si>
  <si>
    <t>Nguyễn Thanh Phùng</t>
  </si>
  <si>
    <t>ntphung</t>
  </si>
  <si>
    <t>E150130</t>
  </si>
  <si>
    <t>Đoàn Thị Thuỳ Trang</t>
  </si>
  <si>
    <t>trangdoan</t>
  </si>
  <si>
    <t>E150234</t>
  </si>
  <si>
    <t>Trần Nguyễn Xuân Mai</t>
  </si>
  <si>
    <t>maitnx</t>
  </si>
  <si>
    <t>E150255</t>
  </si>
  <si>
    <t>tranglth2</t>
  </si>
  <si>
    <t>E150278</t>
  </si>
  <si>
    <t>Nguyễn Hữu Nam</t>
  </si>
  <si>
    <t>namnh15</t>
  </si>
  <si>
    <t>E150288</t>
  </si>
  <si>
    <t>Mai Thị Thanh Tuyền</t>
  </si>
  <si>
    <t>tuyenmtt1</t>
  </si>
  <si>
    <t>E150105</t>
  </si>
  <si>
    <t>Đinh Anh Tuấn</t>
  </si>
  <si>
    <t>tuandinh</t>
  </si>
  <si>
    <t>E150192</t>
  </si>
  <si>
    <t>Trương Thị Phương Loan</t>
  </si>
  <si>
    <t>loanttp</t>
  </si>
  <si>
    <t>E150223</t>
  </si>
  <si>
    <t>Võ Thị Quỳnh Hoa</t>
  </si>
  <si>
    <t>hoavtq</t>
  </si>
  <si>
    <t>E150241</t>
  </si>
  <si>
    <t>hienntt5</t>
  </si>
  <si>
    <t>E150275</t>
  </si>
  <si>
    <t>Nguyễn Ngọc Vân Nhi</t>
  </si>
  <si>
    <t>nhinnv</t>
  </si>
  <si>
    <t>E290109</t>
  </si>
  <si>
    <t>Nguyễn Hữu Duyên</t>
  </si>
  <si>
    <t>duyennh</t>
  </si>
  <si>
    <t>E290042</t>
  </si>
  <si>
    <t>Nguyễn Thái Bình</t>
  </si>
  <si>
    <t>binhnt9</t>
  </si>
  <si>
    <t>E290003</t>
  </si>
  <si>
    <t>Trần Thị Kim Ngọc</t>
  </si>
  <si>
    <t>ngocttk</t>
  </si>
  <si>
    <t>E290005</t>
  </si>
  <si>
    <t>Trần Văn Biển</t>
  </si>
  <si>
    <t>bientv</t>
  </si>
  <si>
    <t>E290014</t>
  </si>
  <si>
    <t>Trần Văn Minh Cảnh</t>
  </si>
  <si>
    <t>canhtvm</t>
  </si>
  <si>
    <t>E290032</t>
  </si>
  <si>
    <t>Nguyễn Vũ Thanh</t>
  </si>
  <si>
    <t>thanhnv</t>
  </si>
  <si>
    <t>E290095</t>
  </si>
  <si>
    <t>Đặng Đăng Khoa</t>
  </si>
  <si>
    <t>khoadd1</t>
  </si>
  <si>
    <t>E290113</t>
  </si>
  <si>
    <t>Nguyễn Thị Diệu</t>
  </si>
  <si>
    <t>Dieunt</t>
  </si>
  <si>
    <t>E013124</t>
  </si>
  <si>
    <t>Đặng Xuân Quang</t>
  </si>
  <si>
    <t>quangdx1</t>
  </si>
  <si>
    <t>E290035</t>
  </si>
  <si>
    <t>Nguyễn Thảo Nhi</t>
  </si>
  <si>
    <t>nhint</t>
  </si>
  <si>
    <t>E020271</t>
  </si>
  <si>
    <t>Đặng Thị Vĩ</t>
  </si>
  <si>
    <t>vidt</t>
  </si>
  <si>
    <t>E023517</t>
  </si>
  <si>
    <t>Đào Năng Cảo</t>
  </si>
  <si>
    <t>caodn</t>
  </si>
  <si>
    <t>E024192</t>
  </si>
  <si>
    <t>Tô Thị Hồng Thái</t>
  </si>
  <si>
    <t>thaitth</t>
  </si>
  <si>
    <t>E024427</t>
  </si>
  <si>
    <t>Nguyễn Viết Sơn</t>
  </si>
  <si>
    <t>sonnv4</t>
  </si>
  <si>
    <t>E024633</t>
  </si>
  <si>
    <t>haunt3</t>
  </si>
  <si>
    <t>E021730</t>
  </si>
  <si>
    <t>Trần Thị Bích Huệ</t>
  </si>
  <si>
    <t>huettb</t>
  </si>
  <si>
    <t>E022724</t>
  </si>
  <si>
    <t>Lê Thu Huyền</t>
  </si>
  <si>
    <t>huyenlt1</t>
  </si>
  <si>
    <t>E024029</t>
  </si>
  <si>
    <t>Đỗ Thị Giao Linh</t>
  </si>
  <si>
    <t>linhdtg</t>
  </si>
  <si>
    <t>E300079</t>
  </si>
  <si>
    <t>Trần Thị Kim Hương</t>
  </si>
  <si>
    <t>huongttk</t>
  </si>
  <si>
    <t>E050380</t>
  </si>
  <si>
    <t>Nguyễn Thị Hải Nghi</t>
  </si>
  <si>
    <t>nghinth</t>
  </si>
  <si>
    <t>E024369</t>
  </si>
  <si>
    <t>Nguyễn Tấn Huy</t>
  </si>
  <si>
    <t>huynt6</t>
  </si>
  <si>
    <t>E023437</t>
  </si>
  <si>
    <t>Đỗ Thế Khương</t>
  </si>
  <si>
    <t>khuongdt</t>
  </si>
  <si>
    <t>E022443</t>
  </si>
  <si>
    <t>Nguyễn Thu Huyền</t>
  </si>
  <si>
    <t>thuhuyennguyen</t>
  </si>
  <si>
    <t>E022501</t>
  </si>
  <si>
    <t>Lê Trung Anh</t>
  </si>
  <si>
    <t>letrunganh</t>
  </si>
  <si>
    <t>E022921</t>
  </si>
  <si>
    <t>dungnt2</t>
  </si>
  <si>
    <t>E022949</t>
  </si>
  <si>
    <t>lethihoa</t>
  </si>
  <si>
    <t>E023422</t>
  </si>
  <si>
    <t>Nguyễn Thị Lộc Quy</t>
  </si>
  <si>
    <t>quyntl</t>
  </si>
  <si>
    <t>E023887</t>
  </si>
  <si>
    <t>Hoàng Thị Thu Hằng</t>
  </si>
  <si>
    <t>hanghtt3</t>
  </si>
  <si>
    <t>E023912</t>
  </si>
  <si>
    <t>Bùi Đức Chung</t>
  </si>
  <si>
    <t>chungbd</t>
  </si>
  <si>
    <t>E023927</t>
  </si>
  <si>
    <t>Trịnh Khắc Đức</t>
  </si>
  <si>
    <t>ductk</t>
  </si>
  <si>
    <t>E024167</t>
  </si>
  <si>
    <t>Đỗ Ngọc Anh</t>
  </si>
  <si>
    <t>anhdn1</t>
  </si>
  <si>
    <t>E024241</t>
  </si>
  <si>
    <t>Đỗ Mai Phương</t>
  </si>
  <si>
    <t>phuongdm3</t>
  </si>
  <si>
    <t>E024311</t>
  </si>
  <si>
    <t>Trương Mỹ Hạnh</t>
  </si>
  <si>
    <t>hanhtm2</t>
  </si>
  <si>
    <t>E024345</t>
  </si>
  <si>
    <t>Vương Tiến Đạt</t>
  </si>
  <si>
    <t>datvt7</t>
  </si>
  <si>
    <t>E024473</t>
  </si>
  <si>
    <t>tuyettt5</t>
  </si>
  <si>
    <t>E024535</t>
  </si>
  <si>
    <t>Nguyễn Thị Linh</t>
  </si>
  <si>
    <t>linhnt30</t>
  </si>
  <si>
    <t>E020096</t>
  </si>
  <si>
    <t>Phạm Thị Thu Hương</t>
  </si>
  <si>
    <t>huongpham</t>
  </si>
  <si>
    <t>E020099</t>
  </si>
  <si>
    <t>Nguyễn Văn Khá</t>
  </si>
  <si>
    <t>khanv</t>
  </si>
  <si>
    <t>E020121</t>
  </si>
  <si>
    <t>Đinh Thị Lý Hòa</t>
  </si>
  <si>
    <t>hoadtl</t>
  </si>
  <si>
    <t>E020248</t>
  </si>
  <si>
    <t>Đinh Trọng Thiết</t>
  </si>
  <si>
    <t>thietdt</t>
  </si>
  <si>
    <t>E020534</t>
  </si>
  <si>
    <t>Hoàng Thị Hiền</t>
  </si>
  <si>
    <t>hthien</t>
  </si>
  <si>
    <t>E020730</t>
  </si>
  <si>
    <t>Dương Thị Tình</t>
  </si>
  <si>
    <t>tinhdt</t>
  </si>
  <si>
    <t>E020742</t>
  </si>
  <si>
    <t>Vũ Thúy Hằng</t>
  </si>
  <si>
    <t>hangthuy</t>
  </si>
  <si>
    <t>E021004</t>
  </si>
  <si>
    <t>Đào Thị Thanh Nga</t>
  </si>
  <si>
    <t>ngadao</t>
  </si>
  <si>
    <t>E021649</t>
  </si>
  <si>
    <t>binh.nt</t>
  </si>
  <si>
    <t>E021847</t>
  </si>
  <si>
    <t>Nguyễn Đức Trung</t>
  </si>
  <si>
    <t>ndtrung</t>
  </si>
  <si>
    <t>E021986</t>
  </si>
  <si>
    <t>Nguyễn Lan Chi</t>
  </si>
  <si>
    <t>chinguyen</t>
  </si>
  <si>
    <t>E021988</t>
  </si>
  <si>
    <t>Lê Mạnh Cường</t>
  </si>
  <si>
    <t>cuongle</t>
  </si>
  <si>
    <t>E022054</t>
  </si>
  <si>
    <t>Quách Thị Thùy Dương</t>
  </si>
  <si>
    <t>duongqtt</t>
  </si>
  <si>
    <t>E022065</t>
  </si>
  <si>
    <t>Đoàn Bích Ngọc</t>
  </si>
  <si>
    <t>ngocdb</t>
  </si>
  <si>
    <t>E022155</t>
  </si>
  <si>
    <t>lethidung</t>
  </si>
  <si>
    <t>E022175</t>
  </si>
  <si>
    <t>yenvu</t>
  </si>
  <si>
    <t>E022201</t>
  </si>
  <si>
    <t>vulinh</t>
  </si>
  <si>
    <t>E022318</t>
  </si>
  <si>
    <t>Phạm Thanh Huyền</t>
  </si>
  <si>
    <t>pham.huyen</t>
  </si>
  <si>
    <t>E120061</t>
  </si>
  <si>
    <t>Nguyễn Hữu Thanh</t>
  </si>
  <si>
    <t>huuthanh</t>
  </si>
  <si>
    <t>E023565</t>
  </si>
  <si>
    <t>Nguyễn Thị Bích Hòa</t>
  </si>
  <si>
    <t>hoantb</t>
  </si>
  <si>
    <t>E120054</t>
  </si>
  <si>
    <t>Mai Thị Phương Thảo</t>
  </si>
  <si>
    <t>thaomtp</t>
  </si>
  <si>
    <t>E120116</t>
  </si>
  <si>
    <t>phamthiha</t>
  </si>
  <si>
    <t>E120132</t>
  </si>
  <si>
    <t>anh.vtl</t>
  </si>
  <si>
    <t>E120211</t>
  </si>
  <si>
    <t>Cao Hương Giang</t>
  </si>
  <si>
    <t>giangch</t>
  </si>
  <si>
    <t>E120216</t>
  </si>
  <si>
    <t>Nguyễn Mạnh Tùng</t>
  </si>
  <si>
    <t>tungnm2</t>
  </si>
  <si>
    <t>E120229</t>
  </si>
  <si>
    <t>Lê Hồng Quang</t>
  </si>
  <si>
    <t>quanglh1</t>
  </si>
  <si>
    <t>E120252</t>
  </si>
  <si>
    <t>huynq15</t>
  </si>
  <si>
    <t>E120270</t>
  </si>
  <si>
    <t>Đồng Xuân Quang</t>
  </si>
  <si>
    <t>quangdx3</t>
  </si>
  <si>
    <t>E120100</t>
  </si>
  <si>
    <t>nguyendat</t>
  </si>
  <si>
    <t>E120130</t>
  </si>
  <si>
    <t>Ngô Thị Hồng Thủy</t>
  </si>
  <si>
    <t>thuynth</t>
  </si>
  <si>
    <t>E120155</t>
  </si>
  <si>
    <t>Hoàng Thị Mai Nhâm</t>
  </si>
  <si>
    <t>nhamhtm</t>
  </si>
  <si>
    <t>E120274</t>
  </si>
  <si>
    <t>Nguyễn Tiến Tài</t>
  </si>
  <si>
    <t>taint6</t>
  </si>
  <si>
    <t>E120275</t>
  </si>
  <si>
    <t>Chu Thị Ánh</t>
  </si>
  <si>
    <t>anhct1</t>
  </si>
  <si>
    <t>E014798</t>
  </si>
  <si>
    <t>Nguyễn Công Thành</t>
  </si>
  <si>
    <t>thanhnc6</t>
  </si>
  <si>
    <t>E023518</t>
  </si>
  <si>
    <t>Trịnh Cảnh Lợi</t>
  </si>
  <si>
    <t>loitc</t>
  </si>
  <si>
    <t>E020104</t>
  </si>
  <si>
    <t>Vũ Thị Thanh Huyền</t>
  </si>
  <si>
    <t>huyenvtt</t>
  </si>
  <si>
    <t>E020139</t>
  </si>
  <si>
    <t>Trần Thị Ái Xuân</t>
  </si>
  <si>
    <t>xuantta</t>
  </si>
  <si>
    <t>E023529</t>
  </si>
  <si>
    <t>Đặng Thị Tươi</t>
  </si>
  <si>
    <t>tuoidt</t>
  </si>
  <si>
    <t>E023740</t>
  </si>
  <si>
    <t>Kiều Ngọc Yến</t>
  </si>
  <si>
    <t>yenkn</t>
  </si>
  <si>
    <t>E024230</t>
  </si>
  <si>
    <t>Vũ Đức Long</t>
  </si>
  <si>
    <t>longvd</t>
  </si>
  <si>
    <t>E024327</t>
  </si>
  <si>
    <t>Nguyễn Minh Dũng</t>
  </si>
  <si>
    <t>dungnm</t>
  </si>
  <si>
    <t>E150033</t>
  </si>
  <si>
    <t>Đỗ Viết Tại</t>
  </si>
  <si>
    <t>taidv</t>
  </si>
  <si>
    <t>E010392</t>
  </si>
  <si>
    <t>Nguyễn Vũ Băng Trâm</t>
  </si>
  <si>
    <t>tramnvb</t>
  </si>
  <si>
    <t>E150044</t>
  </si>
  <si>
    <t>Đàm Thị Thu Thùy</t>
  </si>
  <si>
    <t>thuydtt</t>
  </si>
  <si>
    <t>E150303</t>
  </si>
  <si>
    <t>Nguyễn Hoài Thương Thương</t>
  </si>
  <si>
    <t>thuongnht</t>
  </si>
  <si>
    <t>E150289</t>
  </si>
  <si>
    <t>Nguyễn Nhân Hòa</t>
  </si>
  <si>
    <t>hoann1</t>
  </si>
  <si>
    <t>E150312</t>
  </si>
  <si>
    <t>Lê Nguyễn Hoàng Long</t>
  </si>
  <si>
    <t>longlnh</t>
  </si>
  <si>
    <t>E023911</t>
  </si>
  <si>
    <t>Hoàng Anh Minh</t>
  </si>
  <si>
    <t>minhha1</t>
  </si>
  <si>
    <t>E020490</t>
  </si>
  <si>
    <t>Ngô Thị Thùy Nga</t>
  </si>
  <si>
    <t>ngantt</t>
  </si>
  <si>
    <t>E022861</t>
  </si>
  <si>
    <t>Bùi Đức Thắng</t>
  </si>
  <si>
    <t>thangbd</t>
  </si>
  <si>
    <t>E020282</t>
  </si>
  <si>
    <t>Nguyễn Mạnh Hà</t>
  </si>
  <si>
    <t>hanguyen</t>
  </si>
  <si>
    <t>E022370</t>
  </si>
  <si>
    <t>Phạm Phương Thủy</t>
  </si>
  <si>
    <t>thuypp</t>
  </si>
  <si>
    <t>E022373</t>
  </si>
  <si>
    <t>Bùi Thị Thu Thùy</t>
  </si>
  <si>
    <t>thuybtt</t>
  </si>
  <si>
    <t>E022557</t>
  </si>
  <si>
    <t>nhungtranthi</t>
  </si>
  <si>
    <t>E022693</t>
  </si>
  <si>
    <t>Hoàng Văn Dương</t>
  </si>
  <si>
    <t>duonghv</t>
  </si>
  <si>
    <t>E022983</t>
  </si>
  <si>
    <t>Phạm Hà My</t>
  </si>
  <si>
    <t>myph</t>
  </si>
  <si>
    <t>E023773</t>
  </si>
  <si>
    <t>Hoàng Thị Huyền Trang</t>
  </si>
  <si>
    <t>tranghth1</t>
  </si>
  <si>
    <t>E024104</t>
  </si>
  <si>
    <t>thuytt19</t>
  </si>
  <si>
    <t>E350120</t>
  </si>
  <si>
    <t>anhnp6</t>
  </si>
  <si>
    <t>E020552</t>
  </si>
  <si>
    <t>ltthien</t>
  </si>
  <si>
    <t>E020741</t>
  </si>
  <si>
    <t>hanv</t>
  </si>
  <si>
    <t>E020833</t>
  </si>
  <si>
    <t>Đỗ Thị Hồng</t>
  </si>
  <si>
    <t>hongdt</t>
  </si>
  <si>
    <t>E020837</t>
  </si>
  <si>
    <t>lttlinh</t>
  </si>
  <si>
    <t>E021516</t>
  </si>
  <si>
    <t>Trịnh Bảo Quyên</t>
  </si>
  <si>
    <t>quyentb1</t>
  </si>
  <si>
    <t>E021673</t>
  </si>
  <si>
    <t>Nguyễn Thị Tú Anh</t>
  </si>
  <si>
    <t>anhtu</t>
  </si>
  <si>
    <t>E021679</t>
  </si>
  <si>
    <t>vuna</t>
  </si>
  <si>
    <t>E021814</t>
  </si>
  <si>
    <t>Trương Thị Kim Anh</t>
  </si>
  <si>
    <t>anhttk1</t>
  </si>
  <si>
    <t>E030020</t>
  </si>
  <si>
    <t>Trần Đức Duy</t>
  </si>
  <si>
    <t>duytd</t>
  </si>
  <si>
    <t>E290065</t>
  </si>
  <si>
    <t>Nguyễn Xuân Nhàn</t>
  </si>
  <si>
    <t>nhannx</t>
  </si>
  <si>
    <t>E290073</t>
  </si>
  <si>
    <t>Huỳnh Thị Liểu</t>
  </si>
  <si>
    <t>lieuhuynh</t>
  </si>
  <si>
    <t>E290108</t>
  </si>
  <si>
    <t>Huỳnh Thị Minh Ngọc</t>
  </si>
  <si>
    <t>ngochtm</t>
  </si>
  <si>
    <t>E290110</t>
  </si>
  <si>
    <t>Huỳnh Thị Diệu Thảo</t>
  </si>
  <si>
    <t>thaohtd1</t>
  </si>
  <si>
    <t>E170071</t>
  </si>
  <si>
    <t>Mai Thị Biển</t>
  </si>
  <si>
    <t>bienmt</t>
  </si>
  <si>
    <t>E170116</t>
  </si>
  <si>
    <t>Nguyễn Hữu Quang</t>
  </si>
  <si>
    <t>nhquang</t>
  </si>
  <si>
    <t>E170120</t>
  </si>
  <si>
    <t>Nhữ Minh Tuân</t>
  </si>
  <si>
    <t>tuannhu</t>
  </si>
  <si>
    <t>E170137</t>
  </si>
  <si>
    <t>Nguyễn Văn Lới</t>
  </si>
  <si>
    <t>loinv</t>
  </si>
  <si>
    <t>E170144</t>
  </si>
  <si>
    <t>lannt1</t>
  </si>
  <si>
    <t>E170149</t>
  </si>
  <si>
    <t>Bùi Duy Thái</t>
  </si>
  <si>
    <t>thaibd</t>
  </si>
  <si>
    <t>E170157</t>
  </si>
  <si>
    <t>Phạm Văn Cường</t>
  </si>
  <si>
    <t>E170166</t>
  </si>
  <si>
    <t>vantt1</t>
  </si>
  <si>
    <t>E170173</t>
  </si>
  <si>
    <t>Ngô Văn Toán</t>
  </si>
  <si>
    <t>toannv1</t>
  </si>
  <si>
    <t>E170084</t>
  </si>
  <si>
    <t>quangvan</t>
  </si>
  <si>
    <t>E170105</t>
  </si>
  <si>
    <t>Bùi Thị Thoa</t>
  </si>
  <si>
    <t>thoabt</t>
  </si>
  <si>
    <t>E170136</t>
  </si>
  <si>
    <t>Lê Thị Vui</t>
  </si>
  <si>
    <t>vuilt</t>
  </si>
  <si>
    <t>E170175</t>
  </si>
  <si>
    <t>Quản Đức Tiến</t>
  </si>
  <si>
    <t>tienqd</t>
  </si>
  <si>
    <t>E170181</t>
  </si>
  <si>
    <t>Nguyễn Thu Thủy</t>
  </si>
  <si>
    <t>thuynt30</t>
  </si>
  <si>
    <t>E170182</t>
  </si>
  <si>
    <t>Phạm Tuấn Long</t>
  </si>
  <si>
    <t>longpt7</t>
  </si>
  <si>
    <t>E020473</t>
  </si>
  <si>
    <t>namnv</t>
  </si>
  <si>
    <t>E350210</t>
  </si>
  <si>
    <t>Trần Hồng Nhung</t>
  </si>
  <si>
    <t>nhungth2</t>
  </si>
  <si>
    <t>E014646</t>
  </si>
  <si>
    <t>Phan Thị Thoa</t>
  </si>
  <si>
    <t>thoapt3</t>
  </si>
  <si>
    <t>E014652</t>
  </si>
  <si>
    <t>Nguyễn Anh Tú</t>
  </si>
  <si>
    <t>tuna</t>
  </si>
  <si>
    <t>E200367</t>
  </si>
  <si>
    <t>tuanna5</t>
  </si>
  <si>
    <t>E014616</t>
  </si>
  <si>
    <t>Nguyễn Trọng Trí</t>
  </si>
  <si>
    <t>trint</t>
  </si>
  <si>
    <t>E200358</t>
  </si>
  <si>
    <t>Đinh Kim Phụng</t>
  </si>
  <si>
    <t>phungdk</t>
  </si>
  <si>
    <t>E200377</t>
  </si>
  <si>
    <t>Lê Thị Thanh Duyên</t>
  </si>
  <si>
    <t>duyenltt</t>
  </si>
  <si>
    <t>E012994</t>
  </si>
  <si>
    <t>huyenngoc</t>
  </si>
  <si>
    <t>E200321</t>
  </si>
  <si>
    <t>Ngô Thị Thanh Thảo</t>
  </si>
  <si>
    <t>thaontt2</t>
  </si>
  <si>
    <t>E014796</t>
  </si>
  <si>
    <t>Trần Loan Triều Nghi</t>
  </si>
  <si>
    <t>nghitlt</t>
  </si>
  <si>
    <t>E170059</t>
  </si>
  <si>
    <t>Trần Phi Hùng</t>
  </si>
  <si>
    <t>hungphi</t>
  </si>
  <si>
    <t>E170060</t>
  </si>
  <si>
    <t>Vũ Thị Nhung</t>
  </si>
  <si>
    <t>nhungvu</t>
  </si>
  <si>
    <t>E170119</t>
  </si>
  <si>
    <t>Trần Thị Huyên</t>
  </si>
  <si>
    <t>huyentran</t>
  </si>
  <si>
    <t>E170174</t>
  </si>
  <si>
    <t>Trần Thị Ly</t>
  </si>
  <si>
    <t>lytt4</t>
  </si>
  <si>
    <t>E170096</t>
  </si>
  <si>
    <t>Hoàng Thị Hòa</t>
  </si>
  <si>
    <t>hoahoang</t>
  </si>
  <si>
    <t>E220088</t>
  </si>
  <si>
    <t>Nguyễn Công Hải</t>
  </si>
  <si>
    <t>hainc1</t>
  </si>
  <si>
    <t>ABBANK Kiên Giang</t>
  </si>
  <si>
    <t>E030257</t>
  </si>
  <si>
    <t>Nguyễn Đình Luân</t>
  </si>
  <si>
    <t>luandinh</t>
  </si>
  <si>
    <t>E013699</t>
  </si>
  <si>
    <t>Nguyễn Thị Thu Nở</t>
  </si>
  <si>
    <t>nontt</t>
  </si>
  <si>
    <t>E340085</t>
  </si>
  <si>
    <t>Nguyễn Cẩm Tuyên</t>
  </si>
  <si>
    <t>tuyennc</t>
  </si>
  <si>
    <t>E014296</t>
  </si>
  <si>
    <t>anhh1</t>
  </si>
  <si>
    <t>E014515</t>
  </si>
  <si>
    <t>Trương Lê Thái Thông</t>
  </si>
  <si>
    <t>thongtlt</t>
  </si>
  <si>
    <t>E014568</t>
  </si>
  <si>
    <t>Nguyễn Thị Minh Huệ</t>
  </si>
  <si>
    <t>huentm1</t>
  </si>
  <si>
    <t>E014662</t>
  </si>
  <si>
    <t>Nguyễn Hồ Diễm Hằng</t>
  </si>
  <si>
    <t>hangnhd</t>
  </si>
  <si>
    <t>E014680</t>
  </si>
  <si>
    <t>Lê Trần Ngọc Văn</t>
  </si>
  <si>
    <t>vanltn1</t>
  </si>
  <si>
    <t>E014703</t>
  </si>
  <si>
    <t>Lê Hồng Quân</t>
  </si>
  <si>
    <t>quanlh2</t>
  </si>
  <si>
    <t>E080001</t>
  </si>
  <si>
    <t>Đoàn Thị Hoa Hồng Nhung</t>
  </si>
  <si>
    <t>nhungdthh</t>
  </si>
  <si>
    <t>E350098</t>
  </si>
  <si>
    <t>Huỳnh Bá Vương</t>
  </si>
  <si>
    <t>vuonghb</t>
  </si>
  <si>
    <t>E011511</t>
  </si>
  <si>
    <t>Trịnh Văn Phúc</t>
  </si>
  <si>
    <t>phuctv</t>
  </si>
  <si>
    <t>E013076</t>
  </si>
  <si>
    <t>Nguyễn Thị Thanh Thúy</t>
  </si>
  <si>
    <t>thanhthuynguyen</t>
  </si>
  <si>
    <t>E020899</t>
  </si>
  <si>
    <t>Lê Anh Đức</t>
  </si>
  <si>
    <t>ducle</t>
  </si>
  <si>
    <t>E022075</t>
  </si>
  <si>
    <t>Cao Thị Hoài</t>
  </si>
  <si>
    <t>hoaict</t>
  </si>
  <si>
    <t>E022758</t>
  </si>
  <si>
    <t>Trương Thị Minh Nguyệt</t>
  </si>
  <si>
    <t>nguyetttm1</t>
  </si>
  <si>
    <t>E022875</t>
  </si>
  <si>
    <t>Nguyễn Huyền Nhung</t>
  </si>
  <si>
    <t>nhungnh1</t>
  </si>
  <si>
    <t>E023086</t>
  </si>
  <si>
    <t>Đoàn Trọng Quân</t>
  </si>
  <si>
    <t>quandt</t>
  </si>
  <si>
    <t>E023170</t>
  </si>
  <si>
    <t>Hoàng Hữu Thành</t>
  </si>
  <si>
    <t>thanhhh</t>
  </si>
  <si>
    <t>E023433</t>
  </si>
  <si>
    <t>Trần Thị Phương Quỳnh</t>
  </si>
  <si>
    <t>quynhttp</t>
  </si>
  <si>
    <t>E170018</t>
  </si>
  <si>
    <t>Hà Thị Ngọc Oanh</t>
  </si>
  <si>
    <t>oanhhtn</t>
  </si>
  <si>
    <t>E170021</t>
  </si>
  <si>
    <t>Vũ Thị Thực</t>
  </si>
  <si>
    <t>thucvt</t>
  </si>
  <si>
    <t>E170043</t>
  </si>
  <si>
    <t>Đào Thị Duyệt</t>
  </si>
  <si>
    <t>duyetdt</t>
  </si>
  <si>
    <t>E170109</t>
  </si>
  <si>
    <t>trang.thu</t>
  </si>
  <si>
    <t>E170133</t>
  </si>
  <si>
    <t>Bùi Thị Trang</t>
  </si>
  <si>
    <t>trangbt</t>
  </si>
  <si>
    <t>E170171</t>
  </si>
  <si>
    <t>Nguyễn Trang Dương</t>
  </si>
  <si>
    <t>duongnt5</t>
  </si>
  <si>
    <t>E350247</t>
  </si>
  <si>
    <t>Phạm Cẩm Ly</t>
  </si>
  <si>
    <t>lypc</t>
  </si>
  <si>
    <t>E023765</t>
  </si>
  <si>
    <t>Bùi Văn Đức</t>
  </si>
  <si>
    <t>ducbv</t>
  </si>
  <si>
    <t>E023770</t>
  </si>
  <si>
    <t>Trần Văn Thái</t>
  </si>
  <si>
    <t>thaitv</t>
  </si>
  <si>
    <t>E023788</t>
  </si>
  <si>
    <t>Bùi Mạnh Hùng</t>
  </si>
  <si>
    <t>hungbm</t>
  </si>
  <si>
    <t>E023833</t>
  </si>
  <si>
    <t>Lê Ngọc Ánh</t>
  </si>
  <si>
    <t>anhln7</t>
  </si>
  <si>
    <t>E023956</t>
  </si>
  <si>
    <t>Nguyễn Thế Minh</t>
  </si>
  <si>
    <t>minhnt6</t>
  </si>
  <si>
    <t>E024123</t>
  </si>
  <si>
    <t>linhnt25</t>
  </si>
  <si>
    <t>E024353</t>
  </si>
  <si>
    <t>Đoàn Thị Thu Hằng</t>
  </si>
  <si>
    <t>hangdtt9</t>
  </si>
  <si>
    <t>E020807</t>
  </si>
  <si>
    <t>Trần Thị Trà Giang</t>
  </si>
  <si>
    <t>tttgiang</t>
  </si>
  <si>
    <t>E020838</t>
  </si>
  <si>
    <t>Đinh Thị Vân Anh</t>
  </si>
  <si>
    <t>dtvanh</t>
  </si>
  <si>
    <t>E021007</t>
  </si>
  <si>
    <t>Vương Thị Hiên</t>
  </si>
  <si>
    <t>hienvuong</t>
  </si>
  <si>
    <t>E021423</t>
  </si>
  <si>
    <t>Nguyễn Thị Thiết</t>
  </si>
  <si>
    <t>thietnt</t>
  </si>
  <si>
    <t>E021872</t>
  </si>
  <si>
    <t>Đoàn Thanh Quang</t>
  </si>
  <si>
    <t>quangdoan</t>
  </si>
  <si>
    <t>E022634</t>
  </si>
  <si>
    <t>Võ Thị Thùy Dung</t>
  </si>
  <si>
    <t>dungvtt1</t>
  </si>
  <si>
    <t>E024072</t>
  </si>
  <si>
    <t>huongntt21</t>
  </si>
  <si>
    <t>E024518</t>
  </si>
  <si>
    <t>Nguyễn Quỳnh Giang</t>
  </si>
  <si>
    <t>giangnq</t>
  </si>
  <si>
    <t>E024661</t>
  </si>
  <si>
    <t>Nguyễn Hoàng Thanh Thư</t>
  </si>
  <si>
    <t>thunht</t>
  </si>
  <si>
    <t>E023562</t>
  </si>
  <si>
    <t>Nguyễn Phương Linh</t>
  </si>
  <si>
    <t>linhnp1</t>
  </si>
  <si>
    <t>E012149</t>
  </si>
  <si>
    <t>Nguyễn Xuân Bách</t>
  </si>
  <si>
    <t>bachnx</t>
  </si>
  <si>
    <t>E012660</t>
  </si>
  <si>
    <t>Ngô Thị Hồng Thắm</t>
  </si>
  <si>
    <t>thamnth</t>
  </si>
  <si>
    <t>E014520</t>
  </si>
  <si>
    <t>Lê Thị Thu Ngân</t>
  </si>
  <si>
    <t>nganltt1</t>
  </si>
  <si>
    <t>E012916</t>
  </si>
  <si>
    <t>Nguyễn Hoàng Thủy</t>
  </si>
  <si>
    <t>thuynh</t>
  </si>
  <si>
    <t>E014683</t>
  </si>
  <si>
    <t>Võ Hải Đăng</t>
  </si>
  <si>
    <t>dangvh1</t>
  </si>
  <si>
    <t>E014753</t>
  </si>
  <si>
    <t>Hoàng Thu Uyên</t>
  </si>
  <si>
    <t>uyenht</t>
  </si>
  <si>
    <t>E014823</t>
  </si>
  <si>
    <t>Lê Tiến Vinh</t>
  </si>
  <si>
    <t>vinhlt3</t>
  </si>
  <si>
    <t>E170010</t>
  </si>
  <si>
    <t>An Thị Hằng</t>
  </si>
  <si>
    <t>hangat</t>
  </si>
  <si>
    <t>E020444</t>
  </si>
  <si>
    <t>Ngô Thị Châu Giang</t>
  </si>
  <si>
    <t>giangntc</t>
  </si>
  <si>
    <t>E170050</t>
  </si>
  <si>
    <t>Phạm Thị Thanh Tâm</t>
  </si>
  <si>
    <t>thanhtam</t>
  </si>
  <si>
    <t>E170139</t>
  </si>
  <si>
    <t>nt.yen</t>
  </si>
  <si>
    <t>E170170</t>
  </si>
  <si>
    <t>vandtc1</t>
  </si>
  <si>
    <t>E170111</t>
  </si>
  <si>
    <t>Hoàng Thị Nhương</t>
  </si>
  <si>
    <t>nhuonghoang</t>
  </si>
  <si>
    <t>E170152</t>
  </si>
  <si>
    <t>Đỗ Thị Thúy</t>
  </si>
  <si>
    <t>thuydt3</t>
  </si>
  <si>
    <t>E170168</t>
  </si>
  <si>
    <t>huyentt4</t>
  </si>
  <si>
    <t>E150290</t>
  </si>
  <si>
    <t>thuyntt30</t>
  </si>
  <si>
    <t>E150293</t>
  </si>
  <si>
    <t>Trần Thanh Tùng</t>
  </si>
  <si>
    <t>tungtt5</t>
  </si>
  <si>
    <t>E150298</t>
  </si>
  <si>
    <t>Trương Công Trọng</t>
  </si>
  <si>
    <t>trongtc</t>
  </si>
  <si>
    <t>E150300</t>
  </si>
  <si>
    <t>Hồ Thị Kim Thảo</t>
  </si>
  <si>
    <t>thaohtk1</t>
  </si>
  <si>
    <t>E150310</t>
  </si>
  <si>
    <t>Đỗ Thị Minh Xuân</t>
  </si>
  <si>
    <t>xuandtm</t>
  </si>
  <si>
    <t>E150065</t>
  </si>
  <si>
    <t>Thân Hoàng Minh</t>
  </si>
  <si>
    <t>minhht</t>
  </si>
  <si>
    <t>E150177</t>
  </si>
  <si>
    <t>Trần Văn Lợi</t>
  </si>
  <si>
    <t>loitv</t>
  </si>
  <si>
    <t>E150299</t>
  </si>
  <si>
    <t>haint12</t>
  </si>
  <si>
    <t>E150306</t>
  </si>
  <si>
    <t>Trần Như Ngọc</t>
  </si>
  <si>
    <t>ngoctn</t>
  </si>
  <si>
    <t>E150307</t>
  </si>
  <si>
    <t>Hoàng Nguyễn Phương Thảo</t>
  </si>
  <si>
    <t>thaohnp</t>
  </si>
  <si>
    <t>E010771</t>
  </si>
  <si>
    <t>Vũ Thị Ngân</t>
  </si>
  <si>
    <t>nganvu</t>
  </si>
  <si>
    <t>E010849</t>
  </si>
  <si>
    <t>Nguyễn Thị Ngọc Thể</t>
  </si>
  <si>
    <t>thentn</t>
  </si>
  <si>
    <t>E150003</t>
  </si>
  <si>
    <t>Hà Thị Sen</t>
  </si>
  <si>
    <t>senht</t>
  </si>
  <si>
    <t>E150012</t>
  </si>
  <si>
    <t>Lê Thị Hoàng Mai</t>
  </si>
  <si>
    <t>mailth</t>
  </si>
  <si>
    <t>E150036</t>
  </si>
  <si>
    <t>Trần Thị Thơm</t>
  </si>
  <si>
    <t>thomtt</t>
  </si>
  <si>
    <t>E150043</t>
  </si>
  <si>
    <t>Nguyễn Tấn Tài</t>
  </si>
  <si>
    <t>tainguyen</t>
  </si>
  <si>
    <t>E012395</t>
  </si>
  <si>
    <t>Nguyễn Thành Trung</t>
  </si>
  <si>
    <t>nguyen.thanhtrung</t>
  </si>
  <si>
    <t>E030210</t>
  </si>
  <si>
    <t>Võ Thị Mỹ Linh</t>
  </si>
  <si>
    <t>vtmlinh</t>
  </si>
  <si>
    <t>E290017</t>
  </si>
  <si>
    <t>nhungntc</t>
  </si>
  <si>
    <t>E290040</t>
  </si>
  <si>
    <t>Huỳnh Thị Cẩm Quỳnh</t>
  </si>
  <si>
    <t>quynhhtc</t>
  </si>
  <si>
    <t>E290081</t>
  </si>
  <si>
    <t>Nguyễn Thị Ánh Tuyết</t>
  </si>
  <si>
    <t>ntatuyet</t>
  </si>
  <si>
    <t>E290117</t>
  </si>
  <si>
    <t>Dương Thị Kim Thoa</t>
  </si>
  <si>
    <t>thoadtk</t>
  </si>
  <si>
    <t>E160039</t>
  </si>
  <si>
    <t>Đặng Minh Trí</t>
  </si>
  <si>
    <t>tridm2</t>
  </si>
  <si>
    <t>E160139</t>
  </si>
  <si>
    <t>trangtth4</t>
  </si>
  <si>
    <t>E160163</t>
  </si>
  <si>
    <t>Nguyễn Thị Kim Tiền</t>
  </si>
  <si>
    <t>tienntk1</t>
  </si>
  <si>
    <t>E160166</t>
  </si>
  <si>
    <t>Phan Thị Duyên Như</t>
  </si>
  <si>
    <t>nhuptd</t>
  </si>
  <si>
    <t>E160128</t>
  </si>
  <si>
    <t>datnq1</t>
  </si>
  <si>
    <t>E160144</t>
  </si>
  <si>
    <t>Trương Thị Tuyết Ngân</t>
  </si>
  <si>
    <t>nganttt</t>
  </si>
  <si>
    <t>E160150</t>
  </si>
  <si>
    <t>Nguyễn Minh Tâm</t>
  </si>
  <si>
    <t>tamnm1</t>
  </si>
  <si>
    <t>E160157</t>
  </si>
  <si>
    <t>Thi Anh Thư</t>
  </si>
  <si>
    <t>thuta4</t>
  </si>
  <si>
    <t>E014797</t>
  </si>
  <si>
    <t>datnt15</t>
  </si>
  <si>
    <t>E200208</t>
  </si>
  <si>
    <t>Đoàn Hữu Nhiên</t>
  </si>
  <si>
    <t>nhiendh</t>
  </si>
  <si>
    <t>E011926</t>
  </si>
  <si>
    <t>Huỳnh Tấn Đạt</t>
  </si>
  <si>
    <t>datht</t>
  </si>
  <si>
    <t>E012640</t>
  </si>
  <si>
    <t>Nguyễn Hưng Lợi</t>
  </si>
  <si>
    <t>loinh</t>
  </si>
  <si>
    <t>E012689</t>
  </si>
  <si>
    <t>Bùi Duy Tân</t>
  </si>
  <si>
    <t>tanbd3</t>
  </si>
  <si>
    <t>E014029</t>
  </si>
  <si>
    <t>Lê Trương Thủy Tiên</t>
  </si>
  <si>
    <t>tienltt</t>
  </si>
  <si>
    <t>E014111</t>
  </si>
  <si>
    <t>tuannm1</t>
  </si>
  <si>
    <t>E014238</t>
  </si>
  <si>
    <t>Ngô Minh Hưng</t>
  </si>
  <si>
    <t>hungnm2</t>
  </si>
  <si>
    <t>E014299</t>
  </si>
  <si>
    <t>Trần Thị Phụng Duyên</t>
  </si>
  <si>
    <t>duyenttp</t>
  </si>
  <si>
    <t>E014419</t>
  </si>
  <si>
    <t>Lê Quang Khải</t>
  </si>
  <si>
    <t>khailq1</t>
  </si>
  <si>
    <t>E014501</t>
  </si>
  <si>
    <t>Phạm Thảo Phương</t>
  </si>
  <si>
    <t>phuongpt2</t>
  </si>
  <si>
    <t>E014514</t>
  </si>
  <si>
    <t>Lê Thị Thu Oanh</t>
  </si>
  <si>
    <t>oanhltt</t>
  </si>
  <si>
    <t>E014543</t>
  </si>
  <si>
    <t>Bùi Võ Bảo Hân</t>
  </si>
  <si>
    <t>hanbvb</t>
  </si>
  <si>
    <t>E014583</t>
  </si>
  <si>
    <t>Trần Phú Hòa</t>
  </si>
  <si>
    <t>hoatp3</t>
  </si>
  <si>
    <t>E014757</t>
  </si>
  <si>
    <t>anhnm9</t>
  </si>
  <si>
    <t>E010186</t>
  </si>
  <si>
    <t>Lê Mỹ Linh</t>
  </si>
  <si>
    <t>linhlm</t>
  </si>
  <si>
    <t>E011088</t>
  </si>
  <si>
    <t>Lưu Vinh Quang</t>
  </si>
  <si>
    <t>quanglv</t>
  </si>
  <si>
    <t>E014412</t>
  </si>
  <si>
    <t>Nguyễn Đặng Tường Vi</t>
  </si>
  <si>
    <t>vindt</t>
  </si>
  <si>
    <t>E014534</t>
  </si>
  <si>
    <t>Phan Bảo Đại</t>
  </si>
  <si>
    <t>daipb</t>
  </si>
  <si>
    <t>E014539</t>
  </si>
  <si>
    <t>Phan Huy Dũng</t>
  </si>
  <si>
    <t>dungph</t>
  </si>
  <si>
    <t>E014556</t>
  </si>
  <si>
    <t>Võ Phan Nguyệt Anh</t>
  </si>
  <si>
    <t>anhvpn</t>
  </si>
  <si>
    <t>E014564</t>
  </si>
  <si>
    <t>Nguyễn Thị Hồng Nguyên</t>
  </si>
  <si>
    <t>nguyennth2</t>
  </si>
  <si>
    <t>E014565</t>
  </si>
  <si>
    <t>Âu Khải Lợi</t>
  </si>
  <si>
    <t>loiak</t>
  </si>
  <si>
    <t>E014567</t>
  </si>
  <si>
    <t>Dương Ngọc Thanh Trúc</t>
  </si>
  <si>
    <t>trucdnt</t>
  </si>
  <si>
    <t>E014622</t>
  </si>
  <si>
    <t>Nguyễn Thị Văn Anh</t>
  </si>
  <si>
    <t>anhntv10</t>
  </si>
  <si>
    <t>E200386</t>
  </si>
  <si>
    <t>Lê Ngọc Đăng Khoa</t>
  </si>
  <si>
    <t>khoalnd</t>
  </si>
  <si>
    <t>E350072</t>
  </si>
  <si>
    <t>Huỳnh Cẩm Hạnh</t>
  </si>
  <si>
    <t>hanhhc</t>
  </si>
  <si>
    <t>E010067</t>
  </si>
  <si>
    <t>Lê Phước Dũng</t>
  </si>
  <si>
    <t>dunglp</t>
  </si>
  <si>
    <t>E220022</t>
  </si>
  <si>
    <t>Nguyễn Đại Suý</t>
  </si>
  <si>
    <t>suynd</t>
  </si>
  <si>
    <t>E220035</t>
  </si>
  <si>
    <t>Bùi Thị Diễm Kiều</t>
  </si>
  <si>
    <t>kieubtd</t>
  </si>
  <si>
    <t>E220053</t>
  </si>
  <si>
    <t>Nguyễn Hiền Lương</t>
  </si>
  <si>
    <t>luongnh</t>
  </si>
  <si>
    <t>E220054</t>
  </si>
  <si>
    <t>Huỳnh Thị Diễm Thúy</t>
  </si>
  <si>
    <t>thuyhtd</t>
  </si>
  <si>
    <t>E220086</t>
  </si>
  <si>
    <t>Trần Văn Đẹp</t>
  </si>
  <si>
    <t>deptv</t>
  </si>
  <si>
    <t>E220101</t>
  </si>
  <si>
    <t>Phạm Văn Phí</t>
  </si>
  <si>
    <t>phipv</t>
  </si>
  <si>
    <t>E220102</t>
  </si>
  <si>
    <t>Lầu Thị Mộng Bình</t>
  </si>
  <si>
    <t>binhltm</t>
  </si>
  <si>
    <t>E220021</t>
  </si>
  <si>
    <t>Trần Mỹ Phượng</t>
  </si>
  <si>
    <t>myphuong</t>
  </si>
  <si>
    <t>E220055</t>
  </si>
  <si>
    <t>Lê Trần Tú Duy</t>
  </si>
  <si>
    <t>duyltt</t>
  </si>
  <si>
    <t>E220070</t>
  </si>
  <si>
    <t>Cao Ngọc Hương</t>
  </si>
  <si>
    <t>huongcn</t>
  </si>
  <si>
    <t>E220090</t>
  </si>
  <si>
    <t>Hoàng Thị Kiều Nhi</t>
  </si>
  <si>
    <t>nhihtk</t>
  </si>
  <si>
    <t>E220105</t>
  </si>
  <si>
    <t>Dương Thị Thảo Huỳnh</t>
  </si>
  <si>
    <t>huynhdtt</t>
  </si>
  <si>
    <t>E220107</t>
  </si>
  <si>
    <t>Huỳnh Thị Kiều My</t>
  </si>
  <si>
    <t>myhtk</t>
  </si>
  <si>
    <t>E012985</t>
  </si>
  <si>
    <t>Nguyễn Minh Quang</t>
  </si>
  <si>
    <t>quangnguyen</t>
  </si>
  <si>
    <t>E014752</t>
  </si>
  <si>
    <t>Trần Thị Hà Xuyên</t>
  </si>
  <si>
    <t>xuyentth</t>
  </si>
  <si>
    <t>E011127</t>
  </si>
  <si>
    <t>Nguyễn Trung Ngôn</t>
  </si>
  <si>
    <t>ngonnt</t>
  </si>
  <si>
    <t>E011197</t>
  </si>
  <si>
    <t>Trần Thiện Hiền</t>
  </si>
  <si>
    <t>hientran</t>
  </si>
  <si>
    <t>E011208</t>
  </si>
  <si>
    <t>anhtuyet</t>
  </si>
  <si>
    <t>E011987</t>
  </si>
  <si>
    <t>Ngô Thanh Tuấn</t>
  </si>
  <si>
    <t>nttuan</t>
  </si>
  <si>
    <t>E013022</t>
  </si>
  <si>
    <t>Trần Ngọc Đào</t>
  </si>
  <si>
    <t>daotn</t>
  </si>
  <si>
    <t>E013101</t>
  </si>
  <si>
    <t>Trần Hồng Thắm</t>
  </si>
  <si>
    <t>thamth</t>
  </si>
  <si>
    <t>E013208</t>
  </si>
  <si>
    <t>Phan Thị Thu Hà</t>
  </si>
  <si>
    <t>ha.ptt</t>
  </si>
  <si>
    <t>E014105</t>
  </si>
  <si>
    <t>Trần Thị Kim Lan</t>
  </si>
  <si>
    <t>lanttk</t>
  </si>
  <si>
    <t>E014155</t>
  </si>
  <si>
    <t>Đặng Thị Kim Ngân</t>
  </si>
  <si>
    <t>ngandtk1</t>
  </si>
  <si>
    <t>E014185</t>
  </si>
  <si>
    <t>Võ Như Quỳnh</t>
  </si>
  <si>
    <t>quynhnv</t>
  </si>
  <si>
    <t>E014475</t>
  </si>
  <si>
    <t>Phan Quỳnh Như</t>
  </si>
  <si>
    <t>nhupq</t>
  </si>
  <si>
    <t>E014723</t>
  </si>
  <si>
    <t>Ngô Dương Khả Hân</t>
  </si>
  <si>
    <t>hanndk</t>
  </si>
  <si>
    <t>E014777</t>
  </si>
  <si>
    <t>Trương Thị Hà Mỹ Xuân</t>
  </si>
  <si>
    <t>xuantthm</t>
  </si>
  <si>
    <t>E200197</t>
  </si>
  <si>
    <t>Thẩm Văn Cương</t>
  </si>
  <si>
    <t>cuongtham</t>
  </si>
  <si>
    <t>E150097</t>
  </si>
  <si>
    <t>Văn Công Sơn</t>
  </si>
  <si>
    <t>vcson</t>
  </si>
  <si>
    <t>E150045</t>
  </si>
  <si>
    <t>Phan Thị Mỹ</t>
  </si>
  <si>
    <t>mypt</t>
  </si>
  <si>
    <t>E250132</t>
  </si>
  <si>
    <t>Bùi Đức Thành</t>
  </si>
  <si>
    <t>thanhbd</t>
  </si>
  <si>
    <t>E250133</t>
  </si>
  <si>
    <t>Trần Xuân Diệu</t>
  </si>
  <si>
    <t>dieutx</t>
  </si>
  <si>
    <t>E013895</t>
  </si>
  <si>
    <t>Phạm Ngọc Thông</t>
  </si>
  <si>
    <t>thongpn</t>
  </si>
  <si>
    <t>E013140</t>
  </si>
  <si>
    <t>Trần Thị Hải</t>
  </si>
  <si>
    <t>haithi</t>
  </si>
  <si>
    <t>E014054</t>
  </si>
  <si>
    <t>Bùi Thị Thùy Trang</t>
  </si>
  <si>
    <t>trangbtt</t>
  </si>
  <si>
    <t>E200298</t>
  </si>
  <si>
    <t>Võ Thị Thùy Trang</t>
  </si>
  <si>
    <t>trangvtt1</t>
  </si>
  <si>
    <t>E014661</t>
  </si>
  <si>
    <t>Bùi Lê Cẩm Hương</t>
  </si>
  <si>
    <t>huongblc</t>
  </si>
  <si>
    <t>E300006</t>
  </si>
  <si>
    <t>Đặng Thị Hải Yến</t>
  </si>
  <si>
    <t>yendth</t>
  </si>
  <si>
    <t>E300146</t>
  </si>
  <si>
    <t>Nguyễn Thị Khánh Ngọc</t>
  </si>
  <si>
    <t>ngocntk1</t>
  </si>
  <si>
    <t>E300147</t>
  </si>
  <si>
    <t>dungnk2</t>
  </si>
  <si>
    <t>E300133</t>
  </si>
  <si>
    <t>Trần Phạm Minh Khoa</t>
  </si>
  <si>
    <t>khoatpm</t>
  </si>
  <si>
    <t>E300136</t>
  </si>
  <si>
    <t>Nguyễn Hoài Liêm</t>
  </si>
  <si>
    <t>liemnh</t>
  </si>
  <si>
    <t>E300160</t>
  </si>
  <si>
    <t>Hà Thị Thảo Ngân</t>
  </si>
  <si>
    <t>nganhtt2</t>
  </si>
  <si>
    <t>E300170</t>
  </si>
  <si>
    <t>Võ Huy Kha</t>
  </si>
  <si>
    <t>khavh</t>
  </si>
  <si>
    <t>E300171</t>
  </si>
  <si>
    <t>Trần Thanh Châu</t>
  </si>
  <si>
    <t>chautt2</t>
  </si>
  <si>
    <t>E021958</t>
  </si>
  <si>
    <t>Tạ Đức Thiện</t>
  </si>
  <si>
    <t>thientd</t>
  </si>
  <si>
    <t>E020221</t>
  </si>
  <si>
    <t>tuyetnt</t>
  </si>
  <si>
    <t>E022202</t>
  </si>
  <si>
    <t>Đào Thanh Phương</t>
  </si>
  <si>
    <t>dtphuong</t>
  </si>
  <si>
    <t>E022897</t>
  </si>
  <si>
    <t>Phạm Thị Hậu</t>
  </si>
  <si>
    <t>haupt1</t>
  </si>
  <si>
    <t>E020589</t>
  </si>
  <si>
    <t>nhungdt</t>
  </si>
  <si>
    <t>E020702</t>
  </si>
  <si>
    <t>Phạm Thị Tâm</t>
  </si>
  <si>
    <t>pttam</t>
  </si>
  <si>
    <t>E022165</t>
  </si>
  <si>
    <t>Lương Ngọc Ánh</t>
  </si>
  <si>
    <t>anhluong</t>
  </si>
  <si>
    <t>E022762</t>
  </si>
  <si>
    <t>Hoàng Thu Thủy</t>
  </si>
  <si>
    <t>thuyht1</t>
  </si>
  <si>
    <t>E023230</t>
  </si>
  <si>
    <t>Phạm Thị Thu Trang</t>
  </si>
  <si>
    <t>trangptt1</t>
  </si>
  <si>
    <t>E050257</t>
  </si>
  <si>
    <t>Lê Thị Thanh Hoài</t>
  </si>
  <si>
    <t>hoailtt</t>
  </si>
  <si>
    <t>E050123</t>
  </si>
  <si>
    <t>Nguyễn Thị Kim Hoa</t>
  </si>
  <si>
    <t>hoantk</t>
  </si>
  <si>
    <t>E050370</t>
  </si>
  <si>
    <t>Lê Thị Ly Ni</t>
  </si>
  <si>
    <t>niltl</t>
  </si>
  <si>
    <t>E050259</t>
  </si>
  <si>
    <t>Đoàn Thị Kim Trâm</t>
  </si>
  <si>
    <t>dtktram</t>
  </si>
  <si>
    <t>E050268</t>
  </si>
  <si>
    <t>Võ Đình Trọng</t>
  </si>
  <si>
    <t>trongvd</t>
  </si>
  <si>
    <t>E050292</t>
  </si>
  <si>
    <t>Vũ Trần Đỗ Quyên</t>
  </si>
  <si>
    <t>quyenvtd</t>
  </si>
  <si>
    <t>E050299</t>
  </si>
  <si>
    <t>Lê Thị Thu Tâm</t>
  </si>
  <si>
    <t>tamle</t>
  </si>
  <si>
    <t>E050371</t>
  </si>
  <si>
    <t>Từ Thị Ngọc Lan</t>
  </si>
  <si>
    <t>lanttn</t>
  </si>
  <si>
    <t>E050381</t>
  </si>
  <si>
    <t>Nguyễn Thị Ngọc Dung</t>
  </si>
  <si>
    <t>dungntn</t>
  </si>
  <si>
    <t>E050389</t>
  </si>
  <si>
    <t>Nguyễn Thị Anh Thư</t>
  </si>
  <si>
    <t>thunta2</t>
  </si>
  <si>
    <t>E050416</t>
  </si>
  <si>
    <t>Dương Thùy Trang</t>
  </si>
  <si>
    <t>trangdt3</t>
  </si>
  <si>
    <t>E050457</t>
  </si>
  <si>
    <t>Nguyễn Hữu Phước</t>
  </si>
  <si>
    <t>phuocnh4</t>
  </si>
  <si>
    <t>E060156</t>
  </si>
  <si>
    <t>Võ Trung Hiếu</t>
  </si>
  <si>
    <t>vohieu</t>
  </si>
  <si>
    <t>E060152</t>
  </si>
  <si>
    <t>Nguyễn Thị Quỳnh Nga</t>
  </si>
  <si>
    <t>ngantq</t>
  </si>
  <si>
    <t>E060223</t>
  </si>
  <si>
    <t>hienntt4</t>
  </si>
  <si>
    <t>E350205</t>
  </si>
  <si>
    <t>Võ Thị Thu Trâm</t>
  </si>
  <si>
    <t>tramvtt4</t>
  </si>
  <si>
    <t>E060215</t>
  </si>
  <si>
    <t>Nguyễn Thị Thuỳ Trang</t>
  </si>
  <si>
    <t>trangntt4</t>
  </si>
  <si>
    <t>E010175</t>
  </si>
  <si>
    <t>Nguyễn Phước Hạ Lan</t>
  </si>
  <si>
    <t>lannph</t>
  </si>
  <si>
    <t>E022934</t>
  </si>
  <si>
    <t>Hoàng Diệu Linh</t>
  </si>
  <si>
    <t>linhhd1</t>
  </si>
  <si>
    <t>E023759</t>
  </si>
  <si>
    <t>duongna</t>
  </si>
  <si>
    <t>E024073</t>
  </si>
  <si>
    <t>Hoàng Ngọc Bình</t>
  </si>
  <si>
    <t>binhhn1</t>
  </si>
  <si>
    <t>E021977</t>
  </si>
  <si>
    <t>Đồng Văn Đoàn</t>
  </si>
  <si>
    <t>doandv</t>
  </si>
  <si>
    <t>E022799</t>
  </si>
  <si>
    <t>thudt1</t>
  </si>
  <si>
    <t>E023087</t>
  </si>
  <si>
    <t>huyentk</t>
  </si>
  <si>
    <t>E023792</t>
  </si>
  <si>
    <t>Hoàng Thị Thu Phương</t>
  </si>
  <si>
    <t>phuonghtt1</t>
  </si>
  <si>
    <t>E023798</t>
  </si>
  <si>
    <t>Phạm Đức Thành</t>
  </si>
  <si>
    <t>thanhpd</t>
  </si>
  <si>
    <t>E023817</t>
  </si>
  <si>
    <t>anhntm2</t>
  </si>
  <si>
    <t>E024001</t>
  </si>
  <si>
    <t>Phạm Diệu Hương</t>
  </si>
  <si>
    <t>huongpd2</t>
  </si>
  <si>
    <t>E024652</t>
  </si>
  <si>
    <t>Đào Thiện Hải</t>
  </si>
  <si>
    <t>haidt4</t>
  </si>
  <si>
    <t>STAFF_ID</t>
  </si>
  <si>
    <t>STAFF_NAME</t>
  </si>
  <si>
    <t>Cái này không xóa nha</t>
  </si>
  <si>
    <t>*Chú ý : Dữ liệu tham khảo là dữ liệu của khách hàng trên hệ thống được lấy tại thời điểm cùng kỳ năm trước so với thời điểm mà RM dự phóng, RM có thể sử dụng dữ liệu tham khảo để đưa ra quyết định dự phóng kế hoạch và hiệu quả năm tới</t>
  </si>
  <si>
    <t>2. BÁO CÁO TÀI CHÍNH VÀ KẾ HOẠCH KINH DOANH</t>
  </si>
  <si>
    <t>WELCOME TRUCNTT TO ACCOUNT PLANING</t>
  </si>
  <si>
    <t>KH HIEN HUU</t>
  </si>
  <si>
    <t>KH TIN DUNG</t>
  </si>
  <si>
    <t>ACTIVE</t>
  </si>
  <si>
    <t>11396844</t>
  </si>
  <si>
    <t>0312859051</t>
  </si>
  <si>
    <t>CT TNHH KY THUAT DIEN TU TH</t>
  </si>
  <si>
    <t>02/06/2018</t>
  </si>
  <si>
    <t>CTY TNHH KT DIEN TU TH</t>
  </si>
  <si>
    <t>2025-03-01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</si>
</sst>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 #,##0.00_-;_-* &quot;-&quot;??_-;_-@_-"/>
    <numFmt numFmtId="164" formatCode="_(* #,##0.00_);_(* \(#,##0.00\);_(* &quot;-&quot;??_);_(@_)"/>
    <numFmt numFmtId="165" formatCode="_-* #,##0_-;\-* #,##0_-;_-* &quot;-&quot;??_-;_-@_-"/>
    <numFmt numFmtId="166" formatCode="_(* #,##0_);_(* \(#,##0\);_(* &quot;-&quot;??_);_(@_)"/>
    <numFmt numFmtId="167" formatCode="_-* #,##0.0_-;\-* #,##0.0_-;_-* &quot;-&quot;??_-;_-@_-"/>
    <numFmt numFmtId="168" formatCode="[$-409]d\-mmm\-yy;@"/>
    <numFmt numFmtId="169" formatCode="dd/mm/yyyy;@"/>
    <numFmt numFmtId="170" formatCode="0.0%"/>
    <numFmt numFmtId="171" formatCode="0.000%"/>
  </numFmts>
  <fonts count="77" x14ac:knownFonts="1">
    <font>
      <sz val="11"/>
      <color theme="1"/>
      <name val="Calibri Light"/>
      <family val="2"/>
    </font>
    <font>
      <sz val="11"/>
      <color theme="1"/>
      <name val="Calibri Light"/>
      <family val="2"/>
    </font>
    <font>
      <b/>
      <sz val="10"/>
      <color theme="1"/>
      <name val="Segoe UI"/>
      <family val="2"/>
    </font>
    <font>
      <sz val="11"/>
      <color theme="1"/>
      <name val="Segoe UI"/>
      <family val="2"/>
    </font>
    <font>
      <sz val="14"/>
      <color theme="1"/>
      <name val="Segoe UI"/>
      <family val="2"/>
    </font>
    <font>
      <b/>
      <sz val="12"/>
      <color theme="1"/>
      <name val="Segoe UI"/>
      <family val="2"/>
    </font>
    <font>
      <sz val="16"/>
      <color theme="1"/>
      <name val="Segoe UI"/>
      <family val="2"/>
    </font>
    <font>
      <sz val="12"/>
      <color theme="1"/>
      <name val="Segoe UI"/>
      <family val="2"/>
    </font>
    <font>
      <b/>
      <sz val="14"/>
      <name val="Segoe UI"/>
      <family val="2"/>
    </font>
    <font>
      <b/>
      <sz val="14"/>
      <color theme="1"/>
      <name val="Segoe UI"/>
      <family val="2"/>
    </font>
    <font>
      <b/>
      <sz val="11"/>
      <color theme="1"/>
      <name val="Segoe UI"/>
      <family val="2"/>
    </font>
    <font>
      <sz val="8"/>
      <color rgb="FF000000"/>
      <name val="Segoe UI"/>
      <family val="2"/>
    </font>
    <font>
      <b/>
      <sz val="14"/>
      <color theme="0"/>
      <name val="Segoe UI"/>
      <family val="2"/>
    </font>
    <font>
      <b/>
      <sz val="12"/>
      <color rgb="FF009999"/>
      <name val="Segoe UI"/>
      <family val="2"/>
    </font>
    <font>
      <b/>
      <sz val="12"/>
      <color theme="0"/>
      <name val="Segoe UI"/>
      <family val="2"/>
    </font>
    <font>
      <u/>
      <sz val="11"/>
      <color theme="10"/>
      <name val="Calibri Light"/>
      <family val="2"/>
    </font>
    <font>
      <b/>
      <sz val="20"/>
      <color theme="1" tint="0.249977111117893"/>
      <name val="Segoe UI"/>
      <family val="2"/>
    </font>
    <font>
      <sz val="14"/>
      <name val="Segoe UI"/>
      <family val="2"/>
    </font>
    <font>
      <b/>
      <sz val="22"/>
      <color theme="7" tint="-0.249977111117893"/>
      <name val="Segoe UI"/>
      <family val="2"/>
    </font>
    <font>
      <b/>
      <sz val="11"/>
      <color theme="0"/>
      <name val="Segoe UI"/>
      <family val="2"/>
    </font>
    <font>
      <sz val="11"/>
      <color theme="0"/>
      <name val="Segoe UI"/>
      <family val="2"/>
    </font>
    <font>
      <b/>
      <sz val="11"/>
      <color rgb="FF009999"/>
      <name val="Segoe UI"/>
      <family val="2"/>
    </font>
    <font>
      <sz val="18"/>
      <color theme="1"/>
      <name val="Segoe UI"/>
      <family val="2"/>
    </font>
    <font>
      <b/>
      <sz val="20"/>
      <color theme="1"/>
      <name val="Segoe UI"/>
      <family val="2"/>
    </font>
    <font>
      <b/>
      <i/>
      <sz val="14"/>
      <color theme="1"/>
      <name val="Segoe UI"/>
      <family val="2"/>
    </font>
    <font>
      <b/>
      <sz val="11"/>
      <color theme="5"/>
      <name val="Arial"/>
      <family val="2"/>
      <scheme val="major"/>
    </font>
    <font>
      <b/>
      <sz val="11"/>
      <color theme="5"/>
      <name val="Segoe UI"/>
      <family val="2"/>
    </font>
    <font>
      <b/>
      <sz val="11"/>
      <color rgb="FFFF0000"/>
      <name val="Calibri Light"/>
      <family val="2"/>
    </font>
    <font>
      <sz val="9"/>
      <color theme="1"/>
      <name val="Calibri Light"/>
      <family val="2"/>
    </font>
    <font>
      <b/>
      <sz val="14"/>
      <color theme="5" tint="-0.249977111117893"/>
      <name val="Segoe UI"/>
      <family val="2"/>
    </font>
    <font>
      <sz val="11"/>
      <color theme="5" tint="-0.499984740745262"/>
      <name val="Segoe UI"/>
      <family val="2"/>
    </font>
    <font>
      <i/>
      <sz val="11"/>
      <color theme="1"/>
      <name val="Segoe UI"/>
      <family val="2"/>
    </font>
    <font>
      <i/>
      <sz val="10"/>
      <color theme="1"/>
      <name val="Segoe UI"/>
      <family val="2"/>
    </font>
    <font>
      <sz val="10"/>
      <color theme="1"/>
      <name val="Segoe UI"/>
      <family val="2"/>
    </font>
    <font>
      <b/>
      <sz val="11"/>
      <color theme="5" tint="-0.249977111117893"/>
      <name val="Segoe UI"/>
      <family val="2"/>
    </font>
    <font>
      <sz val="11"/>
      <name val="Segoe UI"/>
      <family val="2"/>
    </font>
    <font>
      <b/>
      <sz val="16"/>
      <color theme="5"/>
      <name val="Segoe UI"/>
      <family val="2"/>
    </font>
    <font>
      <b/>
      <sz val="16"/>
      <color theme="0"/>
      <name val="Segoe UI"/>
      <family val="2"/>
    </font>
    <font>
      <b/>
      <sz val="20"/>
      <color theme="6"/>
      <name val="Segoe UI"/>
      <family val="2"/>
    </font>
    <font>
      <b/>
      <sz val="14"/>
      <color theme="4"/>
      <name val="Segoe UI"/>
      <family val="2"/>
    </font>
    <font>
      <b/>
      <sz val="14"/>
      <color rgb="FF006666"/>
      <name val="Segoe UI"/>
      <family val="2"/>
    </font>
    <font>
      <sz val="11"/>
      <color theme="2" tint="-4.9989318521683403E-2"/>
      <name val="Segoe UI"/>
      <family val="2"/>
    </font>
    <font>
      <b/>
      <sz val="18"/>
      <color theme="5"/>
      <name val="Segoe UI"/>
      <family val="2"/>
    </font>
    <font>
      <b/>
      <sz val="20"/>
      <color theme="6" tint="0.249977111117893"/>
      <name val="Segoe UI"/>
      <family val="2"/>
    </font>
    <font>
      <b/>
      <sz val="20"/>
      <color theme="5"/>
      <name val="Segoe UI"/>
      <family val="2"/>
    </font>
    <font>
      <sz val="11"/>
      <color theme="5"/>
      <name val="Segoe UI"/>
      <family val="2"/>
    </font>
    <font>
      <sz val="11"/>
      <color theme="3" tint="-4.9989318521683403E-2"/>
      <name val="Segoe UI"/>
      <family val="2"/>
    </font>
    <font>
      <sz val="11"/>
      <color theme="7" tint="0.59999389629810485"/>
      <name val="Segoe UI"/>
      <family val="2"/>
    </font>
    <font>
      <b/>
      <sz val="14"/>
      <color theme="8" tint="-0.249977111117893"/>
      <name val="Segoe UI"/>
      <family val="2"/>
    </font>
    <font>
      <sz val="11"/>
      <color theme="6" tint="0.249977111117893"/>
      <name val="Segoe UI"/>
      <family val="2"/>
    </font>
    <font>
      <b/>
      <sz val="20"/>
      <color theme="4" tint="-0.249977111117893"/>
      <name val="Segoe UI"/>
      <family val="2"/>
    </font>
    <font>
      <b/>
      <sz val="16"/>
      <color theme="4" tint="-0.249977111117893"/>
      <name val="Segoe UI"/>
      <family val="2"/>
    </font>
    <font>
      <b/>
      <sz val="20"/>
      <color theme="9" tint="-0.249977111117893"/>
      <name val="Segoe UI"/>
      <family val="2"/>
    </font>
    <font>
      <b/>
      <sz val="20"/>
      <color theme="9" tint="-0.499984740745262"/>
      <name val="Segoe UI"/>
      <family val="2"/>
    </font>
    <font>
      <sz val="11"/>
      <color theme="6"/>
      <name val="Segoe UI"/>
      <family val="2"/>
    </font>
    <font>
      <sz val="16"/>
      <color theme="6"/>
      <name val="Segoe UI"/>
      <family val="2"/>
    </font>
    <font>
      <sz val="18"/>
      <color theme="6"/>
      <name val="Segoe UI"/>
      <family val="2"/>
    </font>
    <font>
      <sz val="14"/>
      <color theme="6"/>
      <name val="Segoe UI"/>
      <family val="2"/>
    </font>
    <font>
      <sz val="22"/>
      <color theme="6"/>
      <name val="Segoe UI"/>
      <family val="2"/>
    </font>
    <font>
      <sz val="20"/>
      <color theme="6"/>
      <name val="Segoe UI"/>
      <family val="2"/>
    </font>
    <font>
      <sz val="26"/>
      <color theme="6"/>
      <name val="Segoe UI"/>
      <family val="2"/>
    </font>
    <font>
      <b/>
      <sz val="18"/>
      <color theme="6"/>
      <name val="Segoe UI"/>
      <family val="2"/>
    </font>
    <font>
      <sz val="9"/>
      <color theme="1"/>
      <name val="Segoe UI"/>
      <family val="2"/>
    </font>
    <font>
      <b/>
      <i/>
      <sz val="10"/>
      <color theme="1"/>
      <name val="Segoe UI"/>
      <family val="2"/>
    </font>
    <font>
      <b/>
      <i/>
      <sz val="10"/>
      <color theme="9" tint="-0.249977111117893"/>
      <name val="Segoe UI"/>
      <family val="2"/>
    </font>
    <font>
      <b/>
      <i/>
      <sz val="9"/>
      <color theme="1"/>
      <name val="Segoe UI"/>
      <family val="2"/>
    </font>
    <font>
      <b/>
      <sz val="10"/>
      <color theme="6"/>
      <name val="Segoe UI"/>
      <family val="2"/>
    </font>
    <font>
      <sz val="11"/>
      <color theme="2" tint="-4.9989318521683403E-2"/>
      <name val="Calibri Light"/>
      <family val="2"/>
    </font>
    <font>
      <b/>
      <sz val="16"/>
      <color theme="6"/>
      <name val="Segoe UI"/>
      <family val="2"/>
    </font>
    <font>
      <sz val="9"/>
      <color rgb="FF009999"/>
      <name val="Segoe UI"/>
      <family val="2"/>
    </font>
    <font>
      <b/>
      <sz val="9"/>
      <color theme="1"/>
      <name val="Segoe UI"/>
      <family val="2"/>
    </font>
    <font>
      <sz val="11"/>
      <color theme="3"/>
      <name val="Segoe UI"/>
      <family val="2"/>
    </font>
    <font>
      <b/>
      <sz val="24"/>
      <color theme="9" tint="-0.499984740745262"/>
      <name val="Segoe UI"/>
      <family val="2"/>
    </font>
    <font>
      <b/>
      <sz val="13"/>
      <color theme="8"/>
      <name val="Segoe UI"/>
      <family val="2"/>
    </font>
    <font>
      <b/>
      <sz val="12"/>
      <color theme="3" tint="-4.9989318521683403E-2"/>
      <name val="Segoe UI"/>
      <family val="2"/>
    </font>
    <font>
      <sz val="13"/>
      <color theme="1"/>
      <name val="Segoe UI"/>
      <family val="2"/>
    </font>
    <font>
      <sz val="20"/>
      <color theme="1"/>
      <name val="Segoe UI"/>
      <family val="2"/>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2"/>
        <bgColor indexed="64"/>
      </patternFill>
    </fill>
    <fill>
      <patternFill patternType="solid">
        <fgColor theme="2" tint="-4.9989318521683403E-2"/>
        <bgColor indexed="64"/>
      </patternFill>
    </fill>
    <fill>
      <patternFill patternType="solid">
        <fgColor rgb="FFCAF0F0"/>
        <bgColor indexed="64"/>
      </patternFill>
    </fill>
    <fill>
      <patternFill patternType="solid">
        <fgColor rgb="FFFFFF99"/>
        <bgColor indexed="64"/>
      </patternFill>
    </fill>
    <fill>
      <patternFill patternType="solid">
        <fgColor rgb="FF009999"/>
        <bgColor indexed="64"/>
      </patternFill>
    </fill>
    <fill>
      <patternFill patternType="solid">
        <fgColor rgb="FFFFEFBD"/>
        <bgColor indexed="64"/>
      </patternFill>
    </fill>
    <fill>
      <patternFill patternType="solid">
        <fgColor theme="3" tint="-4.9989318521683403E-2"/>
        <bgColor indexed="64"/>
      </patternFill>
    </fill>
    <fill>
      <patternFill patternType="solid">
        <fgColor rgb="FFFFFF00"/>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s>
  <borders count="80">
    <border>
      <left/>
      <right/>
      <top/>
      <bottom/>
      <diagonal/>
    </border>
    <border>
      <left style="hair">
        <color theme="7" tint="-0.24994659260841701"/>
      </left>
      <right/>
      <top style="hair">
        <color theme="7" tint="-0.24994659260841701"/>
      </top>
      <bottom style="hair">
        <color theme="7" tint="-0.24994659260841701"/>
      </bottom>
      <diagonal/>
    </border>
    <border>
      <left/>
      <right/>
      <top style="hair">
        <color theme="7" tint="-0.24994659260841701"/>
      </top>
      <bottom style="hair">
        <color theme="7" tint="-0.24994659260841701"/>
      </bottom>
      <diagonal/>
    </border>
    <border>
      <left/>
      <right style="hair">
        <color theme="7" tint="-0.24994659260841701"/>
      </right>
      <top style="hair">
        <color theme="7" tint="-0.24994659260841701"/>
      </top>
      <bottom style="hair">
        <color theme="7" tint="-0.24994659260841701"/>
      </bottom>
      <diagonal/>
    </border>
    <border>
      <left/>
      <right/>
      <top/>
      <bottom style="hair">
        <color theme="7" tint="-0.24994659260841701"/>
      </bottom>
      <diagonal/>
    </border>
    <border>
      <left/>
      <right/>
      <top style="double">
        <color rgb="FF006666"/>
      </top>
      <bottom style="double">
        <color rgb="FF006666"/>
      </bottom>
      <diagonal/>
    </border>
    <border>
      <left/>
      <right/>
      <top/>
      <bottom style="hair">
        <color theme="1" tint="0.24994659260841701"/>
      </bottom>
      <diagonal/>
    </border>
    <border>
      <left/>
      <right/>
      <top style="hair">
        <color theme="1" tint="0.24994659260841701"/>
      </top>
      <bottom style="hair">
        <color theme="1" tint="0.24994659260841701"/>
      </bottom>
      <diagonal/>
    </border>
    <border>
      <left style="thin">
        <color theme="0"/>
      </left>
      <right style="thin">
        <color theme="0"/>
      </right>
      <top style="thin">
        <color theme="0"/>
      </top>
      <bottom/>
      <diagonal/>
    </border>
    <border>
      <left style="thin">
        <color theme="0"/>
      </left>
      <right/>
      <top style="thin">
        <color theme="0"/>
      </top>
      <bottom/>
      <diagonal/>
    </border>
    <border>
      <left/>
      <right/>
      <top/>
      <bottom style="thin">
        <color theme="0"/>
      </bottom>
      <diagonal/>
    </border>
    <border>
      <left style="medium">
        <color theme="6"/>
      </left>
      <right/>
      <top style="medium">
        <color theme="6"/>
      </top>
      <bottom/>
      <diagonal/>
    </border>
    <border>
      <left/>
      <right/>
      <top style="medium">
        <color theme="6"/>
      </top>
      <bottom/>
      <diagonal/>
    </border>
    <border>
      <left/>
      <right style="medium">
        <color theme="6"/>
      </right>
      <top style="medium">
        <color theme="6"/>
      </top>
      <bottom/>
      <diagonal/>
    </border>
    <border>
      <left style="medium">
        <color theme="6"/>
      </left>
      <right/>
      <top/>
      <bottom/>
      <diagonal/>
    </border>
    <border>
      <left/>
      <right style="medium">
        <color theme="6"/>
      </right>
      <top/>
      <bottom/>
      <diagonal/>
    </border>
    <border>
      <left style="medium">
        <color theme="6"/>
      </left>
      <right/>
      <top style="double">
        <color rgb="FF006666"/>
      </top>
      <bottom style="double">
        <color rgb="FF006666"/>
      </bottom>
      <diagonal/>
    </border>
    <border>
      <left/>
      <right style="medium">
        <color theme="6"/>
      </right>
      <top style="double">
        <color rgb="FF006666"/>
      </top>
      <bottom style="double">
        <color rgb="FF006666"/>
      </bottom>
      <diagonal/>
    </border>
    <border>
      <left style="medium">
        <color theme="6"/>
      </left>
      <right/>
      <top/>
      <bottom style="medium">
        <color theme="6"/>
      </bottom>
      <diagonal/>
    </border>
    <border>
      <left/>
      <right/>
      <top/>
      <bottom style="medium">
        <color theme="6"/>
      </bottom>
      <diagonal/>
    </border>
    <border>
      <left/>
      <right style="medium">
        <color theme="6"/>
      </right>
      <top/>
      <bottom style="medium">
        <color theme="6"/>
      </bottom>
      <diagonal/>
    </border>
    <border>
      <left/>
      <right style="hair">
        <color theme="7" tint="-0.24994659260841701"/>
      </right>
      <top/>
      <bottom/>
      <diagonal/>
    </border>
    <border>
      <left style="hair">
        <color theme="7" tint="-0.24994659260841701"/>
      </left>
      <right style="medium">
        <color theme="6"/>
      </right>
      <top/>
      <bottom/>
      <diagonal/>
    </border>
    <border>
      <left/>
      <right/>
      <top style="double">
        <color rgb="FF006666"/>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medium">
        <color theme="7" tint="-0.24994659260841701"/>
      </left>
      <right/>
      <top/>
      <bottom style="medium">
        <color theme="7" tint="-0.24994659260841701"/>
      </bottom>
      <diagonal/>
    </border>
    <border>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
      <left/>
      <right/>
      <top style="hair">
        <color theme="1" tint="0.24994659260841701"/>
      </top>
      <bottom/>
      <diagonal/>
    </border>
    <border>
      <left/>
      <right style="double">
        <color theme="6"/>
      </right>
      <top style="double">
        <color rgb="FF006666"/>
      </top>
      <bottom style="double">
        <color rgb="FF006666"/>
      </bottom>
      <diagonal/>
    </border>
    <border>
      <left style="double">
        <color theme="6"/>
      </left>
      <right/>
      <top style="double">
        <color rgb="FF006666"/>
      </top>
      <bottom style="double">
        <color rgb="FF006666"/>
      </bottom>
      <diagonal/>
    </border>
    <border>
      <left style="medium">
        <color theme="6"/>
      </left>
      <right/>
      <top/>
      <bottom style="double">
        <color rgb="FF006666"/>
      </bottom>
      <diagonal/>
    </border>
    <border>
      <left/>
      <right/>
      <top/>
      <bottom style="double">
        <color rgb="FF006666"/>
      </bottom>
      <diagonal/>
    </border>
    <border>
      <left/>
      <right style="medium">
        <color theme="6"/>
      </right>
      <top/>
      <bottom style="double">
        <color rgb="FF006666"/>
      </bottom>
      <diagonal/>
    </border>
    <border>
      <left style="thin">
        <color theme="0"/>
      </left>
      <right/>
      <top/>
      <bottom style="hair">
        <color theme="1" tint="0.24994659260841701"/>
      </bottom>
      <diagonal/>
    </border>
    <border>
      <left/>
      <right style="thin">
        <color theme="0"/>
      </right>
      <top/>
      <bottom style="hair">
        <color theme="1" tint="0.24994659260841701"/>
      </bottom>
      <diagonal/>
    </border>
    <border>
      <left/>
      <right/>
      <top style="hair">
        <color theme="7" tint="-0.24994659260841701"/>
      </top>
      <bottom style="hair">
        <color auto="1"/>
      </bottom>
      <diagonal/>
    </border>
    <border diagonalDown="1">
      <left style="hair">
        <color theme="7" tint="-0.24994659260841701"/>
      </left>
      <right/>
      <top style="hair">
        <color theme="7" tint="-0.24994659260841701"/>
      </top>
      <bottom style="hair">
        <color theme="7" tint="-0.24994659260841701"/>
      </bottom>
      <diagonal style="hair">
        <color theme="7" tint="-0.24994659260841701"/>
      </diagonal>
    </border>
    <border diagonalDown="1">
      <left/>
      <right style="hair">
        <color theme="7" tint="-0.24994659260841701"/>
      </right>
      <top style="hair">
        <color theme="7" tint="-0.24994659260841701"/>
      </top>
      <bottom style="hair">
        <color theme="7" tint="-0.24994659260841701"/>
      </bottom>
      <diagonal style="hair">
        <color theme="7" tint="-0.24994659260841701"/>
      </diagonal>
    </border>
    <border>
      <left style="hair">
        <color theme="7" tint="-0.24994659260841701"/>
      </left>
      <right/>
      <top/>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diagonalDown="1">
      <left style="thin">
        <color theme="2" tint="-0.34998626667073579"/>
      </left>
      <right style="hair">
        <color theme="7" tint="-0.24994659260841701"/>
      </right>
      <top style="thin">
        <color theme="2" tint="-0.34998626667073579"/>
      </top>
      <bottom/>
      <diagonal style="thin">
        <color theme="2" tint="-0.34998626667073579"/>
      </diagonal>
    </border>
    <border diagonalDown="1">
      <left style="thin">
        <color theme="2" tint="-0.34998626667073579"/>
      </left>
      <right style="hair">
        <color theme="7" tint="-0.24994659260841701"/>
      </right>
      <top/>
      <bottom style="thin">
        <color theme="2" tint="-0.34998626667073579"/>
      </bottom>
      <diagonal style="thin">
        <color theme="2" tint="-0.34998626667073579"/>
      </diagonal>
    </border>
    <border>
      <left style="thin">
        <color theme="2" tint="-0.24994659260841701"/>
      </left>
      <right style="thin">
        <color theme="2" tint="-0.24994659260841701"/>
      </right>
      <top style="thin">
        <color theme="2" tint="-0.24994659260841701"/>
      </top>
      <bottom style="thin">
        <color theme="2" tint="-0.24994659260841701"/>
      </bottom>
      <diagonal/>
    </border>
    <border diagonalDown="1">
      <left style="hair">
        <color theme="7" tint="-0.24994659260841701"/>
      </left>
      <right/>
      <top style="thin">
        <color theme="2" tint="-0.34998626667073579"/>
      </top>
      <bottom/>
      <diagonal style="thin">
        <color theme="2" tint="-0.34998626667073579"/>
      </diagonal>
    </border>
    <border diagonalDown="1">
      <left style="hair">
        <color theme="7" tint="-0.24994659260841701"/>
      </left>
      <right/>
      <top/>
      <bottom style="thin">
        <color theme="2" tint="-0.34998626667073579"/>
      </bottom>
      <diagonal style="thin">
        <color theme="2" tint="-0.34998626667073579"/>
      </diagonal>
    </border>
    <border>
      <left style="thin">
        <color theme="2" tint="-0.24994659260841701"/>
      </left>
      <right/>
      <top style="thin">
        <color theme="2" tint="-0.34998626667073579"/>
      </top>
      <bottom style="thin">
        <color theme="2" tint="-0.24994659260841701"/>
      </bottom>
      <diagonal/>
    </border>
    <border>
      <left/>
      <right style="thin">
        <color theme="2" tint="-0.24994659260841701"/>
      </right>
      <top style="thin">
        <color theme="2" tint="-0.34998626667073579"/>
      </top>
      <bottom style="thin">
        <color theme="2" tint="-0.24994659260841701"/>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diagonal/>
    </border>
    <border>
      <left style="thin">
        <color theme="2" tint="-0.34998626667073579"/>
      </left>
      <right style="thin">
        <color theme="2" tint="-0.34998626667073579"/>
      </right>
      <top style="thin">
        <color theme="2" tint="-0.34998626667073579"/>
      </top>
      <bottom/>
      <diagonal/>
    </border>
    <border>
      <left/>
      <right style="thin">
        <color theme="2" tint="-0.24994659260841701"/>
      </right>
      <top style="thin">
        <color theme="2" tint="-0.24994659260841701"/>
      </top>
      <bottom/>
      <diagonal/>
    </border>
    <border diagonalDown="1">
      <left style="thin">
        <color theme="2" tint="-0.34998626667073579"/>
      </left>
      <right/>
      <top style="thin">
        <color theme="2" tint="-0.34998626667073579"/>
      </top>
      <bottom/>
      <diagonal style="thin">
        <color theme="2" tint="-0.34998626667073579"/>
      </diagonal>
    </border>
    <border diagonalDown="1">
      <left/>
      <right style="thin">
        <color theme="2" tint="-0.34998626667073579"/>
      </right>
      <top style="thin">
        <color theme="2" tint="-0.34998626667073579"/>
      </top>
      <bottom/>
      <diagonal style="thin">
        <color theme="2" tint="-0.34998626667073579"/>
      </diagonal>
    </border>
    <border diagonalDown="1">
      <left style="thin">
        <color theme="2" tint="-0.34998626667073579"/>
      </left>
      <right/>
      <top/>
      <bottom/>
      <diagonal style="thin">
        <color theme="2" tint="-0.34998626667073579"/>
      </diagonal>
    </border>
    <border diagonalDown="1">
      <left/>
      <right style="thin">
        <color theme="2" tint="-0.34998626667073579"/>
      </right>
      <top/>
      <bottom/>
      <diagonal style="thin">
        <color theme="2" tint="-0.34998626667073579"/>
      </diagonal>
    </border>
    <border diagonalDown="1">
      <left style="thin">
        <color theme="2" tint="-0.34998626667073579"/>
      </left>
      <right/>
      <top/>
      <bottom style="thin">
        <color theme="2" tint="-0.34998626667073579"/>
      </bottom>
      <diagonal style="thin">
        <color theme="2" tint="-0.34998626667073579"/>
      </diagonal>
    </border>
    <border diagonalDown="1">
      <left/>
      <right style="thin">
        <color theme="2" tint="-0.34998626667073579"/>
      </right>
      <top/>
      <bottom style="thin">
        <color theme="2" tint="-0.34998626667073579"/>
      </bottom>
      <diagonal style="thin">
        <color theme="2" tint="-0.34998626667073579"/>
      </diagonal>
    </border>
    <border>
      <left/>
      <right style="thin">
        <color theme="2" tint="-0.34998626667073579"/>
      </right>
      <top style="thin">
        <color theme="2" tint="-0.34998626667073579"/>
      </top>
      <bottom/>
      <diagonal/>
    </border>
  </borders>
  <cellStyleXfs count="5">
    <xf numFmtId="0" fontId="0" fillId="0" borderId="0"/>
    <xf numFmtId="43" fontId="1" fillId="0" borderId="0" applyFont="0" applyFill="0" applyBorder="0" applyAlignment="0" applyProtection="0"/>
    <xf numFmtId="0" fontId="3" fillId="0" borderId="0"/>
    <xf numFmtId="9" fontId="1" fillId="0" borderId="0" applyFont="0" applyFill="0" applyBorder="0" applyAlignment="0" applyProtection="0"/>
    <xf numFmtId="0" fontId="15" fillId="0" borderId="0" applyNumberFormat="0" applyFill="0" applyBorder="0" applyAlignment="0" applyProtection="0"/>
  </cellStyleXfs>
  <cellXfs count="407">
    <xf numFmtId="0" fontId="0" fillId="0" borderId="0" xfId="0"/>
    <xf numFmtId="0" fontId="5" fillId="0" borderId="14" xfId="0" applyFont="1" applyFill="1" applyBorder="1" applyAlignment="1" applyProtection="1">
      <alignment horizontal="left" vertical="center"/>
      <protection locked="0"/>
    </xf>
    <xf numFmtId="0" fontId="6" fillId="3" borderId="0" xfId="0" applyFont="1" applyFill="1" applyBorder="1" applyAlignment="1" applyProtection="1">
      <alignment vertical="center"/>
      <protection locked="0" hidden="1"/>
    </xf>
    <xf numFmtId="0" fontId="3" fillId="0" borderId="0" xfId="0" applyFont="1" applyFill="1" applyBorder="1" applyProtection="1">
      <protection locked="0"/>
    </xf>
    <xf numFmtId="0" fontId="10" fillId="0" borderId="0" xfId="0"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protection locked="0"/>
    </xf>
    <xf numFmtId="0" fontId="6" fillId="0" borderId="22" xfId="0" applyFont="1" applyFill="1" applyBorder="1" applyAlignment="1" applyProtection="1">
      <alignment vertical="center"/>
      <protection locked="0" hidden="1"/>
    </xf>
    <xf numFmtId="0" fontId="5" fillId="0" borderId="14" xfId="0" applyFont="1" applyFill="1" applyBorder="1" applyProtection="1">
      <protection locked="0"/>
    </xf>
    <xf numFmtId="0" fontId="7" fillId="0" borderId="0" xfId="0" applyFont="1" applyFill="1" applyBorder="1" applyProtection="1">
      <protection locked="0"/>
    </xf>
    <xf numFmtId="0" fontId="7" fillId="0" borderId="0" xfId="0" applyFont="1" applyFill="1" applyBorder="1" applyAlignment="1" applyProtection="1">
      <alignment wrapText="1"/>
      <protection locked="0"/>
    </xf>
    <xf numFmtId="0" fontId="5" fillId="0" borderId="0" xfId="0" applyFont="1" applyFill="1" applyBorder="1" applyAlignment="1" applyProtection="1">
      <alignment horizontal="left" vertical="center"/>
      <protection locked="0"/>
    </xf>
    <xf numFmtId="0" fontId="4" fillId="3" borderId="0" xfId="0" applyFont="1" applyFill="1" applyBorder="1" applyAlignment="1" applyProtection="1">
      <alignment vertical="center"/>
      <protection locked="0" hidden="1"/>
    </xf>
    <xf numFmtId="0" fontId="4" fillId="0" borderId="0" xfId="0" applyFont="1" applyFill="1" applyBorder="1" applyProtection="1">
      <protection locked="0"/>
    </xf>
    <xf numFmtId="0" fontId="13" fillId="11" borderId="0" xfId="0" applyFont="1" applyFill="1" applyBorder="1" applyAlignment="1" applyProtection="1">
      <alignment horizontal="center" vertical="center" wrapText="1"/>
      <protection locked="0"/>
    </xf>
    <xf numFmtId="0" fontId="4" fillId="3" borderId="6" xfId="0" applyFont="1" applyFill="1" applyBorder="1" applyProtection="1">
      <protection locked="0"/>
    </xf>
    <xf numFmtId="165" fontId="4" fillId="3" borderId="6" xfId="1" applyNumberFormat="1" applyFont="1" applyFill="1" applyBorder="1" applyProtection="1">
      <protection locked="0"/>
    </xf>
    <xf numFmtId="0" fontId="4" fillId="3" borderId="7" xfId="0" applyFont="1" applyFill="1" applyBorder="1" applyProtection="1">
      <protection locked="0"/>
    </xf>
    <xf numFmtId="165" fontId="4" fillId="3" borderId="7" xfId="1" applyNumberFormat="1" applyFont="1" applyFill="1" applyBorder="1" applyProtection="1">
      <protection locked="0"/>
    </xf>
    <xf numFmtId="10" fontId="4" fillId="3" borderId="7" xfId="0" applyNumberFormat="1" applyFont="1" applyFill="1" applyBorder="1" applyProtection="1">
      <protection locked="0"/>
    </xf>
    <xf numFmtId="0" fontId="7" fillId="0" borderId="14" xfId="0" quotePrefix="1" applyFont="1" applyFill="1" applyBorder="1" applyAlignment="1" applyProtection="1">
      <alignment horizontal="right" vertical="center" wrapText="1"/>
      <protection locked="0"/>
    </xf>
    <xf numFmtId="0" fontId="9" fillId="3" borderId="6" xfId="0" applyFont="1" applyFill="1" applyBorder="1" applyAlignment="1" applyProtection="1">
      <alignment horizontal="left" indent="2"/>
      <protection locked="0"/>
    </xf>
    <xf numFmtId="0" fontId="8" fillId="3" borderId="7" xfId="0" applyFont="1" applyFill="1" applyBorder="1" applyAlignment="1" applyProtection="1">
      <alignment horizontal="left" indent="2"/>
      <protection locked="0"/>
    </xf>
    <xf numFmtId="0" fontId="9" fillId="3" borderId="7" xfId="0" applyFont="1" applyFill="1" applyBorder="1" applyAlignment="1" applyProtection="1">
      <alignment horizontal="left" indent="2"/>
      <protection locked="0"/>
    </xf>
    <xf numFmtId="0" fontId="7" fillId="0" borderId="0" xfId="0" quotePrefix="1" applyFont="1" applyFill="1" applyBorder="1" applyAlignment="1" applyProtection="1">
      <alignment horizontal="right" vertical="center" wrapText="1"/>
      <protection locked="0"/>
    </xf>
    <xf numFmtId="167" fontId="4" fillId="3" borderId="0" xfId="1" applyNumberFormat="1" applyFont="1" applyFill="1" applyBorder="1" applyProtection="1">
      <protection locked="0"/>
    </xf>
    <xf numFmtId="0" fontId="4" fillId="0" borderId="0" xfId="0" applyFont="1" applyFill="1" applyBorder="1" applyAlignment="1" applyProtection="1">
      <alignment horizontal="center"/>
      <protection locked="0"/>
    </xf>
    <xf numFmtId="0" fontId="4" fillId="0" borderId="0" xfId="0" applyFont="1" applyBorder="1" applyProtection="1">
      <protection locked="0"/>
    </xf>
    <xf numFmtId="0" fontId="13" fillId="3" borderId="15" xfId="0" applyFont="1" applyFill="1" applyBorder="1" applyAlignment="1" applyProtection="1">
      <protection locked="0"/>
    </xf>
    <xf numFmtId="17" fontId="13" fillId="3" borderId="24" xfId="0" applyNumberFormat="1" applyFont="1" applyFill="1" applyBorder="1" applyAlignment="1" applyProtection="1">
      <alignment horizontal="center" vertical="center" wrapText="1"/>
      <protection locked="0"/>
    </xf>
    <xf numFmtId="17" fontId="13" fillId="3" borderId="8" xfId="0" applyNumberFormat="1" applyFont="1" applyFill="1" applyBorder="1" applyAlignment="1" applyProtection="1">
      <alignment horizontal="center" vertical="center" wrapText="1"/>
      <protection locked="0"/>
    </xf>
    <xf numFmtId="17" fontId="13" fillId="3" borderId="9" xfId="0" applyNumberFormat="1" applyFont="1" applyFill="1" applyBorder="1" applyAlignment="1" applyProtection="1">
      <alignment horizontal="center" vertical="center" wrapText="1"/>
      <protection locked="0"/>
    </xf>
    <xf numFmtId="17" fontId="13" fillId="3" borderId="15" xfId="0" applyNumberFormat="1" applyFont="1" applyFill="1" applyBorder="1" applyAlignment="1" applyProtection="1">
      <alignment horizontal="center" vertical="center" wrapText="1"/>
      <protection locked="0"/>
    </xf>
    <xf numFmtId="0" fontId="9" fillId="3" borderId="0" xfId="0" applyFont="1" applyFill="1" applyBorder="1" applyProtection="1">
      <protection locked="0"/>
    </xf>
    <xf numFmtId="0" fontId="9" fillId="3" borderId="15" xfId="0" applyFont="1" applyFill="1" applyBorder="1" applyProtection="1">
      <protection locked="0"/>
    </xf>
    <xf numFmtId="0" fontId="4" fillId="3" borderId="0" xfId="0" applyFont="1" applyFill="1" applyBorder="1" applyAlignment="1" applyProtection="1">
      <alignment vertical="top"/>
      <protection locked="0"/>
    </xf>
    <xf numFmtId="0" fontId="4" fillId="3" borderId="15" xfId="0" applyFont="1" applyFill="1" applyBorder="1" applyAlignment="1" applyProtection="1">
      <alignment vertical="top"/>
      <protection locked="0"/>
    </xf>
    <xf numFmtId="165" fontId="4" fillId="3" borderId="0" xfId="1" applyNumberFormat="1" applyFont="1" applyFill="1" applyBorder="1" applyProtection="1">
      <protection locked="0"/>
    </xf>
    <xf numFmtId="0" fontId="2" fillId="0" borderId="0" xfId="0" applyFont="1" applyFill="1" applyBorder="1" applyAlignment="1" applyProtection="1">
      <alignment horizontal="left" vertical="center" wrapText="1"/>
      <protection locked="0"/>
    </xf>
    <xf numFmtId="0" fontId="0" fillId="0" borderId="0" xfId="0" applyAlignment="1">
      <alignment vertical="top"/>
    </xf>
    <xf numFmtId="0" fontId="27" fillId="0" borderId="0" xfId="0" applyFont="1" applyAlignment="1">
      <alignment vertical="top"/>
    </xf>
    <xf numFmtId="0" fontId="28" fillId="0" borderId="0" xfId="0" applyFont="1" applyAlignment="1">
      <alignment vertical="top" wrapText="1"/>
    </xf>
    <xf numFmtId="0" fontId="28" fillId="0" borderId="0" xfId="0" applyFont="1" applyAlignment="1">
      <alignment vertical="top"/>
    </xf>
    <xf numFmtId="0" fontId="6" fillId="3" borderId="0" xfId="0" applyFont="1" applyFill="1" applyBorder="1" applyAlignment="1" applyProtection="1">
      <alignment vertical="center"/>
      <protection hidden="1"/>
    </xf>
    <xf numFmtId="0" fontId="22" fillId="3" borderId="0" xfId="0" applyFont="1" applyFill="1" applyBorder="1" applyAlignment="1" applyProtection="1">
      <alignment vertical="center"/>
      <protection hidden="1"/>
    </xf>
    <xf numFmtId="0" fontId="3" fillId="3" borderId="11" xfId="0" applyFont="1" applyFill="1" applyBorder="1" applyProtection="1">
      <protection locked="0"/>
    </xf>
    <xf numFmtId="0" fontId="3" fillId="3" borderId="12" xfId="0" applyFont="1" applyFill="1" applyBorder="1" applyProtection="1">
      <protection locked="0"/>
    </xf>
    <xf numFmtId="0" fontId="3" fillId="3" borderId="13" xfId="0" applyFont="1" applyFill="1" applyBorder="1" applyProtection="1">
      <protection locked="0"/>
    </xf>
    <xf numFmtId="0" fontId="3" fillId="7" borderId="0" xfId="0" applyFont="1" applyFill="1" applyProtection="1">
      <protection locked="0"/>
    </xf>
    <xf numFmtId="0" fontId="3" fillId="3" borderId="14" xfId="0" applyFont="1" applyFill="1" applyBorder="1" applyProtection="1">
      <protection locked="0"/>
    </xf>
    <xf numFmtId="0" fontId="3" fillId="3" borderId="0" xfId="0" applyFont="1" applyFill="1" applyBorder="1" applyProtection="1">
      <protection locked="0"/>
    </xf>
    <xf numFmtId="0" fontId="3" fillId="3" borderId="15" xfId="0" applyFont="1" applyFill="1" applyBorder="1" applyProtection="1">
      <protection locked="0"/>
    </xf>
    <xf numFmtId="166" fontId="3" fillId="7" borderId="0" xfId="0" applyNumberFormat="1" applyFont="1" applyFill="1" applyProtection="1">
      <protection locked="0"/>
    </xf>
    <xf numFmtId="0" fontId="35" fillId="3" borderId="0" xfId="0" applyFont="1" applyFill="1" applyBorder="1" applyAlignment="1" applyProtection="1">
      <alignment horizontal="center" vertical="center"/>
    </xf>
    <xf numFmtId="0" fontId="40" fillId="0" borderId="0" xfId="0" applyFont="1" applyFill="1" applyBorder="1" applyAlignment="1" applyProtection="1">
      <alignment horizontal="left" vertical="center"/>
      <protection locked="0"/>
    </xf>
    <xf numFmtId="0" fontId="40" fillId="0" borderId="15" xfId="0" applyFont="1" applyFill="1" applyBorder="1" applyAlignment="1" applyProtection="1">
      <alignment horizontal="left" vertical="center"/>
      <protection locked="0"/>
    </xf>
    <xf numFmtId="0" fontId="3" fillId="13" borderId="14" xfId="0" applyFont="1" applyFill="1" applyBorder="1" applyProtection="1">
      <protection locked="0"/>
    </xf>
    <xf numFmtId="1" fontId="3" fillId="3" borderId="0" xfId="0" applyNumberFormat="1" applyFont="1" applyFill="1" applyBorder="1" applyProtection="1">
      <protection locked="0"/>
    </xf>
    <xf numFmtId="0" fontId="41" fillId="7" borderId="0" xfId="0" applyFont="1" applyFill="1" applyProtection="1">
      <protection locked="0"/>
    </xf>
    <xf numFmtId="0" fontId="3" fillId="3" borderId="18" xfId="0" applyFont="1" applyFill="1" applyBorder="1" applyProtection="1">
      <protection locked="0"/>
    </xf>
    <xf numFmtId="0" fontId="3" fillId="3" borderId="19" xfId="0" applyFont="1" applyFill="1" applyBorder="1" applyProtection="1">
      <protection locked="0"/>
    </xf>
    <xf numFmtId="0" fontId="3" fillId="3" borderId="20" xfId="0" applyFont="1" applyFill="1" applyBorder="1" applyProtection="1">
      <protection locked="0"/>
    </xf>
    <xf numFmtId="166" fontId="3" fillId="2" borderId="1" xfId="1" applyNumberFormat="1" applyFont="1" applyFill="1" applyBorder="1" applyAlignment="1" applyProtection="1">
      <alignment horizontal="center" vertical="center"/>
      <protection locked="0"/>
    </xf>
    <xf numFmtId="166" fontId="3" fillId="2" borderId="3" xfId="1" applyNumberFormat="1" applyFont="1" applyFill="1" applyBorder="1" applyAlignment="1" applyProtection="1">
      <alignment horizontal="center" vertical="center"/>
      <protection locked="0"/>
    </xf>
    <xf numFmtId="0" fontId="46" fillId="2" borderId="0" xfId="0" applyFont="1" applyFill="1" applyProtection="1">
      <protection locked="0"/>
    </xf>
    <xf numFmtId="0" fontId="49" fillId="3" borderId="0" xfId="0" applyFont="1" applyFill="1" applyBorder="1" applyProtection="1">
      <protection locked="0"/>
    </xf>
    <xf numFmtId="0" fontId="49" fillId="3" borderId="15" xfId="0" applyFont="1" applyFill="1" applyBorder="1" applyProtection="1">
      <protection locked="0"/>
    </xf>
    <xf numFmtId="166" fontId="3" fillId="3" borderId="33" xfId="1" applyNumberFormat="1" applyFont="1" applyFill="1" applyBorder="1" applyAlignment="1" applyProtection="1">
      <alignment vertical="center"/>
      <protection locked="0"/>
    </xf>
    <xf numFmtId="166" fontId="3" fillId="12" borderId="33" xfId="1" applyNumberFormat="1" applyFont="1" applyFill="1" applyBorder="1" applyAlignment="1" applyProtection="1">
      <alignment vertical="center"/>
      <protection locked="0"/>
    </xf>
    <xf numFmtId="0" fontId="0" fillId="0" borderId="0" xfId="0" applyNumberFormat="1"/>
    <xf numFmtId="0" fontId="0" fillId="13" borderId="0" xfId="0" applyFill="1"/>
    <xf numFmtId="0" fontId="0" fillId="3" borderId="0" xfId="0" applyFill="1"/>
    <xf numFmtId="10" fontId="0" fillId="0" borderId="0" xfId="3" applyNumberFormat="1" applyFont="1"/>
    <xf numFmtId="1" fontId="0" fillId="0" borderId="0" xfId="0" applyNumberFormat="1"/>
    <xf numFmtId="0" fontId="54" fillId="3" borderId="0" xfId="0" applyFont="1" applyFill="1" applyAlignment="1" applyProtection="1">
      <alignment horizontal="center"/>
      <protection locked="0"/>
    </xf>
    <xf numFmtId="49" fontId="54" fillId="6" borderId="0" xfId="4" applyNumberFormat="1" applyFont="1" applyFill="1" applyAlignment="1" applyProtection="1">
      <alignment horizontal="center"/>
      <protection locked="0"/>
    </xf>
    <xf numFmtId="165" fontId="23" fillId="3" borderId="57" xfId="1" applyNumberFormat="1" applyFont="1" applyFill="1" applyBorder="1" applyAlignment="1" applyProtection="1">
      <alignment vertical="center"/>
    </xf>
    <xf numFmtId="49" fontId="54" fillId="3" borderId="0" xfId="0" applyNumberFormat="1" applyFont="1" applyFill="1" applyAlignment="1" applyProtection="1">
      <alignment horizontal="center" wrapText="1"/>
      <protection locked="0"/>
    </xf>
    <xf numFmtId="17" fontId="13" fillId="11" borderId="0" xfId="0" applyNumberFormat="1" applyFont="1" applyFill="1" applyBorder="1" applyAlignment="1" applyProtection="1">
      <alignment horizontal="center" vertical="center" wrapText="1"/>
      <protection locked="0"/>
    </xf>
    <xf numFmtId="0" fontId="54" fillId="3" borderId="0" xfId="0" applyFont="1" applyFill="1" applyAlignment="1" applyProtection="1">
      <alignment horizontal="center"/>
    </xf>
    <xf numFmtId="0" fontId="3" fillId="5" borderId="0" xfId="0" applyFont="1" applyFill="1" applyProtection="1"/>
    <xf numFmtId="0" fontId="3" fillId="2" borderId="0" xfId="0" applyFont="1" applyFill="1" applyProtection="1"/>
    <xf numFmtId="0" fontId="44" fillId="5" borderId="0" xfId="0" applyFont="1" applyFill="1" applyProtection="1"/>
    <xf numFmtId="0" fontId="45" fillId="5" borderId="0" xfId="0" applyFont="1" applyFill="1" applyProtection="1"/>
    <xf numFmtId="0" fontId="3" fillId="8" borderId="0" xfId="0" applyFont="1" applyFill="1" applyProtection="1"/>
    <xf numFmtId="0" fontId="30" fillId="8" borderId="0" xfId="0" applyFont="1" applyFill="1" applyProtection="1"/>
    <xf numFmtId="169" fontId="47" fillId="8" borderId="0" xfId="0" applyNumberFormat="1" applyFont="1" applyFill="1" applyProtection="1"/>
    <xf numFmtId="14" fontId="3" fillId="8" borderId="0" xfId="0" applyNumberFormat="1" applyFont="1" applyFill="1" applyProtection="1"/>
    <xf numFmtId="0" fontId="30" fillId="4" borderId="0" xfId="0" applyFont="1" applyFill="1" applyProtection="1"/>
    <xf numFmtId="0" fontId="30" fillId="8" borderId="0" xfId="0" applyFont="1" applyFill="1" applyAlignment="1" applyProtection="1">
      <alignment horizontal="center"/>
    </xf>
    <xf numFmtId="0" fontId="47" fillId="8" borderId="0" xfId="0" applyFont="1" applyFill="1" applyProtection="1"/>
    <xf numFmtId="49" fontId="3" fillId="2" borderId="0" xfId="0" applyNumberFormat="1" applyFont="1" applyFill="1" applyProtection="1"/>
    <xf numFmtId="49" fontId="3" fillId="5" borderId="0" xfId="0" applyNumberFormat="1" applyFont="1" applyFill="1" applyProtection="1"/>
    <xf numFmtId="0" fontId="48" fillId="5" borderId="0" xfId="0" applyFont="1" applyFill="1" applyProtection="1"/>
    <xf numFmtId="0" fontId="66" fillId="5" borderId="0" xfId="0" applyFont="1" applyFill="1" applyProtection="1"/>
    <xf numFmtId="0" fontId="63" fillId="5" borderId="0" xfId="0" applyFont="1" applyFill="1" applyProtection="1"/>
    <xf numFmtId="0" fontId="62" fillId="5" borderId="0" xfId="0" applyFont="1" applyFill="1" applyProtection="1"/>
    <xf numFmtId="0" fontId="2" fillId="5" borderId="0" xfId="0" applyFont="1" applyFill="1" applyProtection="1"/>
    <xf numFmtId="14" fontId="0" fillId="0" borderId="0" xfId="0" applyNumberFormat="1"/>
    <xf numFmtId="0" fontId="4" fillId="3" borderId="7" xfId="0" applyFont="1" applyFill="1" applyBorder="1" applyProtection="1"/>
    <xf numFmtId="166" fontId="3" fillId="3" borderId="54" xfId="1" applyNumberFormat="1" applyFont="1" applyFill="1" applyBorder="1" applyAlignment="1" applyProtection="1">
      <alignment vertical="center"/>
      <protection locked="0"/>
    </xf>
    <xf numFmtId="0" fontId="46" fillId="7" borderId="0" xfId="0" applyFont="1" applyFill="1" applyProtection="1">
      <protection locked="0"/>
    </xf>
    <xf numFmtId="10" fontId="3" fillId="7" borderId="0" xfId="0" applyNumberFormat="1" applyFont="1" applyFill="1" applyProtection="1">
      <protection locked="0"/>
    </xf>
    <xf numFmtId="0" fontId="65" fillId="5" borderId="0" xfId="0" applyFont="1" applyFill="1" applyProtection="1"/>
    <xf numFmtId="0" fontId="65" fillId="5" borderId="0" xfId="0" applyFont="1" applyFill="1" applyAlignment="1" applyProtection="1">
      <alignment horizontal="left" indent="3"/>
    </xf>
    <xf numFmtId="0" fontId="67" fillId="7" borderId="0" xfId="0" applyFont="1" applyFill="1" applyProtection="1">
      <protection locked="0"/>
    </xf>
    <xf numFmtId="0" fontId="43" fillId="5" borderId="0" xfId="0" applyFont="1" applyFill="1" applyProtection="1">
      <protection locked="0"/>
    </xf>
    <xf numFmtId="0" fontId="3" fillId="0" borderId="27" xfId="0" applyFont="1" applyBorder="1" applyProtection="1">
      <protection locked="0"/>
    </xf>
    <xf numFmtId="0" fontId="3" fillId="0" borderId="28" xfId="0" applyFont="1" applyFill="1" applyBorder="1" applyProtection="1">
      <protection locked="0"/>
    </xf>
    <xf numFmtId="0" fontId="3" fillId="0" borderId="29" xfId="0" applyFont="1" applyBorder="1" applyProtection="1">
      <protection locked="0"/>
    </xf>
    <xf numFmtId="0" fontId="3" fillId="0" borderId="30" xfId="0" applyFont="1" applyBorder="1" applyAlignment="1" applyProtection="1">
      <alignment vertical="center"/>
      <protection locked="0"/>
    </xf>
    <xf numFmtId="0" fontId="3" fillId="0" borderId="0" xfId="0" applyFont="1" applyProtection="1">
      <protection locked="0"/>
    </xf>
    <xf numFmtId="0" fontId="18" fillId="0" borderId="0" xfId="0" applyFont="1" applyFill="1" applyBorder="1" applyAlignment="1" applyProtection="1">
      <alignment horizontal="left" vertical="center"/>
      <protection locked="0"/>
    </xf>
    <xf numFmtId="0" fontId="3" fillId="0" borderId="31" xfId="0" applyFont="1" applyBorder="1" applyAlignment="1" applyProtection="1">
      <alignment vertical="center"/>
      <protection locked="0"/>
    </xf>
    <xf numFmtId="0" fontId="3" fillId="0" borderId="30" xfId="0" applyFont="1" applyBorder="1" applyProtection="1">
      <protection locked="0"/>
    </xf>
    <xf numFmtId="0" fontId="3" fillId="0" borderId="31" xfId="0" applyFont="1" applyBorder="1" applyProtection="1">
      <protection locked="0"/>
    </xf>
    <xf numFmtId="0" fontId="19" fillId="10" borderId="0" xfId="0" applyFont="1" applyFill="1" applyBorder="1" applyProtection="1">
      <protection locked="0"/>
    </xf>
    <xf numFmtId="0" fontId="20" fillId="10" borderId="0" xfId="0" applyFont="1" applyFill="1" applyBorder="1" applyProtection="1">
      <protection locked="0"/>
    </xf>
    <xf numFmtId="0" fontId="3" fillId="0" borderId="30" xfId="0" applyFont="1" applyFill="1" applyBorder="1" applyProtection="1">
      <protection locked="0"/>
    </xf>
    <xf numFmtId="0" fontId="19" fillId="0" borderId="0" xfId="0" applyFont="1" applyFill="1" applyBorder="1" applyProtection="1">
      <protection locked="0"/>
    </xf>
    <xf numFmtId="0" fontId="20" fillId="0" borderId="0" xfId="0" applyFont="1" applyFill="1" applyBorder="1" applyProtection="1">
      <protection locked="0"/>
    </xf>
    <xf numFmtId="0" fontId="3" fillId="0" borderId="31" xfId="0" applyFont="1" applyFill="1" applyBorder="1" applyProtection="1">
      <protection locked="0"/>
    </xf>
    <xf numFmtId="0" fontId="26" fillId="0" borderId="0" xfId="0" applyFont="1" applyFill="1" applyBorder="1" applyProtection="1">
      <protection locked="0"/>
    </xf>
    <xf numFmtId="0" fontId="21" fillId="0" borderId="34" xfId="0" applyFont="1" applyFill="1" applyBorder="1" applyProtection="1">
      <protection locked="0"/>
    </xf>
    <xf numFmtId="0" fontId="3" fillId="0" borderId="34" xfId="0" applyFont="1" applyFill="1" applyBorder="1" applyProtection="1">
      <protection locked="0"/>
    </xf>
    <xf numFmtId="0" fontId="26" fillId="0" borderId="0" xfId="0" applyFont="1" applyFill="1" applyBorder="1" applyAlignment="1" applyProtection="1">
      <alignment horizontal="left"/>
      <protection locked="0"/>
    </xf>
    <xf numFmtId="0" fontId="3" fillId="0" borderId="0" xfId="0" applyFont="1" applyFill="1" applyBorder="1" applyAlignment="1" applyProtection="1">
      <protection locked="0"/>
    </xf>
    <xf numFmtId="0" fontId="10" fillId="0" borderId="0" xfId="0" applyFont="1" applyFill="1" applyBorder="1" applyAlignment="1" applyProtection="1">
      <alignment horizontal="left"/>
      <protection locked="0"/>
    </xf>
    <xf numFmtId="0" fontId="3" fillId="0" borderId="35" xfId="0" applyFont="1" applyBorder="1" applyProtection="1">
      <protection locked="0"/>
    </xf>
    <xf numFmtId="0" fontId="3" fillId="0" borderId="36" xfId="0" applyFont="1" applyFill="1" applyBorder="1" applyProtection="1">
      <protection locked="0"/>
    </xf>
    <xf numFmtId="0" fontId="3" fillId="0" borderId="37" xfId="0" applyFont="1" applyBorder="1" applyProtection="1">
      <protection locked="0"/>
    </xf>
    <xf numFmtId="166" fontId="3" fillId="16" borderId="33" xfId="1" applyNumberFormat="1" applyFont="1" applyFill="1" applyBorder="1" applyAlignment="1" applyProtection="1">
      <alignment horizontal="center" vertical="center"/>
    </xf>
    <xf numFmtId="166" fontId="3" fillId="16" borderId="33" xfId="1" applyNumberFormat="1" applyFont="1" applyFill="1" applyBorder="1" applyAlignment="1" applyProtection="1">
      <alignment vertical="center"/>
    </xf>
    <xf numFmtId="0" fontId="0" fillId="0" borderId="0" xfId="0" applyProtection="1"/>
    <xf numFmtId="0" fontId="0" fillId="7" borderId="0" xfId="0" applyFill="1" applyProtection="1"/>
    <xf numFmtId="0" fontId="0" fillId="0" borderId="38" xfId="0" applyBorder="1" applyProtection="1"/>
    <xf numFmtId="0" fontId="3" fillId="0" borderId="39" xfId="0" applyFont="1" applyFill="1" applyBorder="1" applyProtection="1"/>
    <xf numFmtId="0" fontId="3" fillId="0" borderId="40" xfId="0" applyFont="1" applyFill="1" applyBorder="1" applyProtection="1"/>
    <xf numFmtId="0" fontId="0" fillId="0" borderId="41" xfId="0" applyBorder="1" applyAlignment="1" applyProtection="1">
      <alignment vertical="center"/>
    </xf>
    <xf numFmtId="0" fontId="18" fillId="0" borderId="0" xfId="0" applyFont="1" applyFill="1" applyBorder="1" applyAlignment="1" applyProtection="1">
      <alignment horizontal="center" vertical="center"/>
    </xf>
    <xf numFmtId="0" fontId="18" fillId="0" borderId="42" xfId="0" applyFont="1" applyFill="1" applyBorder="1" applyAlignment="1" applyProtection="1">
      <alignment horizontal="center" vertical="center"/>
    </xf>
    <xf numFmtId="0" fontId="25" fillId="0" borderId="0" xfId="0" applyFont="1" applyFill="1" applyBorder="1" applyAlignment="1" applyProtection="1">
      <alignment horizontal="left" vertical="center"/>
    </xf>
    <xf numFmtId="0" fontId="0" fillId="0" borderId="0" xfId="0" applyBorder="1" applyProtection="1"/>
    <xf numFmtId="0" fontId="26" fillId="0" borderId="0" xfId="0" applyFont="1" applyFill="1" applyBorder="1" applyAlignment="1" applyProtection="1">
      <alignment horizontal="center" vertical="center"/>
    </xf>
    <xf numFmtId="0" fontId="0" fillId="0" borderId="41" xfId="0" applyBorder="1" applyProtection="1"/>
    <xf numFmtId="0" fontId="3" fillId="0" borderId="0" xfId="0" applyFont="1" applyFill="1" applyBorder="1" applyProtection="1"/>
    <xf numFmtId="0" fontId="3" fillId="0" borderId="42" xfId="0" applyFont="1" applyFill="1" applyBorder="1" applyProtection="1"/>
    <xf numFmtId="0" fontId="14" fillId="10" borderId="0" xfId="0" applyFont="1" applyFill="1" applyBorder="1" applyProtection="1"/>
    <xf numFmtId="0" fontId="20" fillId="10" borderId="0" xfId="0" applyFont="1" applyFill="1" applyBorder="1" applyProtection="1"/>
    <xf numFmtId="0" fontId="20" fillId="10" borderId="42" xfId="0" applyFont="1" applyFill="1" applyBorder="1" applyProtection="1"/>
    <xf numFmtId="0" fontId="67" fillId="7" borderId="0" xfId="0" applyFont="1" applyFill="1" applyProtection="1"/>
    <xf numFmtId="0" fontId="0" fillId="0" borderId="41" xfId="0" applyFill="1" applyBorder="1" applyProtection="1"/>
    <xf numFmtId="0" fontId="19" fillId="0" borderId="0" xfId="0" applyFont="1" applyFill="1" applyBorder="1" applyProtection="1"/>
    <xf numFmtId="0" fontId="20" fillId="0" borderId="0" xfId="0" applyFont="1" applyFill="1" applyBorder="1" applyProtection="1"/>
    <xf numFmtId="0" fontId="20" fillId="0" borderId="42" xfId="0" applyFont="1" applyFill="1" applyBorder="1" applyProtection="1"/>
    <xf numFmtId="0" fontId="21" fillId="0" borderId="0" xfId="0" applyFont="1" applyFill="1" applyBorder="1" applyProtection="1"/>
    <xf numFmtId="0" fontId="30" fillId="0" borderId="32" xfId="0" applyFont="1" applyFill="1" applyBorder="1" applyProtection="1"/>
    <xf numFmtId="0" fontId="3" fillId="0" borderId="32" xfId="0" applyFont="1" applyFill="1" applyBorder="1" applyProtection="1"/>
    <xf numFmtId="49" fontId="3" fillId="0" borderId="32" xfId="0" applyNumberFormat="1" applyFont="1" applyFill="1" applyBorder="1" applyProtection="1"/>
    <xf numFmtId="0" fontId="3" fillId="0" borderId="33" xfId="0" applyFont="1" applyFill="1" applyBorder="1" applyProtection="1"/>
    <xf numFmtId="0" fontId="21" fillId="0" borderId="34" xfId="0" applyFont="1" applyFill="1" applyBorder="1" applyProtection="1"/>
    <xf numFmtId="0" fontId="3" fillId="0" borderId="34" xfId="0" applyFont="1" applyFill="1" applyBorder="1" applyProtection="1"/>
    <xf numFmtId="0" fontId="0" fillId="0" borderId="42" xfId="0" applyBorder="1" applyProtection="1"/>
    <xf numFmtId="0" fontId="32" fillId="0" borderId="0" xfId="0" applyFont="1" applyBorder="1" applyProtection="1"/>
    <xf numFmtId="0" fontId="31" fillId="0" borderId="0" xfId="0" applyFont="1" applyFill="1" applyBorder="1" applyProtection="1"/>
    <xf numFmtId="49" fontId="3" fillId="3" borderId="42" xfId="1" applyNumberFormat="1" applyFont="1" applyFill="1" applyBorder="1" applyAlignment="1" applyProtection="1">
      <alignment horizontal="center" vertical="center"/>
    </xf>
    <xf numFmtId="0" fontId="3" fillId="0" borderId="72" xfId="0" applyFont="1" applyBorder="1" applyAlignment="1" applyProtection="1">
      <alignment horizontal="center"/>
    </xf>
    <xf numFmtId="0" fontId="3" fillId="0" borderId="70" xfId="0" applyFont="1" applyBorder="1" applyAlignment="1" applyProtection="1">
      <alignment horizontal="center"/>
    </xf>
    <xf numFmtId="0" fontId="3" fillId="0" borderId="42" xfId="0" applyFont="1" applyBorder="1" applyAlignment="1" applyProtection="1">
      <alignment horizontal="center"/>
    </xf>
    <xf numFmtId="165" fontId="3" fillId="3" borderId="60" xfId="1" applyNumberFormat="1" applyFont="1" applyFill="1" applyBorder="1" applyAlignment="1" applyProtection="1">
      <alignment vertical="center"/>
    </xf>
    <xf numFmtId="166" fontId="3" fillId="3" borderId="58" xfId="1" applyNumberFormat="1" applyFont="1" applyFill="1" applyBorder="1" applyAlignment="1" applyProtection="1">
      <alignment horizontal="center" vertical="center"/>
    </xf>
    <xf numFmtId="166" fontId="3" fillId="3" borderId="58" xfId="1" applyNumberFormat="1" applyFont="1" applyFill="1" applyBorder="1" applyAlignment="1" applyProtection="1">
      <alignment vertical="center"/>
    </xf>
    <xf numFmtId="9" fontId="0" fillId="0" borderId="58" xfId="3" applyFont="1" applyBorder="1" applyAlignment="1" applyProtection="1">
      <alignment horizontal="center"/>
    </xf>
    <xf numFmtId="9" fontId="0" fillId="0" borderId="42" xfId="3" applyFont="1" applyBorder="1" applyAlignment="1" applyProtection="1">
      <alignment horizontal="center"/>
    </xf>
    <xf numFmtId="165" fontId="3" fillId="3" borderId="79" xfId="1" applyNumberFormat="1" applyFont="1" applyFill="1" applyBorder="1" applyAlignment="1" applyProtection="1">
      <alignment vertical="center"/>
    </xf>
    <xf numFmtId="166" fontId="3" fillId="3" borderId="71" xfId="1" applyNumberFormat="1" applyFont="1" applyFill="1" applyBorder="1" applyAlignment="1" applyProtection="1">
      <alignment horizontal="center" vertical="center"/>
    </xf>
    <xf numFmtId="166" fontId="3" fillId="3" borderId="71" xfId="1" applyNumberFormat="1" applyFont="1" applyFill="1" applyBorder="1" applyAlignment="1" applyProtection="1">
      <alignment vertical="center"/>
    </xf>
    <xf numFmtId="9" fontId="0" fillId="0" borderId="71" xfId="3" applyFont="1" applyBorder="1" applyAlignment="1" applyProtection="1">
      <alignment horizontal="center"/>
    </xf>
    <xf numFmtId="165" fontId="3" fillId="3" borderId="69" xfId="1" applyNumberFormat="1" applyFont="1" applyFill="1" applyBorder="1" applyAlignment="1" applyProtection="1">
      <alignment vertical="center"/>
    </xf>
    <xf numFmtId="166" fontId="3" fillId="3" borderId="63" xfId="1" applyNumberFormat="1" applyFont="1" applyFill="1" applyBorder="1" applyAlignment="1" applyProtection="1">
      <alignment horizontal="center" vertical="center"/>
    </xf>
    <xf numFmtId="166" fontId="3" fillId="3" borderId="63" xfId="1" applyNumberFormat="1" applyFont="1" applyFill="1" applyBorder="1" applyAlignment="1" applyProtection="1">
      <alignment vertical="center"/>
    </xf>
    <xf numFmtId="9" fontId="0" fillId="0" borderId="63" xfId="3" applyFont="1" applyBorder="1" applyAlignment="1" applyProtection="1">
      <alignment horizontal="center"/>
    </xf>
    <xf numFmtId="0" fontId="0" fillId="3" borderId="41" xfId="0" applyFill="1" applyBorder="1" applyProtection="1"/>
    <xf numFmtId="166" fontId="34" fillId="3" borderId="42" xfId="1" applyNumberFormat="1" applyFont="1" applyFill="1" applyBorder="1" applyAlignment="1" applyProtection="1">
      <alignment vertical="center"/>
    </xf>
    <xf numFmtId="0" fontId="34" fillId="7" borderId="0" xfId="0" applyFont="1" applyFill="1" applyBorder="1" applyAlignment="1" applyProtection="1">
      <alignment vertical="center" wrapText="1"/>
    </xf>
    <xf numFmtId="0" fontId="34" fillId="7" borderId="26" xfId="0" applyFont="1" applyFill="1" applyBorder="1" applyAlignment="1" applyProtection="1">
      <alignment vertical="center" wrapText="1"/>
    </xf>
    <xf numFmtId="0" fontId="34" fillId="7" borderId="25" xfId="0" applyFont="1" applyFill="1" applyBorder="1" applyAlignment="1" applyProtection="1">
      <alignment vertical="center" wrapText="1"/>
    </xf>
    <xf numFmtId="166" fontId="3" fillId="3" borderId="42" xfId="1" applyNumberFormat="1" applyFont="1" applyFill="1" applyBorder="1" applyAlignment="1" applyProtection="1">
      <alignment vertical="center"/>
    </xf>
    <xf numFmtId="0" fontId="20" fillId="3" borderId="42" xfId="0" applyFont="1" applyFill="1" applyBorder="1" applyProtection="1"/>
    <xf numFmtId="0" fontId="3" fillId="3" borderId="42" xfId="0" applyFont="1" applyFill="1" applyBorder="1" applyProtection="1"/>
    <xf numFmtId="0" fontId="21" fillId="3" borderId="0" xfId="0" applyFont="1" applyFill="1" applyBorder="1" applyAlignment="1" applyProtection="1">
      <alignment horizontal="left"/>
    </xf>
    <xf numFmtId="0" fontId="3" fillId="3" borderId="0" xfId="0" applyFont="1" applyFill="1" applyBorder="1" applyProtection="1"/>
    <xf numFmtId="0" fontId="14" fillId="10" borderId="41" xfId="0" applyFont="1" applyFill="1" applyBorder="1" applyAlignment="1" applyProtection="1">
      <alignment vertical="center"/>
    </xf>
    <xf numFmtId="0" fontId="12" fillId="10" borderId="0" xfId="0" applyFont="1" applyFill="1" applyBorder="1" applyAlignment="1" applyProtection="1">
      <alignment vertical="center"/>
    </xf>
    <xf numFmtId="0" fontId="12" fillId="3" borderId="42" xfId="0" applyFont="1" applyFill="1" applyBorder="1" applyAlignment="1" applyProtection="1">
      <alignment vertical="center"/>
    </xf>
    <xf numFmtId="0" fontId="10" fillId="0" borderId="41" xfId="0" applyFont="1" applyBorder="1" applyProtection="1"/>
    <xf numFmtId="0" fontId="10" fillId="0" borderId="0" xfId="0" applyFont="1" applyBorder="1" applyProtection="1"/>
    <xf numFmtId="0" fontId="3" fillId="0" borderId="0" xfId="0" applyFont="1" applyBorder="1" applyProtection="1"/>
    <xf numFmtId="0" fontId="3" fillId="0" borderId="42" xfId="0" applyFont="1" applyBorder="1" applyProtection="1"/>
    <xf numFmtId="0" fontId="9" fillId="0" borderId="0" xfId="0" applyFont="1" applyBorder="1" applyAlignment="1" applyProtection="1">
      <alignment horizontal="center"/>
    </xf>
    <xf numFmtId="0" fontId="9" fillId="0" borderId="0" xfId="0" applyFont="1" applyBorder="1" applyProtection="1"/>
    <xf numFmtId="0" fontId="9" fillId="0" borderId="42" xfId="0" applyFont="1" applyBorder="1" applyAlignment="1" applyProtection="1">
      <alignment horizontal="center"/>
    </xf>
    <xf numFmtId="0" fontId="20" fillId="7" borderId="0" xfId="0" applyFont="1" applyFill="1" applyBorder="1" applyAlignment="1" applyProtection="1">
      <alignment vertical="center"/>
    </xf>
    <xf numFmtId="0" fontId="3" fillId="7" borderId="0" xfId="0" applyFont="1" applyFill="1" applyBorder="1" applyProtection="1"/>
    <xf numFmtId="0" fontId="24" fillId="0" borderId="41" xfId="0" applyFont="1" applyBorder="1" applyProtection="1"/>
    <xf numFmtId="0" fontId="24" fillId="0" borderId="0" xfId="0" applyFont="1" applyBorder="1" applyProtection="1"/>
    <xf numFmtId="0" fontId="9" fillId="0" borderId="0" xfId="0" applyFont="1" applyBorder="1" applyAlignment="1" applyProtection="1"/>
    <xf numFmtId="0" fontId="12" fillId="7" borderId="0" xfId="0" applyFont="1" applyFill="1" applyBorder="1" applyAlignment="1" applyProtection="1">
      <alignment vertical="center"/>
    </xf>
    <xf numFmtId="0" fontId="24" fillId="0" borderId="43" xfId="0" applyFont="1" applyBorder="1" applyProtection="1"/>
    <xf numFmtId="0" fontId="24" fillId="0" borderId="44" xfId="0" applyFont="1" applyBorder="1" applyProtection="1"/>
    <xf numFmtId="0" fontId="0" fillId="0" borderId="44" xfId="0" applyBorder="1" applyProtection="1"/>
    <xf numFmtId="0" fontId="3" fillId="0" borderId="44" xfId="0" applyFont="1" applyBorder="1" applyProtection="1"/>
    <xf numFmtId="0" fontId="3" fillId="0" borderId="45" xfId="0" applyFont="1" applyBorder="1" applyProtection="1"/>
    <xf numFmtId="0" fontId="9" fillId="7" borderId="0" xfId="0" applyFont="1" applyFill="1" applyBorder="1" applyProtection="1"/>
    <xf numFmtId="165" fontId="4" fillId="3" borderId="7" xfId="1" applyNumberFormat="1" applyFont="1" applyFill="1" applyBorder="1" applyProtection="1"/>
    <xf numFmtId="166" fontId="3" fillId="16" borderId="54" xfId="1" applyNumberFormat="1" applyFont="1" applyFill="1" applyBorder="1" applyAlignment="1" applyProtection="1">
      <alignment vertical="center"/>
    </xf>
    <xf numFmtId="10" fontId="4" fillId="3" borderId="7" xfId="0" applyNumberFormat="1" applyFont="1" applyFill="1" applyBorder="1" applyProtection="1"/>
    <xf numFmtId="0" fontId="71" fillId="3" borderId="0" xfId="0" applyFont="1" applyFill="1" applyBorder="1" applyProtection="1">
      <protection locked="0"/>
    </xf>
    <xf numFmtId="1" fontId="71" fillId="3" borderId="15" xfId="0" applyNumberFormat="1" applyFont="1" applyFill="1" applyBorder="1" applyProtection="1">
      <protection locked="0"/>
    </xf>
    <xf numFmtId="0" fontId="71" fillId="3" borderId="0" xfId="0" applyNumberFormat="1" applyFont="1" applyFill="1" applyBorder="1" applyProtection="1">
      <protection locked="0"/>
    </xf>
    <xf numFmtId="165" fontId="4" fillId="16" borderId="6" xfId="1" applyNumberFormat="1" applyFont="1" applyFill="1" applyBorder="1" applyAlignment="1" applyProtection="1">
      <alignment horizontal="center"/>
    </xf>
    <xf numFmtId="168" fontId="13" fillId="11" borderId="0" xfId="0" applyNumberFormat="1" applyFont="1" applyFill="1" applyBorder="1" applyAlignment="1" applyProtection="1">
      <alignment horizontal="center" vertical="center" wrapText="1"/>
    </xf>
    <xf numFmtId="17" fontId="13" fillId="11" borderId="0" xfId="0" applyNumberFormat="1" applyFont="1" applyFill="1" applyBorder="1" applyAlignment="1" applyProtection="1">
      <alignment horizontal="center" vertical="center" wrapText="1"/>
    </xf>
    <xf numFmtId="0" fontId="13" fillId="11" borderId="0" xfId="0" applyFont="1" applyFill="1" applyBorder="1" applyAlignment="1" applyProtection="1">
      <alignment horizontal="center" vertical="center" wrapText="1"/>
    </xf>
    <xf numFmtId="0" fontId="3" fillId="3" borderId="14" xfId="0" applyFont="1" applyFill="1" applyBorder="1" applyProtection="1"/>
    <xf numFmtId="0" fontId="3" fillId="3" borderId="15" xfId="0" applyFont="1" applyFill="1" applyBorder="1" applyProtection="1"/>
    <xf numFmtId="0" fontId="4" fillId="0" borderId="0" xfId="0" applyFont="1" applyFill="1" applyBorder="1" applyProtection="1"/>
    <xf numFmtId="0" fontId="16" fillId="3" borderId="0" xfId="0" applyFont="1" applyFill="1" applyBorder="1" applyAlignment="1" applyProtection="1">
      <alignment vertical="center" wrapText="1"/>
    </xf>
    <xf numFmtId="166" fontId="10" fillId="0" borderId="57" xfId="1" applyNumberFormat="1" applyFont="1" applyFill="1" applyBorder="1" applyAlignment="1" applyProtection="1">
      <alignment vertical="center"/>
    </xf>
    <xf numFmtId="0" fontId="16" fillId="3" borderId="0" xfId="0" quotePrefix="1" applyFont="1" applyFill="1" applyBorder="1" applyAlignment="1" applyProtection="1">
      <alignment vertical="center" wrapText="1"/>
    </xf>
    <xf numFmtId="0" fontId="54" fillId="3" borderId="0" xfId="0" applyFont="1" applyFill="1" applyBorder="1" applyProtection="1"/>
    <xf numFmtId="0" fontId="3" fillId="3" borderId="23" xfId="0" applyFont="1" applyFill="1" applyBorder="1" applyProtection="1"/>
    <xf numFmtId="0" fontId="37" fillId="3" borderId="0" xfId="0" applyFont="1" applyFill="1" applyBorder="1" applyAlignment="1" applyProtection="1">
      <alignment vertical="center"/>
    </xf>
    <xf numFmtId="0" fontId="38" fillId="0" borderId="0" xfId="0" applyFont="1" applyFill="1" applyBorder="1" applyAlignment="1" applyProtection="1">
      <alignment vertical="center"/>
    </xf>
    <xf numFmtId="0" fontId="9" fillId="0" borderId="0" xfId="0" applyFont="1" applyFill="1" applyBorder="1" applyAlignment="1" applyProtection="1">
      <alignment vertical="center"/>
    </xf>
    <xf numFmtId="0" fontId="39" fillId="0" borderId="0" xfId="0" applyFont="1" applyFill="1" applyBorder="1" applyAlignment="1" applyProtection="1">
      <alignment vertical="center"/>
    </xf>
    <xf numFmtId="0" fontId="9" fillId="0" borderId="0" xfId="0" applyFont="1" applyFill="1" applyBorder="1" applyAlignment="1" applyProtection="1">
      <alignment horizontal="center" vertical="center"/>
    </xf>
    <xf numFmtId="166" fontId="3" fillId="3" borderId="0" xfId="1" applyNumberFormat="1" applyFont="1" applyFill="1" applyBorder="1" applyAlignment="1" applyProtection="1">
      <alignment horizontal="center" vertical="center"/>
    </xf>
    <xf numFmtId="0" fontId="3" fillId="3" borderId="0" xfId="0" applyFont="1" applyFill="1" applyBorder="1" applyAlignment="1" applyProtection="1">
      <alignment wrapText="1"/>
      <protection locked="0"/>
    </xf>
    <xf numFmtId="0" fontId="3" fillId="0" borderId="32" xfId="0" applyFont="1" applyFill="1" applyBorder="1" applyAlignment="1" applyProtection="1">
      <alignment horizontal="left"/>
    </xf>
    <xf numFmtId="43" fontId="0" fillId="0" borderId="0" xfId="1" applyFont="1"/>
    <xf numFmtId="10" fontId="3" fillId="3" borderId="58" xfId="3" applyNumberFormat="1" applyFont="1" applyFill="1" applyBorder="1" applyAlignment="1" applyProtection="1">
      <alignment horizontal="center" vertical="center"/>
    </xf>
    <xf numFmtId="10" fontId="3" fillId="3" borderId="71" xfId="3" applyNumberFormat="1" applyFont="1" applyFill="1" applyBorder="1" applyAlignment="1" applyProtection="1">
      <alignment horizontal="center" vertical="center"/>
    </xf>
    <xf numFmtId="10" fontId="3" fillId="3" borderId="63" xfId="3" applyNumberFormat="1" applyFont="1" applyFill="1" applyBorder="1" applyAlignment="1" applyProtection="1">
      <alignment horizontal="center" vertical="center"/>
    </xf>
    <xf numFmtId="171" fontId="0" fillId="0" borderId="0" xfId="3" applyNumberFormat="1" applyFont="1"/>
    <xf numFmtId="166" fontId="7" fillId="16" borderId="54" xfId="1" applyNumberFormat="1" applyFont="1" applyFill="1" applyBorder="1" applyAlignment="1" applyProtection="1">
      <alignment horizontal="center" vertical="center"/>
    </xf>
    <xf numFmtId="166" fontId="7" fillId="16" borderId="33" xfId="1" applyNumberFormat="1" applyFont="1" applyFill="1" applyBorder="1" applyAlignment="1" applyProtection="1">
      <alignment horizontal="center" vertical="center"/>
    </xf>
    <xf numFmtId="43" fontId="3" fillId="16" borderId="54" xfId="1" applyFont="1" applyFill="1" applyBorder="1" applyAlignment="1" applyProtection="1">
      <alignment horizontal="center" vertical="center"/>
    </xf>
    <xf numFmtId="10" fontId="7" fillId="7" borderId="6" xfId="3" applyNumberFormat="1" applyFont="1" applyFill="1" applyBorder="1" applyAlignment="1" applyProtection="1">
      <alignment horizontal="right"/>
    </xf>
    <xf numFmtId="9" fontId="73" fillId="15" borderId="7" xfId="3" applyFont="1" applyFill="1" applyBorder="1" applyProtection="1"/>
    <xf numFmtId="165" fontId="9" fillId="16" borderId="6" xfId="1" applyNumberFormat="1" applyFont="1" applyFill="1" applyBorder="1" applyAlignment="1" applyProtection="1">
      <alignment horizontal="center"/>
    </xf>
    <xf numFmtId="0" fontId="9" fillId="3" borderId="7" xfId="0" applyFont="1" applyFill="1" applyBorder="1" applyProtection="1">
      <protection locked="0"/>
    </xf>
    <xf numFmtId="166" fontId="10" fillId="3" borderId="33" xfId="1" applyNumberFormat="1" applyFont="1" applyFill="1" applyBorder="1" applyAlignment="1" applyProtection="1">
      <alignment vertical="center"/>
    </xf>
    <xf numFmtId="0" fontId="28" fillId="0" borderId="0" xfId="0" applyNumberFormat="1" applyFont="1" applyAlignment="1">
      <alignment vertical="top"/>
    </xf>
    <xf numFmtId="165" fontId="5" fillId="16" borderId="6" xfId="1" applyNumberFormat="1" applyFont="1" applyFill="1" applyBorder="1" applyAlignment="1" applyProtection="1">
      <alignment horizontal="center"/>
    </xf>
    <xf numFmtId="165" fontId="7" fillId="16" borderId="6" xfId="1" applyNumberFormat="1" applyFont="1" applyFill="1" applyBorder="1" applyAlignment="1" applyProtection="1">
      <alignment horizontal="center"/>
    </xf>
    <xf numFmtId="0" fontId="4" fillId="16" borderId="6" xfId="1" applyNumberFormat="1" applyFont="1" applyFill="1" applyBorder="1" applyAlignment="1" applyProtection="1">
      <alignment horizontal="center"/>
    </xf>
    <xf numFmtId="1" fontId="46" fillId="7" borderId="0" xfId="0" applyNumberFormat="1" applyFont="1" applyFill="1" applyProtection="1">
      <protection locked="0"/>
    </xf>
    <xf numFmtId="9" fontId="46" fillId="7" borderId="0" xfId="0" applyNumberFormat="1" applyFont="1" applyFill="1" applyProtection="1">
      <protection locked="0"/>
    </xf>
    <xf numFmtId="0" fontId="42" fillId="0" borderId="0" xfId="0" applyFont="1" applyFill="1" applyBorder="1" applyAlignment="1" applyProtection="1">
      <alignment horizontal="left" vertical="center" indent="9"/>
      <protection locked="0"/>
    </xf>
    <xf numFmtId="10" fontId="7" fillId="16" borderId="6" xfId="3" applyNumberFormat="1" applyFont="1" applyFill="1" applyBorder="1" applyAlignment="1" applyProtection="1">
      <alignment horizontal="right"/>
    </xf>
    <xf numFmtId="165" fontId="75" fillId="3" borderId="6" xfId="1" applyNumberFormat="1" applyFont="1" applyFill="1" applyBorder="1" applyProtection="1">
      <protection locked="0"/>
    </xf>
    <xf numFmtId="170" fontId="73" fillId="15" borderId="7" xfId="3" applyNumberFormat="1" applyFont="1" applyFill="1" applyBorder="1" applyProtection="1"/>
    <xf numFmtId="2" fontId="0" fillId="0" borderId="0" xfId="0" applyNumberFormat="1"/>
    <xf numFmtId="10" fontId="46" fillId="7" borderId="0" xfId="0" applyNumberFormat="1" applyFont="1" applyFill="1" applyProtection="1">
      <protection locked="0"/>
    </xf>
    <xf numFmtId="166" fontId="3" fillId="12" borderId="33" xfId="1" applyNumberFormat="1" applyFont="1" applyFill="1" applyBorder="1" applyAlignment="1" applyProtection="1">
      <alignment vertical="center"/>
    </xf>
    <xf numFmtId="166" fontId="3" fillId="12" borderId="33" xfId="1" applyNumberFormat="1" applyFont="1" applyFill="1" applyBorder="1" applyAlignment="1" applyProtection="1">
      <alignment horizontal="center" vertical="center"/>
    </xf>
    <xf numFmtId="164" fontId="4" fillId="16" borderId="6" xfId="1" applyNumberFormat="1" applyFont="1" applyFill="1" applyBorder="1" applyAlignment="1" applyProtection="1">
      <alignment horizontal="center"/>
    </xf>
    <xf numFmtId="49" fontId="0" fillId="0" borderId="0" xfId="0" applyNumberFormat="1"/>
    <xf numFmtId="0" fontId="64" fillId="5" borderId="0" xfId="0" applyFont="1" applyFill="1" applyAlignment="1" applyProtection="1">
      <alignment horizontal="left"/>
    </xf>
    <xf numFmtId="0" fontId="10" fillId="8" borderId="0" xfId="0" applyFont="1" applyFill="1" applyAlignment="1" applyProtection="1">
      <alignment horizontal="center"/>
    </xf>
    <xf numFmtId="0" fontId="68" fillId="3" borderId="14" xfId="0" applyFont="1" applyFill="1" applyBorder="1" applyAlignment="1" applyProtection="1">
      <alignment horizontal="left" vertical="center" wrapText="1" indent="3"/>
    </xf>
    <xf numFmtId="0" fontId="68" fillId="3" borderId="21" xfId="0" applyFont="1" applyFill="1" applyBorder="1" applyAlignment="1" applyProtection="1">
      <alignment horizontal="left" vertical="center" wrapText="1" indent="3"/>
    </xf>
    <xf numFmtId="0" fontId="61" fillId="0" borderId="16" xfId="0" applyFont="1" applyFill="1" applyBorder="1" applyAlignment="1" applyProtection="1">
      <alignment horizontal="left" vertical="center"/>
      <protection locked="0"/>
    </xf>
    <xf numFmtId="0" fontId="61" fillId="0" borderId="5" xfId="0" applyFont="1" applyFill="1" applyBorder="1" applyAlignment="1" applyProtection="1">
      <alignment horizontal="left" vertical="center"/>
      <protection locked="0"/>
    </xf>
    <xf numFmtId="0" fontId="61" fillId="0" borderId="47" xfId="0" applyFont="1" applyFill="1" applyBorder="1" applyAlignment="1" applyProtection="1">
      <alignment horizontal="left" vertical="center"/>
      <protection locked="0"/>
    </xf>
    <xf numFmtId="166" fontId="76" fillId="3" borderId="1" xfId="1" applyNumberFormat="1" applyFont="1" applyFill="1" applyBorder="1" applyAlignment="1" applyProtection="1">
      <alignment horizontal="center" vertical="center"/>
      <protection locked="0"/>
    </xf>
    <xf numFmtId="166" fontId="76" fillId="3" borderId="3" xfId="1" applyNumberFormat="1" applyFont="1" applyFill="1" applyBorder="1" applyAlignment="1" applyProtection="1">
      <alignment horizontal="center" vertical="center"/>
      <protection locked="0"/>
    </xf>
    <xf numFmtId="0" fontId="3" fillId="0" borderId="7" xfId="0" applyFont="1" applyFill="1" applyBorder="1" applyAlignment="1" applyProtection="1">
      <alignment horizontal="right" vertical="center" wrapText="1" indent="1"/>
      <protection locked="0"/>
    </xf>
    <xf numFmtId="0" fontId="5" fillId="0" borderId="7" xfId="0" applyFont="1" applyFill="1" applyBorder="1" applyAlignment="1" applyProtection="1">
      <alignment horizontal="left" vertical="center" wrapText="1"/>
      <protection locked="0"/>
    </xf>
    <xf numFmtId="0" fontId="5" fillId="0" borderId="7" xfId="0" quotePrefix="1" applyFont="1" applyFill="1" applyBorder="1" applyAlignment="1" applyProtection="1">
      <alignment horizontal="left" vertical="center" wrapText="1"/>
      <protection locked="0"/>
    </xf>
    <xf numFmtId="0" fontId="3" fillId="7" borderId="0" xfId="0" applyFont="1" applyFill="1" applyBorder="1" applyAlignment="1" applyProtection="1">
      <alignment horizontal="left" vertical="center" wrapText="1" indent="9"/>
      <protection locked="0"/>
    </xf>
    <xf numFmtId="0" fontId="3" fillId="0" borderId="7" xfId="0" applyFont="1" applyFill="1" applyBorder="1" applyAlignment="1" applyProtection="1">
      <alignment horizontal="left" vertical="center" wrapText="1" indent="7"/>
      <protection locked="0"/>
    </xf>
    <xf numFmtId="0" fontId="3" fillId="0" borderId="7" xfId="0" applyFont="1" applyFill="1" applyBorder="1" applyAlignment="1" applyProtection="1">
      <alignment horizontal="left" vertical="center" wrapText="1" indent="6"/>
      <protection locked="0"/>
    </xf>
    <xf numFmtId="0" fontId="3" fillId="2" borderId="46" xfId="0" applyFont="1" applyFill="1" applyBorder="1" applyAlignment="1" applyProtection="1">
      <alignment horizontal="right" vertical="center" wrapText="1" indent="1"/>
      <protection locked="0"/>
    </xf>
    <xf numFmtId="0" fontId="4" fillId="0" borderId="7" xfId="0" applyFont="1" applyBorder="1" applyAlignment="1" applyProtection="1">
      <alignment horizontal="center" vertical="top" wrapText="1"/>
      <protection locked="0"/>
    </xf>
    <xf numFmtId="0" fontId="17" fillId="16" borderId="7" xfId="0" applyFont="1" applyFill="1" applyBorder="1" applyAlignment="1" applyProtection="1">
      <alignment horizontal="center" vertical="center" wrapText="1"/>
    </xf>
    <xf numFmtId="165" fontId="58" fillId="7" borderId="1" xfId="1" applyNumberFormat="1" applyFont="1" applyFill="1" applyBorder="1" applyAlignment="1" applyProtection="1">
      <alignment horizontal="center" vertical="center"/>
    </xf>
    <xf numFmtId="165" fontId="58" fillId="7" borderId="3" xfId="1" applyNumberFormat="1" applyFont="1" applyFill="1" applyBorder="1" applyAlignment="1" applyProtection="1">
      <alignment horizontal="center" vertical="center"/>
    </xf>
    <xf numFmtId="165" fontId="59" fillId="7" borderId="1" xfId="1" applyNumberFormat="1" applyFont="1" applyFill="1" applyBorder="1" applyAlignment="1" applyProtection="1">
      <alignment horizontal="center" vertical="center"/>
    </xf>
    <xf numFmtId="165" fontId="59" fillId="7" borderId="3" xfId="1" applyNumberFormat="1" applyFont="1" applyFill="1" applyBorder="1" applyAlignment="1" applyProtection="1">
      <alignment horizontal="center" vertical="center"/>
    </xf>
    <xf numFmtId="170" fontId="53" fillId="15" borderId="1" xfId="3" applyNumberFormat="1" applyFont="1" applyFill="1" applyBorder="1" applyAlignment="1" applyProtection="1">
      <alignment horizontal="right" vertical="center"/>
    </xf>
    <xf numFmtId="170" fontId="53" fillId="15" borderId="3" xfId="3" applyNumberFormat="1" applyFont="1" applyFill="1" applyBorder="1" applyAlignment="1" applyProtection="1">
      <alignment horizontal="right" vertical="center"/>
    </xf>
    <xf numFmtId="166" fontId="50" fillId="3" borderId="1" xfId="1" applyNumberFormat="1" applyFont="1" applyFill="1" applyBorder="1" applyAlignment="1" applyProtection="1">
      <alignment horizontal="left" vertical="center" indent="2"/>
    </xf>
    <xf numFmtId="166" fontId="50" fillId="3" borderId="3" xfId="1" applyNumberFormat="1" applyFont="1" applyFill="1" applyBorder="1" applyAlignment="1" applyProtection="1">
      <alignment horizontal="left" vertical="center" indent="2"/>
    </xf>
    <xf numFmtId="0" fontId="61" fillId="0" borderId="48" xfId="0" applyFont="1" applyFill="1" applyBorder="1" applyAlignment="1" applyProtection="1">
      <alignment horizontal="left" vertical="center"/>
      <protection locked="0"/>
    </xf>
    <xf numFmtId="0" fontId="61" fillId="0" borderId="17" xfId="0" applyFont="1" applyFill="1" applyBorder="1" applyAlignment="1" applyProtection="1">
      <alignment horizontal="left" vertical="center"/>
      <protection locked="0"/>
    </xf>
    <xf numFmtId="0" fontId="5" fillId="0" borderId="0" xfId="0" applyFont="1" applyFill="1" applyBorder="1" applyAlignment="1" applyProtection="1">
      <alignment horizontal="center" vertical="center" wrapText="1"/>
      <protection locked="0"/>
    </xf>
    <xf numFmtId="0" fontId="5" fillId="0" borderId="21" xfId="0" applyFont="1" applyFill="1" applyBorder="1" applyAlignment="1" applyProtection="1">
      <alignment horizontal="center" vertical="center" wrapText="1"/>
      <protection locked="0"/>
    </xf>
    <xf numFmtId="0" fontId="55" fillId="12" borderId="1" xfId="0" applyFont="1" applyFill="1" applyBorder="1" applyAlignment="1" applyProtection="1">
      <alignment horizontal="center" vertical="center"/>
      <protection hidden="1"/>
    </xf>
    <xf numFmtId="0" fontId="55" fillId="12" borderId="2" xfId="0" applyFont="1" applyFill="1" applyBorder="1" applyAlignment="1" applyProtection="1">
      <alignment horizontal="center" vertical="center"/>
      <protection hidden="1"/>
    </xf>
    <xf numFmtId="0" fontId="8" fillId="9" borderId="14" xfId="0" applyFont="1" applyFill="1" applyBorder="1" applyAlignment="1" applyProtection="1">
      <alignment horizontal="center" vertical="center"/>
    </xf>
    <xf numFmtId="0" fontId="8" fillId="9" borderId="0" xfId="0" applyFont="1" applyFill="1" applyBorder="1" applyAlignment="1" applyProtection="1">
      <alignment horizontal="center" vertical="center"/>
    </xf>
    <xf numFmtId="0" fontId="6" fillId="2" borderId="1" xfId="0" applyNumberFormat="1" applyFont="1" applyFill="1" applyBorder="1" applyAlignment="1" applyProtection="1">
      <alignment horizontal="center" vertical="center"/>
      <protection hidden="1"/>
    </xf>
    <xf numFmtId="0" fontId="6" fillId="2" borderId="3" xfId="0" applyNumberFormat="1" applyFont="1" applyFill="1" applyBorder="1" applyAlignment="1" applyProtection="1">
      <alignment horizontal="center" vertical="center"/>
      <protection hidden="1"/>
    </xf>
    <xf numFmtId="0" fontId="55" fillId="2" borderId="1" xfId="0" applyFont="1" applyFill="1" applyBorder="1" applyAlignment="1" applyProtection="1">
      <alignment horizontal="center" vertical="center"/>
      <protection hidden="1"/>
    </xf>
    <xf numFmtId="0" fontId="55" fillId="2" borderId="3" xfId="0" applyFont="1" applyFill="1" applyBorder="1" applyAlignment="1" applyProtection="1">
      <alignment horizontal="center" vertical="center"/>
      <protection hidden="1"/>
    </xf>
    <xf numFmtId="0" fontId="55" fillId="12" borderId="1" xfId="0" applyFont="1" applyFill="1" applyBorder="1" applyAlignment="1" applyProtection="1">
      <alignment horizontal="center" vertical="center"/>
      <protection locked="0" hidden="1"/>
    </xf>
    <xf numFmtId="0" fontId="55" fillId="12" borderId="3" xfId="0" applyFont="1" applyFill="1" applyBorder="1" applyAlignment="1" applyProtection="1">
      <alignment horizontal="center" vertical="center"/>
      <protection locked="0" hidden="1"/>
    </xf>
    <xf numFmtId="0" fontId="8" fillId="9" borderId="0" xfId="0" applyFont="1" applyFill="1" applyBorder="1" applyAlignment="1" applyProtection="1">
      <alignment horizontal="center" vertical="center" wrapText="1"/>
    </xf>
    <xf numFmtId="14" fontId="68" fillId="7" borderId="4" xfId="0" applyNumberFormat="1" applyFont="1" applyFill="1" applyBorder="1" applyAlignment="1" applyProtection="1">
      <alignment horizontal="center" vertical="center" wrapText="1"/>
    </xf>
    <xf numFmtId="0" fontId="14" fillId="7" borderId="0" xfId="0" applyFont="1" applyFill="1" applyBorder="1" applyAlignment="1" applyProtection="1">
      <alignment horizontal="center" vertical="center" wrapText="1"/>
      <protection locked="0"/>
    </xf>
    <xf numFmtId="0" fontId="13" fillId="3" borderId="25" xfId="0" applyFont="1" applyFill="1" applyBorder="1" applyAlignment="1" applyProtection="1">
      <alignment horizontal="center"/>
      <protection locked="0"/>
    </xf>
    <xf numFmtId="0" fontId="13" fillId="3" borderId="0" xfId="0" applyFont="1" applyFill="1" applyBorder="1" applyAlignment="1" applyProtection="1">
      <alignment horizontal="center"/>
      <protection locked="0"/>
    </xf>
    <xf numFmtId="0" fontId="13" fillId="3" borderId="10" xfId="0" applyFont="1" applyFill="1" applyBorder="1" applyAlignment="1" applyProtection="1">
      <alignment horizontal="center"/>
      <protection locked="0"/>
    </xf>
    <xf numFmtId="0" fontId="42" fillId="4" borderId="14" xfId="0" applyFont="1" applyFill="1" applyBorder="1" applyAlignment="1" applyProtection="1">
      <alignment horizontal="left" vertical="center"/>
      <protection locked="0"/>
    </xf>
    <xf numFmtId="0" fontId="42" fillId="4" borderId="0" xfId="0" applyFont="1" applyFill="1" applyBorder="1" applyAlignment="1" applyProtection="1">
      <alignment horizontal="left" vertical="center"/>
      <protection locked="0"/>
    </xf>
    <xf numFmtId="0" fontId="42" fillId="4" borderId="15" xfId="0" applyFont="1" applyFill="1" applyBorder="1" applyAlignment="1" applyProtection="1">
      <alignment horizontal="left" vertical="center"/>
      <protection locked="0"/>
    </xf>
    <xf numFmtId="0" fontId="29" fillId="17" borderId="25" xfId="0" applyFont="1" applyFill="1" applyBorder="1" applyAlignment="1" applyProtection="1">
      <alignment horizontal="center" vertical="center" wrapText="1"/>
      <protection locked="0"/>
    </xf>
    <xf numFmtId="0" fontId="29" fillId="17" borderId="26" xfId="0" applyFont="1" applyFill="1" applyBorder="1" applyAlignment="1" applyProtection="1">
      <alignment horizontal="center" vertical="center" wrapText="1"/>
      <protection locked="0"/>
    </xf>
    <xf numFmtId="0" fontId="29" fillId="17" borderId="52" xfId="0" applyFont="1" applyFill="1" applyBorder="1" applyAlignment="1" applyProtection="1">
      <alignment horizontal="center" vertical="center" wrapText="1"/>
      <protection locked="0"/>
    </xf>
    <xf numFmtId="0" fontId="29" fillId="17" borderId="53" xfId="0" applyFont="1" applyFill="1" applyBorder="1" applyAlignment="1" applyProtection="1">
      <alignment horizontal="center" vertical="center" wrapText="1"/>
      <protection locked="0"/>
    </xf>
    <xf numFmtId="0" fontId="4" fillId="0" borderId="7" xfId="0" applyFont="1" applyBorder="1" applyAlignment="1" applyProtection="1">
      <alignment horizontal="center" vertical="center" wrapText="1"/>
      <protection locked="0"/>
    </xf>
    <xf numFmtId="49" fontId="3" fillId="2" borderId="46" xfId="0" applyNumberFormat="1" applyFont="1" applyFill="1" applyBorder="1" applyAlignment="1" applyProtection="1">
      <alignment horizontal="right" vertical="center" wrapText="1" indent="1"/>
      <protection locked="0"/>
    </xf>
    <xf numFmtId="0" fontId="74" fillId="7" borderId="0" xfId="0" applyFont="1" applyFill="1" applyBorder="1" applyAlignment="1" applyProtection="1">
      <alignment horizontal="center" vertical="center" wrapText="1"/>
      <protection locked="0"/>
    </xf>
    <xf numFmtId="0" fontId="29" fillId="17" borderId="0" xfId="0" applyFont="1" applyFill="1" applyBorder="1" applyAlignment="1" applyProtection="1">
      <alignment horizontal="center" vertical="center" wrapText="1"/>
      <protection locked="0"/>
    </xf>
    <xf numFmtId="0" fontId="29" fillId="17" borderId="6" xfId="0" applyFont="1" applyFill="1" applyBorder="1" applyAlignment="1" applyProtection="1">
      <alignment horizontal="center" vertical="center" wrapText="1"/>
      <protection locked="0"/>
    </xf>
    <xf numFmtId="0" fontId="36" fillId="4" borderId="14" xfId="0" applyFont="1" applyFill="1" applyBorder="1" applyAlignment="1" applyProtection="1">
      <alignment horizontal="left" vertical="center"/>
      <protection locked="0"/>
    </xf>
    <xf numFmtId="0" fontId="36" fillId="4" borderId="0" xfId="0" applyFont="1" applyFill="1" applyBorder="1" applyAlignment="1" applyProtection="1">
      <alignment horizontal="left" vertical="center"/>
      <protection locked="0"/>
    </xf>
    <xf numFmtId="0" fontId="36" fillId="4" borderId="15" xfId="0" applyFont="1" applyFill="1" applyBorder="1" applyAlignment="1" applyProtection="1">
      <alignment horizontal="left" vertical="center"/>
      <protection locked="0"/>
    </xf>
    <xf numFmtId="0" fontId="37" fillId="3" borderId="14" xfId="0" applyFont="1" applyFill="1" applyBorder="1" applyAlignment="1" applyProtection="1">
      <alignment horizontal="center" vertical="center"/>
    </xf>
    <xf numFmtId="0" fontId="37" fillId="3" borderId="0" xfId="0" applyFont="1" applyFill="1" applyBorder="1" applyAlignment="1" applyProtection="1">
      <alignment horizontal="center" vertical="center"/>
    </xf>
    <xf numFmtId="0" fontId="55" fillId="16" borderId="1" xfId="0" applyFont="1" applyFill="1" applyBorder="1" applyAlignment="1" applyProtection="1">
      <alignment horizontal="center" vertical="center"/>
      <protection hidden="1"/>
    </xf>
    <xf numFmtId="0" fontId="55" fillId="16" borderId="3" xfId="0" applyFont="1" applyFill="1" applyBorder="1" applyAlignment="1" applyProtection="1">
      <alignment horizontal="center" vertical="center"/>
      <protection hidden="1"/>
    </xf>
    <xf numFmtId="0" fontId="55" fillId="12" borderId="3" xfId="0" applyFont="1" applyFill="1" applyBorder="1" applyAlignment="1" applyProtection="1">
      <alignment horizontal="center" vertical="center"/>
      <protection hidden="1"/>
    </xf>
    <xf numFmtId="0" fontId="56" fillId="2" borderId="1" xfId="0" applyNumberFormat="1" applyFont="1" applyFill="1" applyBorder="1" applyAlignment="1" applyProtection="1">
      <alignment horizontal="center" vertical="center" wrapText="1"/>
      <protection hidden="1"/>
    </xf>
    <xf numFmtId="0" fontId="56" fillId="2" borderId="3" xfId="0" applyNumberFormat="1" applyFont="1" applyFill="1" applyBorder="1" applyAlignment="1" applyProtection="1">
      <alignment horizontal="center" vertical="center" wrapText="1"/>
      <protection hidden="1"/>
    </xf>
    <xf numFmtId="0" fontId="57" fillId="2" borderId="1" xfId="0" applyFont="1" applyFill="1" applyBorder="1" applyAlignment="1" applyProtection="1">
      <alignment horizontal="center" vertical="center" wrapText="1"/>
      <protection hidden="1"/>
    </xf>
    <xf numFmtId="0" fontId="57" fillId="2" borderId="3" xfId="0" applyFont="1" applyFill="1" applyBorder="1" applyAlignment="1" applyProtection="1">
      <alignment horizontal="center" vertical="center" wrapText="1"/>
      <protection hidden="1"/>
    </xf>
    <xf numFmtId="165" fontId="58" fillId="16" borderId="1" xfId="1" applyNumberFormat="1" applyFont="1" applyFill="1" applyBorder="1" applyAlignment="1" applyProtection="1">
      <alignment horizontal="center" vertical="center"/>
    </xf>
    <xf numFmtId="165" fontId="58" fillId="16" borderId="3" xfId="1" applyNumberFormat="1" applyFont="1" applyFill="1" applyBorder="1" applyAlignment="1" applyProtection="1">
      <alignment horizontal="center" vertical="center"/>
    </xf>
    <xf numFmtId="165" fontId="59" fillId="16" borderId="1" xfId="1" applyNumberFormat="1" applyFont="1" applyFill="1" applyBorder="1" applyAlignment="1" applyProtection="1">
      <alignment horizontal="center" vertical="center"/>
    </xf>
    <xf numFmtId="165" fontId="59" fillId="16" borderId="3" xfId="1" applyNumberFormat="1" applyFont="1" applyFill="1" applyBorder="1" applyAlignment="1" applyProtection="1">
      <alignment horizontal="center" vertical="center"/>
    </xf>
    <xf numFmtId="166" fontId="3" fillId="3" borderId="55" xfId="1" applyNumberFormat="1" applyFont="1" applyFill="1" applyBorder="1" applyAlignment="1" applyProtection="1">
      <alignment horizontal="center" vertical="center"/>
    </xf>
    <xf numFmtId="166" fontId="3" fillId="3" borderId="56" xfId="1" applyNumberFormat="1" applyFont="1" applyFill="1" applyBorder="1" applyAlignment="1" applyProtection="1">
      <alignment horizontal="center" vertical="center"/>
    </xf>
    <xf numFmtId="166" fontId="50" fillId="3" borderId="1" xfId="1" applyNumberFormat="1" applyFont="1" applyFill="1" applyBorder="1" applyAlignment="1" applyProtection="1">
      <alignment horizontal="center" vertical="center"/>
    </xf>
    <xf numFmtId="166" fontId="50" fillId="3" borderId="3" xfId="1" applyNumberFormat="1" applyFont="1" applyFill="1" applyBorder="1" applyAlignment="1" applyProtection="1">
      <alignment horizontal="center" vertical="center"/>
    </xf>
    <xf numFmtId="165" fontId="60" fillId="16" borderId="1" xfId="1" applyNumberFormat="1" applyFont="1" applyFill="1" applyBorder="1" applyAlignment="1" applyProtection="1">
      <alignment horizontal="center" vertical="center"/>
    </xf>
    <xf numFmtId="165" fontId="60" fillId="16" borderId="2" xfId="1" applyNumberFormat="1" applyFont="1" applyFill="1" applyBorder="1" applyAlignment="1" applyProtection="1">
      <alignment horizontal="center" vertical="center"/>
    </xf>
    <xf numFmtId="165" fontId="60" fillId="16" borderId="3" xfId="1" applyNumberFormat="1" applyFont="1" applyFill="1" applyBorder="1" applyAlignment="1" applyProtection="1">
      <alignment horizontal="center" vertical="center"/>
    </xf>
    <xf numFmtId="166" fontId="51" fillId="3" borderId="1" xfId="1" applyNumberFormat="1" applyFont="1" applyFill="1" applyBorder="1" applyAlignment="1" applyProtection="1">
      <alignment horizontal="center" vertical="center"/>
    </xf>
    <xf numFmtId="166" fontId="51" fillId="3" borderId="3" xfId="1" applyNumberFormat="1" applyFont="1" applyFill="1" applyBorder="1" applyAlignment="1" applyProtection="1">
      <alignment horizontal="center" vertical="center"/>
    </xf>
    <xf numFmtId="0" fontId="42" fillId="4" borderId="49" xfId="0" applyFont="1" applyFill="1" applyBorder="1" applyAlignment="1" applyProtection="1">
      <alignment horizontal="left" vertical="center"/>
      <protection locked="0"/>
    </xf>
    <xf numFmtId="0" fontId="42" fillId="4" borderId="50" xfId="0" applyFont="1" applyFill="1" applyBorder="1" applyAlignment="1" applyProtection="1">
      <alignment horizontal="left" vertical="center"/>
      <protection locked="0"/>
    </xf>
    <xf numFmtId="0" fontId="42" fillId="4" borderId="51" xfId="0" applyFont="1" applyFill="1" applyBorder="1" applyAlignment="1" applyProtection="1">
      <alignment horizontal="left" vertical="center"/>
      <protection locked="0"/>
    </xf>
    <xf numFmtId="166" fontId="52" fillId="3" borderId="1" xfId="1" applyNumberFormat="1" applyFont="1" applyFill="1" applyBorder="1" applyAlignment="1" applyProtection="1">
      <alignment horizontal="center" vertical="center"/>
    </xf>
    <xf numFmtId="166" fontId="52" fillId="3" borderId="3" xfId="1" applyNumberFormat="1" applyFont="1" applyFill="1" applyBorder="1" applyAlignment="1" applyProtection="1">
      <alignment horizontal="center" vertical="center"/>
    </xf>
    <xf numFmtId="0" fontId="14" fillId="14" borderId="0" xfId="0" applyFont="1" applyFill="1" applyBorder="1" applyAlignment="1" applyProtection="1">
      <alignment horizontal="center" vertical="center" wrapText="1"/>
      <protection locked="0"/>
    </xf>
    <xf numFmtId="170" fontId="72" fillId="15" borderId="1" xfId="3" applyNumberFormat="1" applyFont="1" applyFill="1" applyBorder="1" applyAlignment="1" applyProtection="1">
      <alignment horizontal="right" vertical="center"/>
    </xf>
    <xf numFmtId="170" fontId="72" fillId="15" borderId="2" xfId="3" applyNumberFormat="1" applyFont="1" applyFill="1" applyBorder="1" applyAlignment="1" applyProtection="1">
      <alignment horizontal="right" vertical="center"/>
    </xf>
    <xf numFmtId="170" fontId="72" fillId="15" borderId="3" xfId="3" applyNumberFormat="1" applyFont="1" applyFill="1" applyBorder="1" applyAlignment="1" applyProtection="1">
      <alignment horizontal="right" vertical="center"/>
    </xf>
    <xf numFmtId="0" fontId="5" fillId="0" borderId="6" xfId="0" applyFont="1" applyFill="1" applyBorder="1" applyAlignment="1" applyProtection="1">
      <alignment horizontal="left" vertical="center" wrapText="1"/>
      <protection locked="0"/>
    </xf>
    <xf numFmtId="0" fontId="70" fillId="0" borderId="32" xfId="0" applyFont="1" applyFill="1" applyBorder="1" applyAlignment="1" applyProtection="1">
      <alignment horizontal="left"/>
      <protection locked="0"/>
    </xf>
    <xf numFmtId="0" fontId="70" fillId="0" borderId="33" xfId="0" applyFont="1" applyFill="1" applyBorder="1" applyAlignment="1" applyProtection="1">
      <alignment horizontal="left"/>
      <protection locked="0"/>
    </xf>
    <xf numFmtId="0" fontId="2" fillId="3" borderId="4" xfId="0" applyFont="1" applyFill="1" applyBorder="1" applyAlignment="1" applyProtection="1">
      <alignment horizontal="center" vertical="center" wrapText="1"/>
      <protection locked="0"/>
    </xf>
    <xf numFmtId="0" fontId="62" fillId="0" borderId="32" xfId="0" applyFont="1" applyFill="1" applyBorder="1" applyAlignment="1" applyProtection="1">
      <alignment horizontal="left"/>
      <protection locked="0"/>
    </xf>
    <xf numFmtId="0" fontId="62" fillId="0" borderId="33" xfId="0" applyFont="1" applyFill="1" applyBorder="1" applyAlignment="1" applyProtection="1">
      <alignment horizontal="left"/>
      <protection locked="0"/>
    </xf>
    <xf numFmtId="0" fontId="69" fillId="0" borderId="32" xfId="0" applyFont="1" applyFill="1" applyBorder="1" applyAlignment="1" applyProtection="1">
      <alignment horizontal="left"/>
      <protection locked="0"/>
    </xf>
    <xf numFmtId="0" fontId="2" fillId="0" borderId="33" xfId="0" applyFont="1" applyFill="1" applyBorder="1" applyAlignment="1" applyProtection="1">
      <alignment horizontal="left"/>
      <protection locked="0"/>
    </xf>
    <xf numFmtId="0" fontId="69" fillId="0" borderId="33" xfId="0" applyFont="1" applyFill="1" applyBorder="1" applyAlignment="1" applyProtection="1">
      <alignment horizontal="left"/>
      <protection locked="0"/>
    </xf>
    <xf numFmtId="0" fontId="2" fillId="0" borderId="32" xfId="0" applyFont="1" applyFill="1" applyBorder="1" applyAlignment="1" applyProtection="1">
      <alignment horizontal="left"/>
      <protection locked="0"/>
    </xf>
    <xf numFmtId="0" fontId="44" fillId="0" borderId="0" xfId="0" applyFont="1" applyFill="1" applyBorder="1" applyAlignment="1" applyProtection="1">
      <alignment horizontal="left" vertical="center" indent="29"/>
    </xf>
    <xf numFmtId="0" fontId="9" fillId="0" borderId="0" xfId="0" applyFont="1" applyBorder="1" applyAlignment="1" applyProtection="1">
      <alignment horizontal="center"/>
    </xf>
    <xf numFmtId="0" fontId="9" fillId="0" borderId="0" xfId="0" applyFont="1" applyBorder="1" applyAlignment="1" applyProtection="1">
      <alignment horizontal="center"/>
      <protection locked="0"/>
    </xf>
    <xf numFmtId="0" fontId="26" fillId="0" borderId="0" xfId="0" applyFont="1" applyFill="1" applyBorder="1" applyAlignment="1" applyProtection="1">
      <alignment horizontal="center" vertical="center"/>
    </xf>
    <xf numFmtId="14" fontId="3" fillId="3" borderId="58" xfId="1" applyNumberFormat="1" applyFont="1" applyFill="1" applyBorder="1" applyAlignment="1" applyProtection="1">
      <alignment horizontal="center" vertical="center"/>
    </xf>
    <xf numFmtId="0" fontId="3" fillId="3" borderId="58" xfId="1" applyNumberFormat="1" applyFont="1" applyFill="1" applyBorder="1" applyAlignment="1" applyProtection="1">
      <alignment horizontal="center" vertical="center"/>
    </xf>
    <xf numFmtId="166" fontId="3" fillId="3" borderId="58" xfId="1" applyNumberFormat="1" applyFont="1" applyFill="1" applyBorder="1" applyAlignment="1" applyProtection="1">
      <alignment horizontal="center" vertical="center"/>
    </xf>
    <xf numFmtId="49" fontId="3" fillId="3" borderId="63" xfId="1" applyNumberFormat="1" applyFont="1" applyFill="1" applyBorder="1" applyAlignment="1" applyProtection="1">
      <alignment horizontal="center" vertical="center" wrapText="1"/>
    </xf>
    <xf numFmtId="166" fontId="3" fillId="3" borderId="59" xfId="1" applyNumberFormat="1" applyFont="1" applyFill="1" applyBorder="1" applyAlignment="1" applyProtection="1">
      <alignment horizontal="left" vertical="center"/>
    </xf>
    <xf numFmtId="166" fontId="3" fillId="3" borderId="60" xfId="1" applyNumberFormat="1" applyFont="1" applyFill="1" applyBorder="1" applyAlignment="1" applyProtection="1">
      <alignment horizontal="left" vertical="center"/>
    </xf>
    <xf numFmtId="49" fontId="3" fillId="3" borderId="69" xfId="1" applyNumberFormat="1" applyFont="1" applyFill="1" applyBorder="1" applyAlignment="1" applyProtection="1">
      <alignment horizontal="center" vertical="center"/>
    </xf>
    <xf numFmtId="0" fontId="3" fillId="3" borderId="63" xfId="1" applyNumberFormat="1" applyFont="1" applyFill="1" applyBorder="1" applyAlignment="1" applyProtection="1">
      <alignment horizontal="center" vertical="center"/>
    </xf>
    <xf numFmtId="0" fontId="3" fillId="3" borderId="69" xfId="1" applyNumberFormat="1" applyFont="1" applyFill="1" applyBorder="1" applyAlignment="1" applyProtection="1">
      <alignment horizontal="center" vertical="center"/>
    </xf>
    <xf numFmtId="166" fontId="33" fillId="3" borderId="59" xfId="1" applyNumberFormat="1" applyFont="1" applyFill="1" applyBorder="1" applyAlignment="1" applyProtection="1">
      <alignment horizontal="center" vertical="center"/>
    </xf>
    <xf numFmtId="166" fontId="33" fillId="3" borderId="60" xfId="1" applyNumberFormat="1" applyFont="1" applyFill="1" applyBorder="1" applyAlignment="1" applyProtection="1">
      <alignment horizontal="center" vertical="center"/>
    </xf>
    <xf numFmtId="49" fontId="3" fillId="3" borderId="63" xfId="1" applyNumberFormat="1" applyFont="1" applyFill="1" applyBorder="1" applyAlignment="1" applyProtection="1">
      <alignment horizontal="center" vertical="center"/>
    </xf>
    <xf numFmtId="49" fontId="34" fillId="3" borderId="63" xfId="1" applyNumberFormat="1" applyFont="1" applyFill="1" applyBorder="1" applyAlignment="1" applyProtection="1">
      <alignment horizontal="center" vertical="center" wrapText="1"/>
    </xf>
    <xf numFmtId="43" fontId="3" fillId="3" borderId="63" xfId="1" applyFont="1" applyFill="1" applyBorder="1" applyAlignment="1" applyProtection="1">
      <alignment horizontal="center" vertical="center"/>
    </xf>
    <xf numFmtId="165" fontId="3" fillId="3" borderId="63" xfId="1" applyNumberFormat="1" applyFont="1" applyFill="1" applyBorder="1" applyAlignment="1" applyProtection="1">
      <alignment horizontal="left" vertical="center" indent="1"/>
    </xf>
    <xf numFmtId="10" fontId="3" fillId="3" borderId="63" xfId="3" applyNumberFormat="1" applyFont="1" applyFill="1" applyBorder="1" applyAlignment="1" applyProtection="1">
      <alignment horizontal="right" vertical="center"/>
    </xf>
    <xf numFmtId="165" fontId="3" fillId="3" borderId="63" xfId="1" applyNumberFormat="1" applyFont="1" applyFill="1" applyBorder="1" applyAlignment="1" applyProtection="1">
      <alignment horizontal="center" vertical="center"/>
    </xf>
    <xf numFmtId="9" fontId="3" fillId="3" borderId="63" xfId="3" applyFont="1" applyFill="1" applyBorder="1" applyAlignment="1" applyProtection="1">
      <alignment horizontal="center" vertical="center"/>
    </xf>
    <xf numFmtId="0" fontId="0" fillId="0" borderId="73" xfId="0" applyBorder="1" applyAlignment="1" applyProtection="1">
      <alignment horizontal="center"/>
    </xf>
    <xf numFmtId="0" fontId="0" fillId="0" borderId="74" xfId="0" applyBorder="1" applyAlignment="1" applyProtection="1">
      <alignment horizontal="center"/>
    </xf>
    <xf numFmtId="0" fontId="0" fillId="0" borderId="75" xfId="0" applyBorder="1" applyAlignment="1" applyProtection="1">
      <alignment horizontal="center"/>
    </xf>
    <xf numFmtId="0" fontId="0" fillId="0" borderId="76" xfId="0" applyBorder="1" applyAlignment="1" applyProtection="1">
      <alignment horizontal="center"/>
    </xf>
    <xf numFmtId="0" fontId="0" fillId="0" borderId="77" xfId="0" applyBorder="1" applyAlignment="1" applyProtection="1">
      <alignment horizontal="center"/>
    </xf>
    <xf numFmtId="0" fontId="0" fillId="0" borderId="78" xfId="0" applyBorder="1" applyAlignment="1" applyProtection="1">
      <alignment horizontal="center"/>
    </xf>
    <xf numFmtId="49" fontId="34" fillId="17" borderId="63" xfId="1" applyNumberFormat="1" applyFont="1" applyFill="1" applyBorder="1" applyAlignment="1" applyProtection="1">
      <alignment horizontal="center" vertical="center"/>
    </xf>
    <xf numFmtId="166" fontId="3" fillId="3" borderId="66" xfId="1" applyNumberFormat="1" applyFont="1" applyFill="1" applyBorder="1" applyAlignment="1" applyProtection="1">
      <alignment horizontal="center" vertical="center"/>
    </xf>
    <xf numFmtId="166" fontId="3" fillId="3" borderId="67" xfId="1" applyNumberFormat="1" applyFont="1" applyFill="1" applyBorder="1" applyAlignment="1" applyProtection="1">
      <alignment horizontal="center" vertical="center"/>
    </xf>
    <xf numFmtId="166" fontId="3" fillId="3" borderId="68" xfId="1" applyNumberFormat="1" applyFont="1" applyFill="1" applyBorder="1" applyAlignment="1" applyProtection="1">
      <alignment horizontal="center" vertical="center"/>
    </xf>
    <xf numFmtId="166" fontId="3" fillId="3" borderId="69" xfId="1" applyNumberFormat="1" applyFont="1" applyFill="1" applyBorder="1" applyAlignment="1" applyProtection="1">
      <alignment horizontal="center" vertical="center"/>
    </xf>
    <xf numFmtId="166" fontId="3" fillId="3" borderId="61" xfId="1" applyNumberFormat="1" applyFont="1" applyFill="1" applyBorder="1" applyAlignment="1" applyProtection="1">
      <alignment horizontal="center" vertical="center"/>
    </xf>
    <xf numFmtId="166" fontId="3" fillId="3" borderId="64" xfId="1" applyNumberFormat="1" applyFont="1" applyFill="1" applyBorder="1" applyAlignment="1" applyProtection="1">
      <alignment horizontal="center" vertical="center"/>
    </xf>
    <xf numFmtId="166" fontId="3" fillId="3" borderId="62" xfId="1" applyNumberFormat="1" applyFont="1" applyFill="1" applyBorder="1" applyAlignment="1" applyProtection="1">
      <alignment horizontal="center" vertical="center"/>
    </xf>
    <xf numFmtId="166" fontId="3" fillId="3" borderId="65" xfId="1" applyNumberFormat="1" applyFont="1" applyFill="1" applyBorder="1" applyAlignment="1" applyProtection="1">
      <alignment horizontal="center" vertical="center"/>
    </xf>
  </cellXfs>
  <cellStyles count="5">
    <cellStyle name="Comma" xfId="1" builtinId="3"/>
    <cellStyle name="Hyperlink" xfId="4" builtinId="8"/>
    <cellStyle name="Normal" xfId="0" builtinId="0"/>
    <cellStyle name="Normal 6" xfId="2"/>
    <cellStyle name="Percent" xfId="3" builtinId="5"/>
  </cellStyles>
  <dxfs count="39">
    <dxf>
      <numFmt numFmtId="2"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i val="0"/>
        <strike val="0"/>
        <condense val="0"/>
        <extend val="0"/>
        <outline val="0"/>
        <shadow val="0"/>
        <u val="none"/>
        <vertAlign val="baseline"/>
        <sz val="11"/>
        <color rgb="FFFF0000"/>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1" indent="0" justifyLastLine="0" shrinkToFit="0" readingOrder="0"/>
    </dxf>
    <dxf>
      <font>
        <b/>
        <i val="0"/>
        <strike val="0"/>
        <condense val="0"/>
        <extend val="0"/>
        <outline val="0"/>
        <shadow val="0"/>
        <u val="none"/>
        <vertAlign val="baseline"/>
        <sz val="11"/>
        <color rgb="FFFF0000"/>
        <name val="Calibri Light"/>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Light"/>
        <scheme val="none"/>
      </font>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ill>
        <patternFill>
          <bgColor theme="7" tint="0.79998168889431442"/>
        </patternFill>
      </fill>
    </dxf>
    <dxf>
      <fill>
        <patternFill>
          <bgColor theme="7" tint="0.79998168889431442"/>
        </patternFill>
      </fill>
    </dxf>
    <dxf>
      <fill>
        <patternFill>
          <bgColor theme="3" tint="-4.9989318521683403E-2"/>
        </patternFill>
      </fill>
    </dxf>
    <dxf>
      <fill>
        <patternFill>
          <bgColor theme="7" tint="0.79998168889431442"/>
        </patternFill>
      </fill>
    </dxf>
    <dxf>
      <fill>
        <patternFill>
          <bgColor theme="2" tint="-4.9989318521683403E-2"/>
        </patternFill>
      </fill>
    </dxf>
    <dxf>
      <fill>
        <patternFill>
          <bgColor theme="7" tint="0.79998168889431442"/>
        </patternFill>
      </fill>
    </dxf>
    <dxf>
      <fill>
        <patternFill>
          <bgColor theme="3" tint="-4.9989318521683403E-2"/>
        </patternFill>
      </fill>
    </dxf>
  </dxfs>
  <tableStyles count="0" defaultTableStyle="TableStyleMedium2" defaultPivotStyle="PivotStyleLight16"/>
  <colors>
    <mruColors>
      <color rgb="FFF28F7E"/>
      <color rgb="FF00AAAC"/>
      <color rgb="FFCAF0F0"/>
      <color rgb="FF006666"/>
      <color rgb="FFFF5050"/>
      <color rgb="FF00CCCC"/>
      <color rgb="FF00C0C0"/>
      <color rgb="FFF4B1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Radio" firstButton="1" fmlaLink="$Q$23" noThreeD="1"/>
</file>

<file path=xl/ctrlProps/ctrlProp2.xml><?xml version="1.0" encoding="utf-8"?>
<formControlPr xmlns="http://schemas.microsoft.com/office/spreadsheetml/2009/9/main" objectType="Radio" checked="Checked"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hyperlink" Target="#'TRANG CHU'!A1"/><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hyperlink" Target="#'PHE DUYET ACP'!A1"/><Relationship Id="rId2" Type="http://schemas.openxmlformats.org/officeDocument/2006/relationships/image" Target="../media/image12.png"/><Relationship Id="rId1" Type="http://schemas.openxmlformats.org/officeDocument/2006/relationships/hyperlink" Target="#ACP!A1"/><Relationship Id="rId5" Type="http://schemas.openxmlformats.org/officeDocument/2006/relationships/image" Target="../media/image10.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2.png"/><Relationship Id="rId1" Type="http://schemas.openxmlformats.org/officeDocument/2006/relationships/hyperlink" Target="#'KE HOACH KINH DOANH'!A1"/></Relationships>
</file>

<file path=xl/drawings/drawing1.xml><?xml version="1.0" encoding="utf-8"?>
<xdr:wsDr xmlns:xdr="http://schemas.openxmlformats.org/drawingml/2006/spreadsheetDrawing" xmlns:a="http://schemas.openxmlformats.org/drawingml/2006/main">
  <xdr:twoCellAnchor editAs="oneCell">
    <xdr:from>
      <xdr:col>1</xdr:col>
      <xdr:colOff>390525</xdr:colOff>
      <xdr:row>5</xdr:row>
      <xdr:rowOff>9525</xdr:rowOff>
    </xdr:from>
    <xdr:to>
      <xdr:col>3</xdr:col>
      <xdr:colOff>427383</xdr:colOff>
      <xdr:row>5</xdr:row>
      <xdr:rowOff>347975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6325" y="1057275"/>
          <a:ext cx="1656108" cy="338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647700</xdr:colOff>
          <xdr:row>19</xdr:row>
          <xdr:rowOff>144780</xdr:rowOff>
        </xdr:from>
        <xdr:to>
          <xdr:col>7</xdr:col>
          <xdr:colOff>693420</xdr:colOff>
          <xdr:row>21</xdr:row>
          <xdr:rowOff>60960</xdr:rowOff>
        </xdr:to>
        <xdr:sp macro="" textlink="">
          <xdr:nvSpPr>
            <xdr:cNvPr id="71682" name="Option Button 2" hidden="1">
              <a:extLst>
                <a:ext uri="{63B3BB69-23CF-44E3-9099-C40C66FF867C}">
                  <a14:compatExt spid="_x0000_s71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 KH Mới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19</xdr:row>
          <xdr:rowOff>152400</xdr:rowOff>
        </xdr:from>
        <xdr:to>
          <xdr:col>9</xdr:col>
          <xdr:colOff>160020</xdr:colOff>
          <xdr:row>21</xdr:row>
          <xdr:rowOff>68580</xdr:rowOff>
        </xdr:to>
        <xdr:sp macro="" textlink="">
          <xdr:nvSpPr>
            <xdr:cNvPr id="71683" name="Option Button 3" hidden="1">
              <a:extLst>
                <a:ext uri="{63B3BB69-23CF-44E3-9099-C40C66FF867C}">
                  <a14:compatExt spid="_x0000_s71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 KH Hiện Hữu</a:t>
              </a:r>
            </a:p>
          </xdr:txBody>
        </xdr:sp>
        <xdr:clientData fLocksWithSheet="0"/>
      </xdr:twoCellAnchor>
    </mc:Choice>
    <mc:Fallback/>
  </mc:AlternateContent>
  <xdr:twoCellAnchor editAs="absolute">
    <xdr:from>
      <xdr:col>5</xdr:col>
      <xdr:colOff>266700</xdr:colOff>
      <xdr:row>26</xdr:row>
      <xdr:rowOff>95250</xdr:rowOff>
    </xdr:from>
    <xdr:to>
      <xdr:col>8</xdr:col>
      <xdr:colOff>180562</xdr:colOff>
      <xdr:row>28</xdr:row>
      <xdr:rowOff>108504</xdr:rowOff>
    </xdr:to>
    <xdr:sp macro="[0]!KiemTraNhapLieu" textlink="">
      <xdr:nvSpPr>
        <xdr:cNvPr id="5" name="Rounded Rectangle 355">
          <a:extLst>
            <a:ext uri="{FF2B5EF4-FFF2-40B4-BE49-F238E27FC236}">
              <a16:creationId xmlns:a16="http://schemas.microsoft.com/office/drawing/2014/main" id="{38671749-7220-4CBB-AF44-D6144BCBF7DE}"/>
            </a:ext>
          </a:extLst>
        </xdr:cNvPr>
        <xdr:cNvSpPr/>
      </xdr:nvSpPr>
      <xdr:spPr>
        <a:xfrm>
          <a:off x="3943350" y="5953125"/>
          <a:ext cx="3028537" cy="432354"/>
        </a:xfrm>
        <a:prstGeom prst="roundRect">
          <a:avLst>
            <a:gd name="adj" fmla="val 26271"/>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algn="ctr"/>
          <a:r>
            <a:rPr lang="en-GB" sz="1600" b="1" i="0">
              <a:latin typeface="Segoe UI" panose="020B0502040204020203" pitchFamily="34" charset="0"/>
              <a:ea typeface="Cambria" panose="02040503050406030204" pitchFamily="18" charset="0"/>
              <a:cs typeface="Segoe UI" panose="020B0502040204020203" pitchFamily="34" charset="0"/>
            </a:rPr>
            <a:t>Lập</a:t>
          </a:r>
          <a:r>
            <a:rPr lang="en-GB" sz="1600" b="1" i="0" baseline="0">
              <a:latin typeface="Segoe UI" panose="020B0502040204020203" pitchFamily="34" charset="0"/>
              <a:ea typeface="Cambria" panose="02040503050406030204" pitchFamily="18" charset="0"/>
              <a:cs typeface="Segoe UI" panose="020B0502040204020203" pitchFamily="34" charset="0"/>
            </a:rPr>
            <a:t> kế hoạch ACP</a:t>
          </a:r>
          <a:endParaRPr lang="en-GB" sz="1600" b="1" i="1">
            <a:latin typeface="Segoe UI" panose="020B0502040204020203" pitchFamily="34" charset="0"/>
            <a:ea typeface="Cambria" panose="02040503050406030204" pitchFamily="18" charset="0"/>
            <a:cs typeface="Segoe UI" panose="020B0502040204020203" pitchFamily="34" charset="0"/>
          </a:endParaRPr>
        </a:p>
      </xdr:txBody>
    </xdr:sp>
    <xdr:clientData/>
  </xdr:twoCellAnchor>
  <xdr:twoCellAnchor editAs="oneCell">
    <xdr:from>
      <xdr:col>1</xdr:col>
      <xdr:colOff>19050</xdr:colOff>
      <xdr:row>4</xdr:row>
      <xdr:rowOff>171450</xdr:rowOff>
    </xdr:from>
    <xdr:to>
      <xdr:col>1</xdr:col>
      <xdr:colOff>390525</xdr:colOff>
      <xdr:row>5</xdr:row>
      <xdr:rowOff>323850</xdr:rowOff>
    </xdr:to>
    <xdr:pic>
      <xdr:nvPicPr>
        <xdr:cNvPr id="3" name="Picture 2"/>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704850" y="933450"/>
          <a:ext cx="371475" cy="361950"/>
        </a:xfrm>
        <a:prstGeom prst="rect">
          <a:avLst/>
        </a:prstGeom>
      </xdr:spPr>
    </xdr:pic>
    <xdr:clientData/>
  </xdr:twoCellAnchor>
  <xdr:twoCellAnchor editAs="oneCell">
    <xdr:from>
      <xdr:col>4</xdr:col>
      <xdr:colOff>333374</xdr:colOff>
      <xdr:row>44</xdr:row>
      <xdr:rowOff>9526</xdr:rowOff>
    </xdr:from>
    <xdr:to>
      <xdr:col>6</xdr:col>
      <xdr:colOff>600075</xdr:colOff>
      <xdr:row>45</xdr:row>
      <xdr:rowOff>47625</xdr:rowOff>
    </xdr:to>
    <xdr:pic>
      <xdr:nvPicPr>
        <xdr:cNvPr id="7" name="Picture 6"/>
        <xdr:cNvPicPr>
          <a:picLocks noChangeAspect="1"/>
        </xdr:cNvPicPr>
      </xdr:nvPicPr>
      <xdr:blipFill>
        <a:blip xmlns:r="http://schemas.openxmlformats.org/officeDocument/2006/relationships" r:embed="rId3"/>
        <a:stretch>
          <a:fillRect/>
        </a:stretch>
      </xdr:blipFill>
      <xdr:spPr>
        <a:xfrm>
          <a:off x="3324224" y="9477376"/>
          <a:ext cx="1638301" cy="24764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1</xdr:col>
      <xdr:colOff>552451</xdr:colOff>
      <xdr:row>50</xdr:row>
      <xdr:rowOff>38100</xdr:rowOff>
    </xdr:from>
    <xdr:to>
      <xdr:col>1</xdr:col>
      <xdr:colOff>904875</xdr:colOff>
      <xdr:row>50</xdr:row>
      <xdr:rowOff>161925</xdr:rowOff>
    </xdr:to>
    <xdr:sp macro="" textlink="">
      <xdr:nvSpPr>
        <xdr:cNvPr id="4" name="Rounded Rectangle 3"/>
        <xdr:cNvSpPr/>
      </xdr:nvSpPr>
      <xdr:spPr>
        <a:xfrm>
          <a:off x="1238251" y="10972800"/>
          <a:ext cx="352424" cy="123825"/>
        </a:xfrm>
        <a:prstGeom prst="roundRect">
          <a:avLst/>
        </a:prstGeom>
        <a:solidFill>
          <a:schemeClr val="bg2"/>
        </a:solidFill>
        <a:ln w="6350" cap="sq">
          <a:noFill/>
          <a:miter lim="800000"/>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spcBef>
              <a:spcPts val="300"/>
            </a:spcBef>
            <a:spcAft>
              <a:spcPts val="300"/>
            </a:spcAft>
          </a:pPr>
          <a:endParaRPr lang="en-US" sz="1600" dirty="0" err="1">
            <a:solidFill>
              <a:schemeClr val="bg1"/>
            </a:solidFill>
          </a:endParaRPr>
        </a:p>
      </xdr:txBody>
    </xdr:sp>
    <xdr:clientData/>
  </xdr:twoCellAnchor>
  <xdr:twoCellAnchor>
    <xdr:from>
      <xdr:col>1</xdr:col>
      <xdr:colOff>542926</xdr:colOff>
      <xdr:row>51</xdr:row>
      <xdr:rowOff>66675</xdr:rowOff>
    </xdr:from>
    <xdr:to>
      <xdr:col>1</xdr:col>
      <xdr:colOff>895350</xdr:colOff>
      <xdr:row>51</xdr:row>
      <xdr:rowOff>190500</xdr:rowOff>
    </xdr:to>
    <xdr:sp macro="" textlink="">
      <xdr:nvSpPr>
        <xdr:cNvPr id="10" name="Rounded Rectangle 9"/>
        <xdr:cNvSpPr/>
      </xdr:nvSpPr>
      <xdr:spPr>
        <a:xfrm>
          <a:off x="1228726" y="10791825"/>
          <a:ext cx="352424" cy="123825"/>
        </a:xfrm>
        <a:prstGeom prst="roundRect">
          <a:avLst/>
        </a:prstGeom>
        <a:solidFill>
          <a:schemeClr val="tx2">
            <a:lumMod val="85000"/>
          </a:schemeClr>
        </a:solidFill>
        <a:ln w="6350" cap="sq">
          <a:noFill/>
          <a:miter lim="800000"/>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spcBef>
              <a:spcPts val="300"/>
            </a:spcBef>
            <a:spcAft>
              <a:spcPts val="300"/>
            </a:spcAft>
          </a:pPr>
          <a:endParaRPr lang="en-US" sz="1600" dirty="0" err="1">
            <a:solidFill>
              <a:schemeClr val="bg1"/>
            </a:solidFill>
          </a:endParaRPr>
        </a:p>
      </xdr:txBody>
    </xdr:sp>
    <xdr:clientData/>
  </xdr:twoCellAnchor>
  <xdr:twoCellAnchor>
    <xdr:from>
      <xdr:col>1</xdr:col>
      <xdr:colOff>542926</xdr:colOff>
      <xdr:row>53</xdr:row>
      <xdr:rowOff>47625</xdr:rowOff>
    </xdr:from>
    <xdr:to>
      <xdr:col>1</xdr:col>
      <xdr:colOff>895350</xdr:colOff>
      <xdr:row>53</xdr:row>
      <xdr:rowOff>171450</xdr:rowOff>
    </xdr:to>
    <xdr:sp macro="" textlink="">
      <xdr:nvSpPr>
        <xdr:cNvPr id="11" name="Rounded Rectangle 10"/>
        <xdr:cNvSpPr/>
      </xdr:nvSpPr>
      <xdr:spPr>
        <a:xfrm>
          <a:off x="1228726" y="11191875"/>
          <a:ext cx="352424" cy="123825"/>
        </a:xfrm>
        <a:prstGeom prst="roundRect">
          <a:avLst/>
        </a:prstGeom>
        <a:solidFill>
          <a:schemeClr val="accent4"/>
        </a:solidFill>
        <a:ln w="6350" cap="sq">
          <a:noFill/>
          <a:miter lim="800000"/>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spcBef>
              <a:spcPts val="300"/>
            </a:spcBef>
            <a:spcAft>
              <a:spcPts val="300"/>
            </a:spcAft>
          </a:pPr>
          <a:endParaRPr lang="en-US" sz="1600" dirty="0" err="1">
            <a:solidFill>
              <a:schemeClr val="bg1"/>
            </a:solidFill>
          </a:endParaRPr>
        </a:p>
      </xdr:txBody>
    </xdr:sp>
    <xdr:clientData/>
  </xdr:twoCellAnchor>
  <xdr:twoCellAnchor>
    <xdr:from>
      <xdr:col>1</xdr:col>
      <xdr:colOff>542926</xdr:colOff>
      <xdr:row>54</xdr:row>
      <xdr:rowOff>66675</xdr:rowOff>
    </xdr:from>
    <xdr:to>
      <xdr:col>1</xdr:col>
      <xdr:colOff>895350</xdr:colOff>
      <xdr:row>54</xdr:row>
      <xdr:rowOff>190500</xdr:rowOff>
    </xdr:to>
    <xdr:sp macro="" textlink="">
      <xdr:nvSpPr>
        <xdr:cNvPr id="12" name="Rounded Rectangle 11"/>
        <xdr:cNvSpPr/>
      </xdr:nvSpPr>
      <xdr:spPr>
        <a:xfrm>
          <a:off x="1228726" y="11420475"/>
          <a:ext cx="352424" cy="123825"/>
        </a:xfrm>
        <a:prstGeom prst="roundRect">
          <a:avLst/>
        </a:prstGeom>
        <a:solidFill>
          <a:schemeClr val="accent6"/>
        </a:solidFill>
        <a:ln w="6350" cap="sq">
          <a:noFill/>
          <a:miter lim="800000"/>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spcBef>
              <a:spcPts val="300"/>
            </a:spcBef>
            <a:spcAft>
              <a:spcPts val="300"/>
            </a:spcAft>
          </a:pPr>
          <a:endParaRPr lang="en-US" sz="1600" dirty="0" err="1">
            <a:solidFill>
              <a:schemeClr val="bg1"/>
            </a:solidFill>
          </a:endParaRPr>
        </a:p>
      </xdr:txBody>
    </xdr:sp>
    <xdr:clientData/>
  </xdr:twoCellAnchor>
  <xdr:twoCellAnchor editAs="oneCell">
    <xdr:from>
      <xdr:col>1</xdr:col>
      <xdr:colOff>619126</xdr:colOff>
      <xdr:row>56</xdr:row>
      <xdr:rowOff>28576</xdr:rowOff>
    </xdr:from>
    <xdr:to>
      <xdr:col>1</xdr:col>
      <xdr:colOff>809625</xdr:colOff>
      <xdr:row>57</xdr:row>
      <xdr:rowOff>9525</xdr:rowOff>
    </xdr:to>
    <xdr:pic>
      <xdr:nvPicPr>
        <xdr:cNvPr id="6" name="Picture 5"/>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304926" y="11801476"/>
          <a:ext cx="190499" cy="190499"/>
        </a:xfrm>
        <a:prstGeom prst="rect">
          <a:avLst/>
        </a:prstGeom>
      </xdr:spPr>
    </xdr:pic>
    <xdr:clientData/>
  </xdr:twoCellAnchor>
  <xdr:twoCellAnchor editAs="oneCell">
    <xdr:from>
      <xdr:col>1</xdr:col>
      <xdr:colOff>619126</xdr:colOff>
      <xdr:row>57</xdr:row>
      <xdr:rowOff>38100</xdr:rowOff>
    </xdr:from>
    <xdr:to>
      <xdr:col>1</xdr:col>
      <xdr:colOff>819151</xdr:colOff>
      <xdr:row>58</xdr:row>
      <xdr:rowOff>28575</xdr:rowOff>
    </xdr:to>
    <xdr:pic>
      <xdr:nvPicPr>
        <xdr:cNvPr id="8" name="Picture 7"/>
        <xdr:cNvPicPr>
          <a:picLocks noChangeAspect="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flipV="1">
          <a:off x="1304926" y="12020550"/>
          <a:ext cx="200025" cy="200025"/>
        </a:xfrm>
        <a:prstGeom prst="rect">
          <a:avLst/>
        </a:prstGeom>
      </xdr:spPr>
    </xdr:pic>
    <xdr:clientData/>
  </xdr:twoCellAnchor>
  <xdr:twoCellAnchor editAs="oneCell">
    <xdr:from>
      <xdr:col>1</xdr:col>
      <xdr:colOff>8447</xdr:colOff>
      <xdr:row>60</xdr:row>
      <xdr:rowOff>47625</xdr:rowOff>
    </xdr:from>
    <xdr:to>
      <xdr:col>1</xdr:col>
      <xdr:colOff>895351</xdr:colOff>
      <xdr:row>60</xdr:row>
      <xdr:rowOff>206575</xdr:rowOff>
    </xdr:to>
    <xdr:pic>
      <xdr:nvPicPr>
        <xdr:cNvPr id="13" name="Picture 12"/>
        <xdr:cNvPicPr>
          <a:picLocks noChangeAspect="1"/>
        </xdr:cNvPicPr>
      </xdr:nvPicPr>
      <xdr:blipFill>
        <a:blip xmlns:r="http://schemas.openxmlformats.org/officeDocument/2006/relationships" r:embed="rId6"/>
        <a:stretch>
          <a:fillRect/>
        </a:stretch>
      </xdr:blipFill>
      <xdr:spPr>
        <a:xfrm>
          <a:off x="694247" y="12239625"/>
          <a:ext cx="886904" cy="15895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1</xdr:col>
      <xdr:colOff>542926</xdr:colOff>
      <xdr:row>55</xdr:row>
      <xdr:rowOff>66675</xdr:rowOff>
    </xdr:from>
    <xdr:to>
      <xdr:col>1</xdr:col>
      <xdr:colOff>895350</xdr:colOff>
      <xdr:row>55</xdr:row>
      <xdr:rowOff>190500</xdr:rowOff>
    </xdr:to>
    <xdr:sp macro="" textlink="">
      <xdr:nvSpPr>
        <xdr:cNvPr id="17" name="Rounded Rectangle 16"/>
        <xdr:cNvSpPr/>
      </xdr:nvSpPr>
      <xdr:spPr>
        <a:xfrm>
          <a:off x="1228726" y="11839575"/>
          <a:ext cx="352424" cy="123825"/>
        </a:xfrm>
        <a:prstGeom prst="roundRect">
          <a:avLst/>
        </a:prstGeom>
        <a:solidFill>
          <a:srgbClr val="FFFF00"/>
        </a:solidFill>
        <a:ln w="6350" cap="sq">
          <a:noFill/>
          <a:miter lim="800000"/>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spcBef>
              <a:spcPts val="300"/>
            </a:spcBef>
            <a:spcAft>
              <a:spcPts val="300"/>
            </a:spcAft>
          </a:pPr>
          <a:endParaRPr lang="en-US" sz="1600" dirty="0" err="1">
            <a:solidFill>
              <a:schemeClr val="bg1"/>
            </a:solidFill>
          </a:endParaRPr>
        </a:p>
      </xdr:txBody>
    </xdr:sp>
    <xdr:clientData/>
  </xdr:twoCellAnchor>
  <xdr:twoCellAnchor editAs="oneCell">
    <xdr:from>
      <xdr:col>0</xdr:col>
      <xdr:colOff>684722</xdr:colOff>
      <xdr:row>61</xdr:row>
      <xdr:rowOff>47625</xdr:rowOff>
    </xdr:from>
    <xdr:to>
      <xdr:col>1</xdr:col>
      <xdr:colOff>895350</xdr:colOff>
      <xdr:row>62</xdr:row>
      <xdr:rowOff>17361</xdr:rowOff>
    </xdr:to>
    <xdr:pic>
      <xdr:nvPicPr>
        <xdr:cNvPr id="9" name="Picture 8"/>
        <xdr:cNvPicPr>
          <a:picLocks noChangeAspect="1"/>
        </xdr:cNvPicPr>
      </xdr:nvPicPr>
      <xdr:blipFill>
        <a:blip xmlns:r="http://schemas.openxmlformats.org/officeDocument/2006/relationships" r:embed="rId7"/>
        <a:stretch>
          <a:fillRect/>
        </a:stretch>
      </xdr:blipFill>
      <xdr:spPr>
        <a:xfrm>
          <a:off x="684722" y="12868275"/>
          <a:ext cx="896428" cy="17928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19050</xdr:colOff>
      <xdr:row>0</xdr:row>
      <xdr:rowOff>1</xdr:rowOff>
    </xdr:from>
    <xdr:to>
      <xdr:col>21</xdr:col>
      <xdr:colOff>704590</xdr:colOff>
      <xdr:row>3</xdr:row>
      <xdr:rowOff>180975</xdr:rowOff>
    </xdr:to>
    <xdr:sp macro="" textlink="$AI$4">
      <xdr:nvSpPr>
        <xdr:cNvPr id="2" name="Rounded Rectangle 355">
          <a:extLst>
            <a:ext uri="{FF2B5EF4-FFF2-40B4-BE49-F238E27FC236}">
              <a16:creationId xmlns:a16="http://schemas.microsoft.com/office/drawing/2014/main" id="{38671749-7220-4CBB-AF44-D6144BCBF7DE}"/>
            </a:ext>
          </a:extLst>
        </xdr:cNvPr>
        <xdr:cNvSpPr/>
      </xdr:nvSpPr>
      <xdr:spPr>
        <a:xfrm>
          <a:off x="1389313" y="1"/>
          <a:ext cx="21874488" cy="832685"/>
        </a:xfrm>
        <a:prstGeom prst="roundRect">
          <a:avLst>
            <a:gd name="adj" fmla="val 0"/>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lvl="1" algn="ctr"/>
          <a:fld id="{8E129F54-90AA-45E8-94CE-82F8FD13AB7C}" type="TxLink">
            <a:rPr lang="en-US" sz="2400" b="1" i="0" u="none" strike="noStrike">
              <a:solidFill>
                <a:schemeClr val="bg1"/>
              </a:solidFill>
              <a:latin typeface="+mj-lt"/>
              <a:ea typeface="Cambria" panose="02040503050406030204" pitchFamily="18" charset="0"/>
              <a:cs typeface="Calibri Light"/>
            </a:rPr>
            <a:pPr lvl="1" algn="ctr"/>
            <a:t>#N/A</a:t>
          </a:fld>
          <a:endParaRPr lang="en-GB" sz="2400" b="1" i="1">
            <a:solidFill>
              <a:schemeClr val="bg1"/>
            </a:solidFill>
            <a:latin typeface="+mj-lt"/>
            <a:ea typeface="Cambria" panose="02040503050406030204" pitchFamily="18" charset="0"/>
            <a:cs typeface="Segoe UI" panose="020B0502040204020203" pitchFamily="34" charset="0"/>
          </a:endParaRPr>
        </a:p>
      </xdr:txBody>
    </xdr:sp>
    <xdr:clientData/>
  </xdr:twoCellAnchor>
  <xdr:twoCellAnchor editAs="absolute">
    <xdr:from>
      <xdr:col>3</xdr:col>
      <xdr:colOff>344331</xdr:colOff>
      <xdr:row>152</xdr:row>
      <xdr:rowOff>70191</xdr:rowOff>
    </xdr:from>
    <xdr:to>
      <xdr:col>5</xdr:col>
      <xdr:colOff>804057</xdr:colOff>
      <xdr:row>156</xdr:row>
      <xdr:rowOff>24648</xdr:rowOff>
    </xdr:to>
    <xdr:sp macro="[0]!ClearDataExcludingLockedCells" textlink="">
      <xdr:nvSpPr>
        <xdr:cNvPr id="20" name="Rounded Rectangle 355">
          <a:extLst>
            <a:ext uri="{FF2B5EF4-FFF2-40B4-BE49-F238E27FC236}">
              <a16:creationId xmlns:a16="http://schemas.microsoft.com/office/drawing/2014/main" id="{38671749-7220-4CBB-AF44-D6144BCBF7DE}"/>
            </a:ext>
          </a:extLst>
        </xdr:cNvPr>
        <xdr:cNvSpPr/>
      </xdr:nvSpPr>
      <xdr:spPr>
        <a:xfrm>
          <a:off x="3271104" y="46558701"/>
          <a:ext cx="3005498" cy="781779"/>
        </a:xfrm>
        <a:prstGeom prst="roundRect">
          <a:avLst>
            <a:gd name="adj" fmla="val 26271"/>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algn="ctr"/>
          <a:r>
            <a:rPr lang="en-GB" sz="2000" b="1" i="0" baseline="0">
              <a:latin typeface="Segoe UI" panose="020B0502040204020203" pitchFamily="34" charset="0"/>
              <a:ea typeface="Cambria" panose="02040503050406030204" pitchFamily="18" charset="0"/>
              <a:cs typeface="Segoe UI" panose="020B0502040204020203" pitchFamily="34" charset="0"/>
            </a:rPr>
            <a:t>XÓA DỮ LIỆU</a:t>
          </a:r>
          <a:endParaRPr lang="en-GB" sz="2000" b="1" i="1">
            <a:latin typeface="Segoe UI" panose="020B0502040204020203" pitchFamily="34" charset="0"/>
            <a:ea typeface="Cambria" panose="02040503050406030204" pitchFamily="18" charset="0"/>
            <a:cs typeface="Segoe UI" panose="020B0502040204020203" pitchFamily="34" charset="0"/>
          </a:endParaRPr>
        </a:p>
      </xdr:txBody>
    </xdr:sp>
    <xdr:clientData/>
  </xdr:twoCellAnchor>
  <xdr:twoCellAnchor>
    <xdr:from>
      <xdr:col>2</xdr:col>
      <xdr:colOff>126066</xdr:colOff>
      <xdr:row>6</xdr:row>
      <xdr:rowOff>182096</xdr:rowOff>
    </xdr:from>
    <xdr:to>
      <xdr:col>3</xdr:col>
      <xdr:colOff>238125</xdr:colOff>
      <xdr:row>7</xdr:row>
      <xdr:rowOff>154081</xdr:rowOff>
    </xdr:to>
    <xdr:sp macro="" textlink="">
      <xdr:nvSpPr>
        <xdr:cNvPr id="3" name="TextBox 2"/>
        <xdr:cNvSpPr txBox="1"/>
      </xdr:nvSpPr>
      <xdr:spPr>
        <a:xfrm>
          <a:off x="812426" y="1344706"/>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ID</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Khách Hàng</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2</xdr:col>
      <xdr:colOff>154080</xdr:colOff>
      <xdr:row>8</xdr:row>
      <xdr:rowOff>84044</xdr:rowOff>
    </xdr:from>
    <xdr:to>
      <xdr:col>3</xdr:col>
      <xdr:colOff>266139</xdr:colOff>
      <xdr:row>9</xdr:row>
      <xdr:rowOff>84044</xdr:rowOff>
    </xdr:to>
    <xdr:sp macro="" textlink="">
      <xdr:nvSpPr>
        <xdr:cNvPr id="10" name="TextBox 9"/>
        <xdr:cNvSpPr txBox="1"/>
      </xdr:nvSpPr>
      <xdr:spPr>
        <a:xfrm>
          <a:off x="840440" y="1975037"/>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Mã</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số </a:t>
          </a:r>
          <a:r>
            <a:rPr lang="en-US" sz="1400" b="1" baseline="0" dirty="0" smtClean="0">
              <a:solidFill>
                <a:schemeClr val="accent2">
                  <a:lumMod val="75000"/>
                </a:schemeClr>
              </a:solidFill>
              <a:latin typeface="Segoe UI" panose="020B0502040204020203" pitchFamily="34" charset="0"/>
              <a:ea typeface="+mn-ea"/>
              <a:cs typeface="Segoe UI" panose="020B0502040204020203" pitchFamily="34" charset="0"/>
            </a:rPr>
            <a:t>thuế</a:t>
          </a:r>
        </a:p>
      </xdr:txBody>
    </xdr:sp>
    <xdr:clientData/>
  </xdr:twoCellAnchor>
  <xdr:twoCellAnchor>
    <xdr:from>
      <xdr:col>2</xdr:col>
      <xdr:colOff>154081</xdr:colOff>
      <xdr:row>10</xdr:row>
      <xdr:rowOff>56029</xdr:rowOff>
    </xdr:from>
    <xdr:to>
      <xdr:col>3</xdr:col>
      <xdr:colOff>14008</xdr:colOff>
      <xdr:row>11</xdr:row>
      <xdr:rowOff>14007</xdr:rowOff>
    </xdr:to>
    <xdr:sp macro="" textlink="">
      <xdr:nvSpPr>
        <xdr:cNvPr id="11" name="TextBox 10"/>
        <xdr:cNvSpPr txBox="1"/>
      </xdr:nvSpPr>
      <xdr:spPr>
        <a:xfrm>
          <a:off x="840441" y="2647389"/>
          <a:ext cx="1400736"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Tên</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Doanh Nghiệp</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6</xdr:col>
      <xdr:colOff>756397</xdr:colOff>
      <xdr:row>6</xdr:row>
      <xdr:rowOff>168088</xdr:rowOff>
    </xdr:from>
    <xdr:to>
      <xdr:col>8</xdr:col>
      <xdr:colOff>322170</xdr:colOff>
      <xdr:row>7</xdr:row>
      <xdr:rowOff>140073</xdr:rowOff>
    </xdr:to>
    <xdr:sp macro="" textlink="">
      <xdr:nvSpPr>
        <xdr:cNvPr id="12" name="TextBox 11"/>
        <xdr:cNvSpPr txBox="1"/>
      </xdr:nvSpPr>
      <xdr:spPr>
        <a:xfrm>
          <a:off x="5743015" y="1330698"/>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Chi</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Nhánh</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6</xdr:col>
      <xdr:colOff>742389</xdr:colOff>
      <xdr:row>8</xdr:row>
      <xdr:rowOff>84043</xdr:rowOff>
    </xdr:from>
    <xdr:to>
      <xdr:col>8</xdr:col>
      <xdr:colOff>308162</xdr:colOff>
      <xdr:row>9</xdr:row>
      <xdr:rowOff>84043</xdr:rowOff>
    </xdr:to>
    <xdr:sp macro="" textlink="">
      <xdr:nvSpPr>
        <xdr:cNvPr id="13" name="TextBox 12"/>
        <xdr:cNvSpPr txBox="1"/>
      </xdr:nvSpPr>
      <xdr:spPr>
        <a:xfrm>
          <a:off x="5729007" y="1975036"/>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Vùng</a:t>
          </a:r>
        </a:p>
      </xdr:txBody>
    </xdr:sp>
    <xdr:clientData/>
  </xdr:twoCellAnchor>
  <xdr:twoCellAnchor>
    <xdr:from>
      <xdr:col>6</xdr:col>
      <xdr:colOff>714374</xdr:colOff>
      <xdr:row>10</xdr:row>
      <xdr:rowOff>56029</xdr:rowOff>
    </xdr:from>
    <xdr:to>
      <xdr:col>8</xdr:col>
      <xdr:colOff>70037</xdr:colOff>
      <xdr:row>11</xdr:row>
      <xdr:rowOff>14007</xdr:rowOff>
    </xdr:to>
    <xdr:sp macro="" textlink="">
      <xdr:nvSpPr>
        <xdr:cNvPr id="14" name="TextBox 13"/>
        <xdr:cNvSpPr txBox="1"/>
      </xdr:nvSpPr>
      <xdr:spPr>
        <a:xfrm>
          <a:off x="5700992" y="2647389"/>
          <a:ext cx="144275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Tên</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RM phụ trách</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11</xdr:col>
      <xdr:colOff>588309</xdr:colOff>
      <xdr:row>6</xdr:row>
      <xdr:rowOff>70036</xdr:rowOff>
    </xdr:from>
    <xdr:to>
      <xdr:col>13</xdr:col>
      <xdr:colOff>98052</xdr:colOff>
      <xdr:row>7</xdr:row>
      <xdr:rowOff>42021</xdr:rowOff>
    </xdr:to>
    <xdr:sp macro="" textlink="">
      <xdr:nvSpPr>
        <xdr:cNvPr id="15" name="TextBox 14"/>
        <xdr:cNvSpPr txBox="1"/>
      </xdr:nvSpPr>
      <xdr:spPr>
        <a:xfrm>
          <a:off x="10799669" y="1232646"/>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Mã</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Ngành Hệ Thống</a:t>
          </a:r>
        </a:p>
        <a:p>
          <a:pPr algn="l">
            <a:spcBef>
              <a:spcPts val="300"/>
            </a:spcBef>
            <a:spcAft>
              <a:spcPts val="300"/>
            </a:spcAft>
            <a:buNone/>
          </a:pP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11</xdr:col>
      <xdr:colOff>574302</xdr:colOff>
      <xdr:row>8</xdr:row>
      <xdr:rowOff>112058</xdr:rowOff>
    </xdr:from>
    <xdr:to>
      <xdr:col>13</xdr:col>
      <xdr:colOff>84045</xdr:colOff>
      <xdr:row>9</xdr:row>
      <xdr:rowOff>112058</xdr:rowOff>
    </xdr:to>
    <xdr:sp macro="" textlink="">
      <xdr:nvSpPr>
        <xdr:cNvPr id="16" name="TextBox 15"/>
        <xdr:cNvSpPr txBox="1"/>
      </xdr:nvSpPr>
      <xdr:spPr>
        <a:xfrm>
          <a:off x="10785662" y="2003051"/>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Ngành</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nghề</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11</xdr:col>
      <xdr:colOff>560295</xdr:colOff>
      <xdr:row>10</xdr:row>
      <xdr:rowOff>140074</xdr:rowOff>
    </xdr:from>
    <xdr:to>
      <xdr:col>13</xdr:col>
      <xdr:colOff>70038</xdr:colOff>
      <xdr:row>11</xdr:row>
      <xdr:rowOff>98052</xdr:rowOff>
    </xdr:to>
    <xdr:sp macro="" textlink="">
      <xdr:nvSpPr>
        <xdr:cNvPr id="17" name="TextBox 16"/>
        <xdr:cNvSpPr txBox="1"/>
      </xdr:nvSpPr>
      <xdr:spPr>
        <a:xfrm>
          <a:off x="10771655" y="2731434"/>
          <a:ext cx="165286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Phân</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Khúc</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17</xdr:col>
      <xdr:colOff>112058</xdr:colOff>
      <xdr:row>5</xdr:row>
      <xdr:rowOff>168087</xdr:rowOff>
    </xdr:from>
    <xdr:to>
      <xdr:col>18</xdr:col>
      <xdr:colOff>798419</xdr:colOff>
      <xdr:row>6</xdr:row>
      <xdr:rowOff>476249</xdr:rowOff>
    </xdr:to>
    <xdr:sp macro="" textlink="">
      <xdr:nvSpPr>
        <xdr:cNvPr id="18" name="TextBox 17"/>
        <xdr:cNvSpPr txBox="1"/>
      </xdr:nvSpPr>
      <xdr:spPr>
        <a:xfrm>
          <a:off x="17032940" y="1162609"/>
          <a:ext cx="1498788" cy="476250"/>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Số</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lượng lao động</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twoCellAnchor>
    <xdr:from>
      <xdr:col>2</xdr:col>
      <xdr:colOff>1092575</xdr:colOff>
      <xdr:row>33</xdr:row>
      <xdr:rowOff>42023</xdr:rowOff>
    </xdr:from>
    <xdr:to>
      <xdr:col>4</xdr:col>
      <xdr:colOff>602317</xdr:colOff>
      <xdr:row>33</xdr:row>
      <xdr:rowOff>406214</xdr:rowOff>
    </xdr:to>
    <xdr:sp macro="" textlink="">
      <xdr:nvSpPr>
        <xdr:cNvPr id="28" name="TextBox 27"/>
        <xdr:cNvSpPr txBox="1"/>
      </xdr:nvSpPr>
      <xdr:spPr>
        <a:xfrm>
          <a:off x="1778935" y="12718677"/>
          <a:ext cx="2283198" cy="364191"/>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2000" b="1" baseline="0" dirty="0" smtClean="0">
              <a:solidFill>
                <a:schemeClr val="accent4">
                  <a:lumMod val="50000"/>
                </a:schemeClr>
              </a:solidFill>
            </a:rPr>
            <a:t>$ Dư nợ bình quân</a:t>
          </a:r>
        </a:p>
        <a:p>
          <a:pPr algn="l">
            <a:spcBef>
              <a:spcPts val="300"/>
            </a:spcBef>
            <a:spcAft>
              <a:spcPts val="300"/>
            </a:spcAft>
            <a:buNone/>
          </a:pPr>
          <a:endParaRPr lang="en-US" sz="1600" dirty="0" smtClean="0">
            <a:solidFill>
              <a:schemeClr val="accent4">
                <a:lumMod val="50000"/>
              </a:schemeClr>
            </a:solidFill>
          </a:endParaRPr>
        </a:p>
      </xdr:txBody>
    </xdr:sp>
    <xdr:clientData/>
  </xdr:twoCellAnchor>
  <xdr:twoCellAnchor>
    <xdr:from>
      <xdr:col>12</xdr:col>
      <xdr:colOff>518270</xdr:colOff>
      <xdr:row>21</xdr:row>
      <xdr:rowOff>84045</xdr:rowOff>
    </xdr:from>
    <xdr:to>
      <xdr:col>15</xdr:col>
      <xdr:colOff>18318</xdr:colOff>
      <xdr:row>22</xdr:row>
      <xdr:rowOff>415636</xdr:rowOff>
    </xdr:to>
    <xdr:sp macro="" textlink="">
      <xdr:nvSpPr>
        <xdr:cNvPr id="29" name="TextBox 28"/>
        <xdr:cNvSpPr txBox="1"/>
      </xdr:nvSpPr>
      <xdr:spPr>
        <a:xfrm>
          <a:off x="13651780" y="7081257"/>
          <a:ext cx="3346682" cy="826158"/>
        </a:xfrm>
        <a:prstGeom prst="rect">
          <a:avLst/>
        </a:prstGeom>
        <a:ln w="6350">
          <a:noFill/>
          <a:miter lim="800000"/>
        </a:ln>
      </xdr:spPr>
      <xdr:txBody>
        <a:bodyPr vertOverflow="clip" horzOverflow="clip" vert="horz" wrap="square" lIns="0" tIns="0" rIns="0" bIns="0" rtlCol="0" anchor="t">
          <a:noAutofit/>
        </a:bodyPr>
        <a:lstStyle/>
        <a:p>
          <a:pPr marL="0" indent="0" algn="l">
            <a:spcBef>
              <a:spcPts val="300"/>
            </a:spcBef>
            <a:spcAft>
              <a:spcPts val="300"/>
            </a:spcAft>
            <a:buNone/>
          </a:pPr>
          <a:r>
            <a:rPr lang="en-US" sz="2000" b="1" baseline="0" dirty="0" smtClean="0">
              <a:solidFill>
                <a:schemeClr val="accent2">
                  <a:lumMod val="50000"/>
                </a:schemeClr>
              </a:solidFill>
              <a:latin typeface="+mn-lt"/>
              <a:ea typeface="+mn-ea"/>
              <a:cs typeface="+mn-cs"/>
            </a:rPr>
            <a:t>Giá vốn hàng bán</a:t>
          </a:r>
        </a:p>
        <a:p>
          <a:pPr marL="0" indent="0" algn="l">
            <a:spcBef>
              <a:spcPts val="300"/>
            </a:spcBef>
            <a:spcAft>
              <a:spcPts val="300"/>
            </a:spcAft>
            <a:buNone/>
          </a:pPr>
          <a:r>
            <a:rPr lang="en-US" sz="2000" b="1" baseline="0" dirty="0" smtClean="0">
              <a:solidFill>
                <a:schemeClr val="accent2">
                  <a:lumMod val="50000"/>
                </a:schemeClr>
              </a:solidFill>
              <a:latin typeface="+mn-lt"/>
              <a:ea typeface="+mn-ea"/>
              <a:cs typeface="+mn-cs"/>
            </a:rPr>
            <a:t>        (triệu VNĐ)</a:t>
          </a:r>
        </a:p>
      </xdr:txBody>
    </xdr:sp>
    <xdr:clientData/>
  </xdr:twoCellAnchor>
  <xdr:twoCellAnchor>
    <xdr:from>
      <xdr:col>2</xdr:col>
      <xdr:colOff>1136855</xdr:colOff>
      <xdr:row>34</xdr:row>
      <xdr:rowOff>142786</xdr:rowOff>
    </xdr:from>
    <xdr:to>
      <xdr:col>4</xdr:col>
      <xdr:colOff>1176167</xdr:colOff>
      <xdr:row>34</xdr:row>
      <xdr:rowOff>522339</xdr:rowOff>
    </xdr:to>
    <xdr:sp macro="" textlink="">
      <xdr:nvSpPr>
        <xdr:cNvPr id="30" name="TextBox 29"/>
        <xdr:cNvSpPr txBox="1"/>
      </xdr:nvSpPr>
      <xdr:spPr>
        <a:xfrm>
          <a:off x="1828186" y="13400971"/>
          <a:ext cx="2804634" cy="379553"/>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2000" b="1" baseline="0" dirty="0" smtClean="0">
              <a:solidFill>
                <a:schemeClr val="accent4">
                  <a:lumMod val="50000"/>
                </a:schemeClr>
              </a:solidFill>
            </a:rPr>
            <a:t>$ Dư nợ CIC gần nhất</a:t>
          </a:r>
        </a:p>
        <a:p>
          <a:pPr algn="l">
            <a:spcBef>
              <a:spcPts val="300"/>
            </a:spcBef>
            <a:spcAft>
              <a:spcPts val="300"/>
            </a:spcAft>
            <a:buNone/>
          </a:pPr>
          <a:endParaRPr lang="en-US" sz="1600" dirty="0" smtClean="0"/>
        </a:p>
      </xdr:txBody>
    </xdr:sp>
    <xdr:clientData/>
  </xdr:twoCellAnchor>
  <xdr:twoCellAnchor>
    <xdr:from>
      <xdr:col>2</xdr:col>
      <xdr:colOff>1106580</xdr:colOff>
      <xdr:row>35</xdr:row>
      <xdr:rowOff>140075</xdr:rowOff>
    </xdr:from>
    <xdr:to>
      <xdr:col>4</xdr:col>
      <xdr:colOff>546287</xdr:colOff>
      <xdr:row>35</xdr:row>
      <xdr:rowOff>504266</xdr:rowOff>
    </xdr:to>
    <xdr:sp macro="" textlink="">
      <xdr:nvSpPr>
        <xdr:cNvPr id="31" name="TextBox 30"/>
        <xdr:cNvSpPr txBox="1"/>
      </xdr:nvSpPr>
      <xdr:spPr>
        <a:xfrm>
          <a:off x="1792940" y="13909303"/>
          <a:ext cx="2213163" cy="364191"/>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2000" b="1" baseline="0" dirty="0" smtClean="0">
              <a:solidFill>
                <a:schemeClr val="accent6">
                  <a:lumMod val="75000"/>
                </a:schemeClr>
              </a:solidFill>
            </a:rPr>
            <a:t>%Thị phần</a:t>
          </a:r>
        </a:p>
        <a:p>
          <a:pPr algn="l">
            <a:spcBef>
              <a:spcPts val="300"/>
            </a:spcBef>
            <a:spcAft>
              <a:spcPts val="300"/>
            </a:spcAft>
            <a:buNone/>
          </a:pPr>
          <a:endParaRPr lang="en-US" sz="1600" dirty="0" smtClean="0"/>
        </a:p>
      </xdr:txBody>
    </xdr:sp>
    <xdr:clientData/>
  </xdr:twoCellAnchor>
  <xdr:twoCellAnchor>
    <xdr:from>
      <xdr:col>12</xdr:col>
      <xdr:colOff>569297</xdr:colOff>
      <xdr:row>19</xdr:row>
      <xdr:rowOff>67036</xdr:rowOff>
    </xdr:from>
    <xdr:to>
      <xdr:col>14</xdr:col>
      <xdr:colOff>989135</xdr:colOff>
      <xdr:row>20</xdr:row>
      <xdr:rowOff>415637</xdr:rowOff>
    </xdr:to>
    <xdr:sp macro="" textlink="">
      <xdr:nvSpPr>
        <xdr:cNvPr id="35" name="TextBox 34"/>
        <xdr:cNvSpPr txBox="1"/>
      </xdr:nvSpPr>
      <xdr:spPr>
        <a:xfrm>
          <a:off x="13702807" y="6020161"/>
          <a:ext cx="2892674" cy="861486"/>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2000" b="1" baseline="0" dirty="0" smtClean="0">
              <a:solidFill>
                <a:schemeClr val="accent2">
                  <a:lumMod val="50000"/>
                </a:schemeClr>
              </a:solidFill>
            </a:rPr>
            <a:t>Tổng Doanh Thu</a:t>
          </a:r>
        </a:p>
        <a:p>
          <a:pPr algn="l">
            <a:spcBef>
              <a:spcPts val="300"/>
            </a:spcBef>
            <a:spcAft>
              <a:spcPts val="300"/>
            </a:spcAft>
            <a:buNone/>
          </a:pPr>
          <a:r>
            <a:rPr lang="en-US" sz="2000" b="1" baseline="0" dirty="0" smtClean="0">
              <a:solidFill>
                <a:schemeClr val="accent2">
                  <a:lumMod val="50000"/>
                </a:schemeClr>
              </a:solidFill>
            </a:rPr>
            <a:t>      (triệu VNĐ)</a:t>
          </a:r>
        </a:p>
        <a:p>
          <a:pPr algn="l">
            <a:spcBef>
              <a:spcPts val="300"/>
            </a:spcBef>
            <a:spcAft>
              <a:spcPts val="300"/>
            </a:spcAft>
            <a:buNone/>
          </a:pPr>
          <a:endParaRPr lang="en-US" sz="1600" dirty="0" smtClean="0"/>
        </a:p>
      </xdr:txBody>
    </xdr:sp>
    <xdr:clientData/>
  </xdr:twoCellAnchor>
  <xdr:twoCellAnchor editAs="oneCell">
    <xdr:from>
      <xdr:col>22</xdr:col>
      <xdr:colOff>329046</xdr:colOff>
      <xdr:row>0</xdr:row>
      <xdr:rowOff>86591</xdr:rowOff>
    </xdr:from>
    <xdr:to>
      <xdr:col>23</xdr:col>
      <xdr:colOff>654844</xdr:colOff>
      <xdr:row>4</xdr:row>
      <xdr:rowOff>270033</xdr:rowOff>
    </xdr:to>
    <xdr:pic>
      <xdr:nvPicPr>
        <xdr:cNvPr id="40" name="Picture 39">
          <a:hlinkClick xmlns:r="http://schemas.openxmlformats.org/officeDocument/2006/relationships" r:id="rId1"/>
        </xdr:cNvPr>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3585921" y="86591"/>
          <a:ext cx="1099704" cy="1056567"/>
        </a:xfrm>
        <a:prstGeom prst="rect">
          <a:avLst/>
        </a:prstGeom>
      </xdr:spPr>
    </xdr:pic>
    <xdr:clientData/>
  </xdr:twoCellAnchor>
  <xdr:twoCellAnchor>
    <xdr:from>
      <xdr:col>11</xdr:col>
      <xdr:colOff>138545</xdr:colOff>
      <xdr:row>32</xdr:row>
      <xdr:rowOff>450271</xdr:rowOff>
    </xdr:from>
    <xdr:to>
      <xdr:col>12</xdr:col>
      <xdr:colOff>329046</xdr:colOff>
      <xdr:row>33</xdr:row>
      <xdr:rowOff>69271</xdr:rowOff>
    </xdr:to>
    <xdr:sp macro="" textlink="">
      <xdr:nvSpPr>
        <xdr:cNvPr id="43" name="TextBox 42"/>
        <xdr:cNvSpPr txBox="1"/>
      </xdr:nvSpPr>
      <xdr:spPr>
        <a:xfrm>
          <a:off x="11862954" y="12988635"/>
          <a:ext cx="1177637" cy="502227"/>
        </a:xfrm>
        <a:prstGeom prst="rect">
          <a:avLst/>
        </a:prstGeom>
        <a:ln w="6350">
          <a:noFill/>
          <a:miter lim="800000"/>
        </a:ln>
      </xdr:spPr>
      <xdr:txBody>
        <a:bodyPr vertOverflow="clip" horzOverflow="clip" vert="horz" wrap="square" lIns="0" tIns="0" rIns="0" bIns="0" rtlCol="0" anchor="t">
          <a:noAutofit/>
        </a:bodyPr>
        <a:lstStyle/>
        <a:p>
          <a:pPr algn="ctr">
            <a:spcBef>
              <a:spcPts val="300"/>
            </a:spcBef>
            <a:spcAft>
              <a:spcPts val="300"/>
            </a:spcAft>
            <a:buNone/>
          </a:pPr>
          <a:r>
            <a:rPr lang="en-US" sz="1800" b="1" baseline="0" dirty="0" smtClean="0">
              <a:solidFill>
                <a:schemeClr val="accent1">
                  <a:lumMod val="50000"/>
                </a:schemeClr>
              </a:solidFill>
              <a:latin typeface="Segoe UI" panose="020B0502040204020203" pitchFamily="34" charset="0"/>
              <a:cs typeface="Segoe UI" panose="020B0502040204020203" pitchFamily="34" charset="0"/>
            </a:rPr>
            <a:t>Cấu phần</a:t>
          </a:r>
        </a:p>
        <a:p>
          <a:pPr algn="ctr">
            <a:spcBef>
              <a:spcPts val="300"/>
            </a:spcBef>
            <a:spcAft>
              <a:spcPts val="300"/>
            </a:spcAft>
            <a:buNone/>
          </a:pPr>
          <a:endParaRPr lang="en-US" sz="1000" b="0" dirty="0" smtClean="0">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12</xdr:col>
      <xdr:colOff>173181</xdr:colOff>
      <xdr:row>32</xdr:row>
      <xdr:rowOff>138543</xdr:rowOff>
    </xdr:from>
    <xdr:to>
      <xdr:col>12</xdr:col>
      <xdr:colOff>1350818</xdr:colOff>
      <xdr:row>32</xdr:row>
      <xdr:rowOff>640770</xdr:rowOff>
    </xdr:to>
    <xdr:sp macro="" textlink="">
      <xdr:nvSpPr>
        <xdr:cNvPr id="44" name="TextBox 43"/>
        <xdr:cNvSpPr txBox="1"/>
      </xdr:nvSpPr>
      <xdr:spPr>
        <a:xfrm>
          <a:off x="12884726" y="12676907"/>
          <a:ext cx="1177637" cy="502227"/>
        </a:xfrm>
        <a:prstGeom prst="rect">
          <a:avLst/>
        </a:prstGeom>
        <a:ln w="6350">
          <a:noFill/>
          <a:miter lim="800000"/>
        </a:ln>
      </xdr:spPr>
      <xdr:txBody>
        <a:bodyPr vertOverflow="clip" horzOverflow="clip" vert="horz" wrap="square" lIns="0" tIns="0" rIns="0" bIns="0" rtlCol="0" anchor="t">
          <a:noAutofit/>
        </a:bodyPr>
        <a:lstStyle/>
        <a:p>
          <a:pPr marL="0" indent="0" algn="ctr">
            <a:spcBef>
              <a:spcPts val="300"/>
            </a:spcBef>
            <a:spcAft>
              <a:spcPts val="300"/>
            </a:spcAft>
            <a:buNone/>
          </a:pPr>
          <a:r>
            <a:rPr lang="en-US" sz="1800" b="1" baseline="0" dirty="0" smtClean="0">
              <a:solidFill>
                <a:schemeClr val="accent1">
                  <a:lumMod val="50000"/>
                </a:schemeClr>
              </a:solidFill>
              <a:latin typeface="Segoe UI" panose="020B0502040204020203" pitchFamily="34" charset="0"/>
              <a:ea typeface="+mn-ea"/>
              <a:cs typeface="Segoe UI" panose="020B0502040204020203" pitchFamily="34" charset="0"/>
            </a:rPr>
            <a:t>Phạm Vi</a:t>
          </a:r>
        </a:p>
      </xdr:txBody>
    </xdr:sp>
    <xdr:clientData/>
  </xdr:twoCellAnchor>
  <xdr:twoCellAnchor editAs="oneCell">
    <xdr:from>
      <xdr:col>10</xdr:col>
      <xdr:colOff>121228</xdr:colOff>
      <xdr:row>19</xdr:row>
      <xdr:rowOff>329047</xdr:rowOff>
    </xdr:from>
    <xdr:to>
      <xdr:col>10</xdr:col>
      <xdr:colOff>838127</xdr:colOff>
      <xdr:row>21</xdr:row>
      <xdr:rowOff>17319</xdr:rowOff>
    </xdr:to>
    <xdr:pic>
      <xdr:nvPicPr>
        <xdr:cNvPr id="45" name="Picture 44"/>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1100955" y="6858002"/>
          <a:ext cx="727363" cy="727363"/>
        </a:xfrm>
        <a:prstGeom prst="rect">
          <a:avLst/>
        </a:prstGeom>
      </xdr:spPr>
    </xdr:pic>
    <xdr:clientData/>
  </xdr:twoCellAnchor>
  <xdr:twoCellAnchor>
    <xdr:from>
      <xdr:col>2</xdr:col>
      <xdr:colOff>100263</xdr:colOff>
      <xdr:row>1</xdr:row>
      <xdr:rowOff>7561</xdr:rowOff>
    </xdr:from>
    <xdr:to>
      <xdr:col>2</xdr:col>
      <xdr:colOff>601579</xdr:colOff>
      <xdr:row>3</xdr:row>
      <xdr:rowOff>16711</xdr:rowOff>
    </xdr:to>
    <xdr:sp macro="" textlink="">
      <xdr:nvSpPr>
        <xdr:cNvPr id="38" name="Chevron 37"/>
        <xdr:cNvSpPr/>
      </xdr:nvSpPr>
      <xdr:spPr bwMode="auto">
        <a:xfrm>
          <a:off x="1470526" y="224798"/>
          <a:ext cx="501316" cy="443624"/>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477301</xdr:colOff>
      <xdr:row>1</xdr:row>
      <xdr:rowOff>7560</xdr:rowOff>
    </xdr:from>
    <xdr:to>
      <xdr:col>2</xdr:col>
      <xdr:colOff>952500</xdr:colOff>
      <xdr:row>3</xdr:row>
      <xdr:rowOff>16710</xdr:rowOff>
    </xdr:to>
    <xdr:sp macro="" textlink="">
      <xdr:nvSpPr>
        <xdr:cNvPr id="39" name="Chevron 38"/>
        <xdr:cNvSpPr/>
      </xdr:nvSpPr>
      <xdr:spPr bwMode="auto">
        <a:xfrm>
          <a:off x="1847564" y="224797"/>
          <a:ext cx="475199" cy="443624"/>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967256</xdr:colOff>
      <xdr:row>0</xdr:row>
      <xdr:rowOff>116972</xdr:rowOff>
    </xdr:from>
    <xdr:to>
      <xdr:col>4</xdr:col>
      <xdr:colOff>494630</xdr:colOff>
      <xdr:row>3</xdr:row>
      <xdr:rowOff>100263</xdr:rowOff>
    </xdr:to>
    <xdr:pic>
      <xdr:nvPicPr>
        <xdr:cNvPr id="41" name="Picture 40"/>
        <xdr:cNvPicPr>
          <a:picLocks noChangeAspect="1"/>
        </xdr:cNvPicPr>
      </xdr:nvPicPr>
      <xdr:blipFill>
        <a:blip xmlns:r="http://schemas.openxmlformats.org/officeDocument/2006/relationships" r:embed="rId4">
          <a:biLevel thresh="25000"/>
          <a:extLst>
            <a:ext uri="{28A0092B-C50C-407E-A947-70E740481C1C}">
              <a14:useLocalDpi xmlns:a14="http://schemas.microsoft.com/office/drawing/2010/main" val="0"/>
            </a:ext>
          </a:extLst>
        </a:blip>
        <a:stretch>
          <a:fillRect/>
        </a:stretch>
      </xdr:blipFill>
      <xdr:spPr>
        <a:xfrm>
          <a:off x="2337519" y="116972"/>
          <a:ext cx="2301322" cy="635002"/>
        </a:xfrm>
        <a:prstGeom prst="rect">
          <a:avLst/>
        </a:prstGeom>
      </xdr:spPr>
    </xdr:pic>
    <xdr:clientData/>
  </xdr:twoCellAnchor>
  <xdr:twoCellAnchor editAs="absolute">
    <xdr:from>
      <xdr:col>15</xdr:col>
      <xdr:colOff>482877</xdr:colOff>
      <xdr:row>152</xdr:row>
      <xdr:rowOff>171723</xdr:rowOff>
    </xdr:from>
    <xdr:to>
      <xdr:col>18</xdr:col>
      <xdr:colOff>174941</xdr:colOff>
      <xdr:row>156</xdr:row>
      <xdr:rowOff>124606</xdr:rowOff>
    </xdr:to>
    <xdr:sp macro="[0]!SaveDataOrSwitchSheet" textlink="">
      <xdr:nvSpPr>
        <xdr:cNvPr id="36" name="Rounded Rectangle 355">
          <a:extLst>
            <a:ext uri="{FF2B5EF4-FFF2-40B4-BE49-F238E27FC236}">
              <a16:creationId xmlns:a16="http://schemas.microsoft.com/office/drawing/2014/main" id="{38671749-7220-4CBB-AF44-D6144BCBF7DE}"/>
            </a:ext>
          </a:extLst>
        </xdr:cNvPr>
        <xdr:cNvSpPr/>
      </xdr:nvSpPr>
      <xdr:spPr>
        <a:xfrm>
          <a:off x="17506650" y="46662610"/>
          <a:ext cx="3005498" cy="781779"/>
        </a:xfrm>
        <a:prstGeom prst="roundRect">
          <a:avLst>
            <a:gd name="adj" fmla="val 26271"/>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algn="ctr"/>
          <a:r>
            <a:rPr lang="en-GB" sz="2000" b="1" i="0" baseline="0">
              <a:latin typeface="Segoe UI" panose="020B0502040204020203" pitchFamily="34" charset="0"/>
              <a:ea typeface="Cambria" panose="02040503050406030204" pitchFamily="18" charset="0"/>
              <a:cs typeface="Segoe UI" panose="020B0502040204020203" pitchFamily="34" charset="0"/>
            </a:rPr>
            <a:t>LƯU DỮ LIỆU</a:t>
          </a:r>
          <a:endParaRPr lang="en-GB" sz="2000" b="1" i="1">
            <a:latin typeface="Segoe UI" panose="020B0502040204020203" pitchFamily="34" charset="0"/>
            <a:ea typeface="Cambria" panose="02040503050406030204" pitchFamily="18" charset="0"/>
            <a:cs typeface="Segoe UI" panose="020B0502040204020203" pitchFamily="34" charset="0"/>
          </a:endParaRPr>
        </a:p>
      </xdr:txBody>
    </xdr:sp>
    <xdr:clientData/>
  </xdr:twoCellAnchor>
  <xdr:twoCellAnchor editAs="oneCell">
    <xdr:from>
      <xdr:col>22</xdr:col>
      <xdr:colOff>341036</xdr:colOff>
      <xdr:row>5</xdr:row>
      <xdr:rowOff>80594</xdr:rowOff>
    </xdr:from>
    <xdr:to>
      <xdr:col>39</xdr:col>
      <xdr:colOff>45960</xdr:colOff>
      <xdr:row>19</xdr:row>
      <xdr:rowOff>71605</xdr:rowOff>
    </xdr:to>
    <xdr:pic>
      <xdr:nvPicPr>
        <xdr:cNvPr id="6" name="Picture 5"/>
        <xdr:cNvPicPr>
          <a:picLocks noChangeAspect="1"/>
        </xdr:cNvPicPr>
      </xdr:nvPicPr>
      <xdr:blipFill>
        <a:blip xmlns:r="http://schemas.openxmlformats.org/officeDocument/2006/relationships" r:embed="rId5"/>
        <a:stretch>
          <a:fillRect/>
        </a:stretch>
      </xdr:blipFill>
      <xdr:spPr>
        <a:xfrm>
          <a:off x="24593151" y="1289536"/>
          <a:ext cx="11556222" cy="4735194"/>
        </a:xfrm>
        <a:prstGeom prst="rect">
          <a:avLst/>
        </a:prstGeom>
      </xdr:spPr>
    </xdr:pic>
    <xdr:clientData/>
  </xdr:twoCellAnchor>
  <xdr:twoCellAnchor>
    <xdr:from>
      <xdr:col>17</xdr:col>
      <xdr:colOff>77422</xdr:colOff>
      <xdr:row>8</xdr:row>
      <xdr:rowOff>158562</xdr:rowOff>
    </xdr:from>
    <xdr:to>
      <xdr:col>18</xdr:col>
      <xdr:colOff>763783</xdr:colOff>
      <xdr:row>9</xdr:row>
      <xdr:rowOff>147204</xdr:rowOff>
    </xdr:to>
    <xdr:sp macro="" textlink="">
      <xdr:nvSpPr>
        <xdr:cNvPr id="32" name="TextBox 31"/>
        <xdr:cNvSpPr txBox="1"/>
      </xdr:nvSpPr>
      <xdr:spPr>
        <a:xfrm>
          <a:off x="19179377" y="2288698"/>
          <a:ext cx="1500315" cy="473551"/>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r>
            <a:rPr lang="en-US" sz="1400" b="1" dirty="0" smtClean="0">
              <a:solidFill>
                <a:schemeClr val="accent2">
                  <a:lumMod val="75000"/>
                </a:schemeClr>
              </a:solidFill>
              <a:latin typeface="Segoe UI" panose="020B0502040204020203" pitchFamily="34" charset="0"/>
              <a:cs typeface="Segoe UI" panose="020B0502040204020203" pitchFamily="34" charset="0"/>
            </a:rPr>
            <a:t>Số</a:t>
          </a:r>
          <a:r>
            <a:rPr lang="en-US" sz="1400" b="1" baseline="0" dirty="0" smtClean="0">
              <a:solidFill>
                <a:schemeClr val="accent2">
                  <a:lumMod val="75000"/>
                </a:schemeClr>
              </a:solidFill>
              <a:latin typeface="Segoe UI" panose="020B0502040204020203" pitchFamily="34" charset="0"/>
              <a:cs typeface="Segoe UI" panose="020B0502040204020203" pitchFamily="34" charset="0"/>
            </a:rPr>
            <a:t> năm hoạt động</a:t>
          </a:r>
          <a:endParaRPr lang="en-US" sz="1400" b="1" dirty="0" smtClean="0">
            <a:solidFill>
              <a:schemeClr val="accent2">
                <a:lumMod val="75000"/>
              </a:schemeClr>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660939</xdr:colOff>
      <xdr:row>0</xdr:row>
      <xdr:rowOff>18677</xdr:rowOff>
    </xdr:from>
    <xdr:to>
      <xdr:col>17</xdr:col>
      <xdr:colOff>672698</xdr:colOff>
      <xdr:row>2</xdr:row>
      <xdr:rowOff>183306</xdr:rowOff>
    </xdr:to>
    <xdr:sp macro="" textlink="$AI$3">
      <xdr:nvSpPr>
        <xdr:cNvPr id="2" name="Rounded Rectangle 355">
          <a:extLst>
            <a:ext uri="{FF2B5EF4-FFF2-40B4-BE49-F238E27FC236}">
              <a16:creationId xmlns:a16="http://schemas.microsoft.com/office/drawing/2014/main" id="{38671749-7220-4CBB-AF44-D6144BCBF7DE}"/>
            </a:ext>
          </a:extLst>
        </xdr:cNvPr>
        <xdr:cNvSpPr/>
      </xdr:nvSpPr>
      <xdr:spPr>
        <a:xfrm>
          <a:off x="1342630" y="18677"/>
          <a:ext cx="10918818" cy="519482"/>
        </a:xfrm>
        <a:prstGeom prst="roundRect">
          <a:avLst>
            <a:gd name="adj" fmla="val 0"/>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lvl="1" algn="ctr"/>
          <a:fld id="{73558F3A-FFF4-4A19-BF96-23D9268251EC}" type="TxLink">
            <a:rPr lang="en-US" sz="1200" b="1" i="0" u="none" strike="noStrike">
              <a:solidFill>
                <a:schemeClr val="bg1"/>
              </a:solidFill>
              <a:latin typeface="+mj-lt"/>
              <a:ea typeface="Cambria" panose="02040503050406030204" pitchFamily="18" charset="0"/>
              <a:cs typeface="Calibri Light"/>
            </a:rPr>
            <a:pPr lvl="1" algn="ctr"/>
            <a:t>#N/A</a:t>
          </a:fld>
          <a:endParaRPr lang="en-GB" sz="1200" b="1" i="1">
            <a:solidFill>
              <a:schemeClr val="bg1"/>
            </a:solidFill>
            <a:latin typeface="+mj-lt"/>
            <a:ea typeface="Cambria" panose="02040503050406030204" pitchFamily="18" charset="0"/>
            <a:cs typeface="Segoe UI" panose="020B0502040204020203" pitchFamily="34" charset="0"/>
          </a:endParaRPr>
        </a:p>
      </xdr:txBody>
    </xdr:sp>
    <xdr:clientData/>
  </xdr:twoCellAnchor>
  <xdr:twoCellAnchor editAs="oneCell">
    <xdr:from>
      <xdr:col>18</xdr:col>
      <xdr:colOff>58797</xdr:colOff>
      <xdr:row>0</xdr:row>
      <xdr:rowOff>23520</xdr:rowOff>
    </xdr:from>
    <xdr:to>
      <xdr:col>19</xdr:col>
      <xdr:colOff>11759</xdr:colOff>
      <xdr:row>3</xdr:row>
      <xdr:rowOff>70557</xdr:rowOff>
    </xdr:to>
    <xdr:pic>
      <xdr:nvPicPr>
        <xdr:cNvPr id="9" name="Picture 8">
          <a:hlinkClick xmlns:r="http://schemas.openxmlformats.org/officeDocument/2006/relationships" r:id="rId1"/>
        </xdr:cNvPr>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2335464" y="23520"/>
          <a:ext cx="635000" cy="635000"/>
        </a:xfrm>
        <a:prstGeom prst="rect">
          <a:avLst/>
        </a:prstGeom>
      </xdr:spPr>
    </xdr:pic>
    <xdr:clientData/>
  </xdr:twoCellAnchor>
  <xdr:twoCellAnchor editAs="oneCell">
    <xdr:from>
      <xdr:col>18</xdr:col>
      <xdr:colOff>58795</xdr:colOff>
      <xdr:row>37</xdr:row>
      <xdr:rowOff>223426</xdr:rowOff>
    </xdr:from>
    <xdr:to>
      <xdr:col>19</xdr:col>
      <xdr:colOff>23516</xdr:colOff>
      <xdr:row>40</xdr:row>
      <xdr:rowOff>164629</xdr:rowOff>
    </xdr:to>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2335462" y="8443148"/>
          <a:ext cx="646759" cy="646759"/>
        </a:xfrm>
        <a:prstGeom prst="rect">
          <a:avLst/>
        </a:prstGeom>
      </xdr:spPr>
    </xdr:pic>
    <xdr:clientData/>
  </xdr:twoCellAnchor>
  <xdr:twoCellAnchor>
    <xdr:from>
      <xdr:col>2</xdr:col>
      <xdr:colOff>152871</xdr:colOff>
      <xdr:row>0</xdr:row>
      <xdr:rowOff>135056</xdr:rowOff>
    </xdr:from>
    <xdr:to>
      <xdr:col>2</xdr:col>
      <xdr:colOff>341020</xdr:colOff>
      <xdr:row>2</xdr:row>
      <xdr:rowOff>35279</xdr:rowOff>
    </xdr:to>
    <xdr:sp macro="" textlink="">
      <xdr:nvSpPr>
        <xdr:cNvPr id="13" name="Chevron 12"/>
        <xdr:cNvSpPr/>
      </xdr:nvSpPr>
      <xdr:spPr bwMode="auto">
        <a:xfrm>
          <a:off x="1516945" y="135056"/>
          <a:ext cx="188149" cy="264760"/>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292249</xdr:colOff>
      <xdr:row>0</xdr:row>
      <xdr:rowOff>135056</xdr:rowOff>
    </xdr:from>
    <xdr:to>
      <xdr:col>2</xdr:col>
      <xdr:colOff>493891</xdr:colOff>
      <xdr:row>2</xdr:row>
      <xdr:rowOff>35278</xdr:rowOff>
    </xdr:to>
    <xdr:sp macro="" textlink="">
      <xdr:nvSpPr>
        <xdr:cNvPr id="14" name="Chevron 13"/>
        <xdr:cNvSpPr/>
      </xdr:nvSpPr>
      <xdr:spPr bwMode="auto">
        <a:xfrm>
          <a:off x="1656323" y="135056"/>
          <a:ext cx="201642" cy="264759"/>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509264</xdr:colOff>
      <xdr:row>0</xdr:row>
      <xdr:rowOff>105833</xdr:rowOff>
    </xdr:from>
    <xdr:to>
      <xdr:col>4</xdr:col>
      <xdr:colOff>338464</xdr:colOff>
      <xdr:row>2</xdr:row>
      <xdr:rowOff>70555</xdr:rowOff>
    </xdr:to>
    <xdr:pic>
      <xdr:nvPicPr>
        <xdr:cNvPr id="15" name="Picture 14"/>
        <xdr:cNvPicPr>
          <a:picLocks noChangeAspect="1"/>
        </xdr:cNvPicPr>
      </xdr:nvPicPr>
      <xdr:blipFill>
        <a:blip xmlns:r="http://schemas.openxmlformats.org/officeDocument/2006/relationships" r:embed="rId5">
          <a:biLevel thresh="25000"/>
          <a:extLst>
            <a:ext uri="{28A0092B-C50C-407E-A947-70E740481C1C}">
              <a14:useLocalDpi xmlns:a14="http://schemas.microsoft.com/office/drawing/2010/main" val="0"/>
            </a:ext>
          </a:extLst>
        </a:blip>
        <a:stretch>
          <a:fillRect/>
        </a:stretch>
      </xdr:blipFill>
      <xdr:spPr>
        <a:xfrm>
          <a:off x="1873338" y="105833"/>
          <a:ext cx="1193274" cy="3292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35718</xdr:colOff>
      <xdr:row>0</xdr:row>
      <xdr:rowOff>0</xdr:rowOff>
    </xdr:from>
    <xdr:to>
      <xdr:col>19</xdr:col>
      <xdr:colOff>35718</xdr:colOff>
      <xdr:row>2</xdr:row>
      <xdr:rowOff>166687</xdr:rowOff>
    </xdr:to>
    <xdr:sp macro="" textlink="$AH$9">
      <xdr:nvSpPr>
        <xdr:cNvPr id="3" name="Rounded Rectangle 355">
          <a:extLst>
            <a:ext uri="{FF2B5EF4-FFF2-40B4-BE49-F238E27FC236}">
              <a16:creationId xmlns:a16="http://schemas.microsoft.com/office/drawing/2014/main" id="{38671749-7220-4CBB-AF44-D6144BCBF7DE}"/>
            </a:ext>
          </a:extLst>
        </xdr:cNvPr>
        <xdr:cNvSpPr/>
      </xdr:nvSpPr>
      <xdr:spPr>
        <a:xfrm>
          <a:off x="1416843" y="0"/>
          <a:ext cx="13049250" cy="547687"/>
        </a:xfrm>
        <a:prstGeom prst="roundRect">
          <a:avLst>
            <a:gd name="adj" fmla="val 0"/>
          </a:avLst>
        </a:prstGeom>
        <a:gradFill flip="none" rotWithShape="1">
          <a:gsLst>
            <a:gs pos="0">
              <a:srgbClr val="009999">
                <a:lumMod val="83000"/>
                <a:lumOff val="17000"/>
              </a:srgbClr>
            </a:gs>
            <a:gs pos="41000">
              <a:srgbClr val="008080">
                <a:lumMod val="91000"/>
                <a:lumOff val="9000"/>
              </a:srgbClr>
            </a:gs>
            <a:gs pos="83000">
              <a:srgbClr val="006666"/>
            </a:gs>
            <a:gs pos="100000">
              <a:srgbClr val="0066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th-TH"/>
          </a:defPPr>
          <a:lvl1pPr marL="0" algn="l" defTabSz="2173204" rtl="0" eaLnBrk="1" latinLnBrk="0" hangingPunct="1">
            <a:defRPr sz="6700" kern="1200">
              <a:solidFill>
                <a:schemeClr val="lt1"/>
              </a:solidFill>
              <a:latin typeface="+mn-lt"/>
              <a:ea typeface="+mn-ea"/>
              <a:cs typeface="+mn-cs"/>
            </a:defRPr>
          </a:lvl1pPr>
          <a:lvl2pPr marL="1086601" algn="l" defTabSz="2173204" rtl="0" eaLnBrk="1" latinLnBrk="0" hangingPunct="1">
            <a:defRPr sz="6700" kern="1200">
              <a:solidFill>
                <a:schemeClr val="lt1"/>
              </a:solidFill>
              <a:latin typeface="+mn-lt"/>
              <a:ea typeface="+mn-ea"/>
              <a:cs typeface="+mn-cs"/>
            </a:defRPr>
          </a:lvl2pPr>
          <a:lvl3pPr marL="2173204" algn="l" defTabSz="2173204" rtl="0" eaLnBrk="1" latinLnBrk="0" hangingPunct="1">
            <a:defRPr sz="6700" kern="1200">
              <a:solidFill>
                <a:schemeClr val="lt1"/>
              </a:solidFill>
              <a:latin typeface="+mn-lt"/>
              <a:ea typeface="+mn-ea"/>
              <a:cs typeface="+mn-cs"/>
            </a:defRPr>
          </a:lvl3pPr>
          <a:lvl4pPr marL="3259805" algn="l" defTabSz="2173204" rtl="0" eaLnBrk="1" latinLnBrk="0" hangingPunct="1">
            <a:defRPr sz="6700" kern="1200">
              <a:solidFill>
                <a:schemeClr val="lt1"/>
              </a:solidFill>
              <a:latin typeface="+mn-lt"/>
              <a:ea typeface="+mn-ea"/>
              <a:cs typeface="+mn-cs"/>
            </a:defRPr>
          </a:lvl4pPr>
          <a:lvl5pPr marL="4346406" algn="l" defTabSz="2173204" rtl="0" eaLnBrk="1" latinLnBrk="0" hangingPunct="1">
            <a:defRPr sz="6700" kern="1200">
              <a:solidFill>
                <a:schemeClr val="lt1"/>
              </a:solidFill>
              <a:latin typeface="+mn-lt"/>
              <a:ea typeface="+mn-ea"/>
              <a:cs typeface="+mn-cs"/>
            </a:defRPr>
          </a:lvl5pPr>
          <a:lvl6pPr marL="5433009" algn="l" defTabSz="2173204" rtl="0" eaLnBrk="1" latinLnBrk="0" hangingPunct="1">
            <a:defRPr sz="6700" kern="1200">
              <a:solidFill>
                <a:schemeClr val="lt1"/>
              </a:solidFill>
              <a:latin typeface="+mn-lt"/>
              <a:ea typeface="+mn-ea"/>
              <a:cs typeface="+mn-cs"/>
            </a:defRPr>
          </a:lvl6pPr>
          <a:lvl7pPr marL="6519610" algn="l" defTabSz="2173204" rtl="0" eaLnBrk="1" latinLnBrk="0" hangingPunct="1">
            <a:defRPr sz="6700" kern="1200">
              <a:solidFill>
                <a:schemeClr val="lt1"/>
              </a:solidFill>
              <a:latin typeface="+mn-lt"/>
              <a:ea typeface="+mn-ea"/>
              <a:cs typeface="+mn-cs"/>
            </a:defRPr>
          </a:lvl7pPr>
          <a:lvl8pPr marL="7606211" algn="l" defTabSz="2173204" rtl="0" eaLnBrk="1" latinLnBrk="0" hangingPunct="1">
            <a:defRPr sz="6700" kern="1200">
              <a:solidFill>
                <a:schemeClr val="lt1"/>
              </a:solidFill>
              <a:latin typeface="+mn-lt"/>
              <a:ea typeface="+mn-ea"/>
              <a:cs typeface="+mn-cs"/>
            </a:defRPr>
          </a:lvl8pPr>
          <a:lvl9pPr marL="8692815" algn="l" defTabSz="2173204" rtl="0" eaLnBrk="1" latinLnBrk="0" hangingPunct="1">
            <a:defRPr sz="6700" kern="1200">
              <a:solidFill>
                <a:schemeClr val="lt1"/>
              </a:solidFill>
              <a:latin typeface="+mn-lt"/>
              <a:ea typeface="+mn-ea"/>
              <a:cs typeface="+mn-cs"/>
            </a:defRPr>
          </a:lvl9pPr>
        </a:lstStyle>
        <a:p>
          <a:pPr lvl="1" algn="ctr"/>
          <a:fld id="{E182447E-19C5-4A4B-940A-9780E32A4EEF}" type="TxLink">
            <a:rPr lang="en-US" sz="1700" b="1" i="0" u="none" strike="noStrike">
              <a:solidFill>
                <a:schemeClr val="bg1"/>
              </a:solidFill>
              <a:latin typeface="+mj-lt"/>
              <a:ea typeface="Cambria" panose="02040503050406030204" pitchFamily="18" charset="0"/>
              <a:cs typeface="Calibri Light"/>
            </a:rPr>
            <a:pPr lvl="1" algn="ctr"/>
            <a:t>#N/A</a:t>
          </a:fld>
          <a:endParaRPr lang="en-GB" sz="1700" b="1" i="1">
            <a:solidFill>
              <a:schemeClr val="bg1"/>
            </a:solidFill>
            <a:latin typeface="+mj-lt"/>
            <a:ea typeface="Cambria" panose="02040503050406030204" pitchFamily="18" charset="0"/>
            <a:cs typeface="Segoe UI" panose="020B0502040204020203" pitchFamily="34" charset="0"/>
          </a:endParaRPr>
        </a:p>
      </xdr:txBody>
    </xdr:sp>
    <xdr:clientData/>
  </xdr:twoCellAnchor>
  <xdr:twoCellAnchor>
    <xdr:from>
      <xdr:col>10</xdr:col>
      <xdr:colOff>583406</xdr:colOff>
      <xdr:row>24</xdr:row>
      <xdr:rowOff>83344</xdr:rowOff>
    </xdr:from>
    <xdr:to>
      <xdr:col>11</xdr:col>
      <xdr:colOff>416719</xdr:colOff>
      <xdr:row>25</xdr:row>
      <xdr:rowOff>-1</xdr:rowOff>
    </xdr:to>
    <xdr:sp macro="" textlink="">
      <xdr:nvSpPr>
        <xdr:cNvPr id="2" name="TextBox 1"/>
        <xdr:cNvSpPr txBox="1"/>
      </xdr:nvSpPr>
      <xdr:spPr>
        <a:xfrm>
          <a:off x="7512844" y="5464969"/>
          <a:ext cx="523875" cy="130968"/>
        </a:xfrm>
        <a:prstGeom prst="rect">
          <a:avLst/>
        </a:prstGeom>
        <a:ln w="6350">
          <a:noFill/>
          <a:miter lim="800000"/>
        </a:ln>
      </xdr:spPr>
      <xdr:txBody>
        <a:bodyPr vertOverflow="clip" horzOverflow="clip" vert="horz" wrap="square" lIns="0" tIns="0" rIns="0" bIns="0" rtlCol="0" anchor="t">
          <a:noAutofit/>
        </a:bodyPr>
        <a:lstStyle/>
        <a:p>
          <a:pPr algn="l">
            <a:spcBef>
              <a:spcPts val="300"/>
            </a:spcBef>
            <a:spcAft>
              <a:spcPts val="300"/>
            </a:spcAft>
            <a:buNone/>
          </a:pPr>
          <a:endParaRPr lang="en-US" sz="1600" dirty="0" smtClean="0"/>
        </a:p>
      </xdr:txBody>
    </xdr:sp>
    <xdr:clientData/>
  </xdr:twoCellAnchor>
  <xdr:twoCellAnchor>
    <xdr:from>
      <xdr:col>10</xdr:col>
      <xdr:colOff>583405</xdr:colOff>
      <xdr:row>24</xdr:row>
      <xdr:rowOff>23812</xdr:rowOff>
    </xdr:from>
    <xdr:to>
      <xdr:col>12</xdr:col>
      <xdr:colOff>23811</xdr:colOff>
      <xdr:row>25</xdr:row>
      <xdr:rowOff>202405</xdr:rowOff>
    </xdr:to>
    <xdr:sp macro="" textlink="">
      <xdr:nvSpPr>
        <xdr:cNvPr id="7" name="TextBox 6"/>
        <xdr:cNvSpPr txBox="1"/>
      </xdr:nvSpPr>
      <xdr:spPr>
        <a:xfrm>
          <a:off x="7512843" y="5405437"/>
          <a:ext cx="821531" cy="392906"/>
        </a:xfrm>
        <a:prstGeom prst="rect">
          <a:avLst/>
        </a:prstGeom>
        <a:ln w="6350">
          <a:noFill/>
          <a:miter lim="800000"/>
        </a:ln>
      </xdr:spPr>
      <xdr:txBody>
        <a:bodyPr vertOverflow="clip" horzOverflow="clip" vert="horz" wrap="square" lIns="0" tIns="0" rIns="0" bIns="0" rtlCol="0" anchor="t">
          <a:noAutofit/>
        </a:bodyPr>
        <a:lstStyle/>
        <a:p>
          <a:pPr algn="ctr">
            <a:spcBef>
              <a:spcPts val="300"/>
            </a:spcBef>
            <a:spcAft>
              <a:spcPts val="300"/>
            </a:spcAft>
            <a:buNone/>
          </a:pPr>
          <a:r>
            <a:rPr lang="en-US" sz="1000" b="0" dirty="0" smtClean="0">
              <a:solidFill>
                <a:sysClr val="windowText" lastClr="000000"/>
              </a:solidFill>
              <a:latin typeface="Segoe UI" panose="020B0502040204020203" pitchFamily="34" charset="0"/>
              <a:cs typeface="Segoe UI" panose="020B0502040204020203" pitchFamily="34" charset="0"/>
            </a:rPr>
            <a:t>Thời</a:t>
          </a:r>
          <a:r>
            <a:rPr lang="en-US" sz="1000" b="0" baseline="0" dirty="0" smtClean="0">
              <a:solidFill>
                <a:sysClr val="windowText" lastClr="000000"/>
              </a:solidFill>
              <a:latin typeface="Segoe UI" panose="020B0502040204020203" pitchFamily="34" charset="0"/>
              <a:cs typeface="Segoe UI" panose="020B0502040204020203" pitchFamily="34" charset="0"/>
            </a:rPr>
            <a:t> gian (năm)</a:t>
          </a:r>
          <a:endParaRPr lang="en-US" sz="1000" b="0" dirty="0" smtClean="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10</xdr:col>
      <xdr:colOff>11904</xdr:colOff>
      <xdr:row>25</xdr:row>
      <xdr:rowOff>178593</xdr:rowOff>
    </xdr:from>
    <xdr:to>
      <xdr:col>11</xdr:col>
      <xdr:colOff>142873</xdr:colOff>
      <xdr:row>27</xdr:row>
      <xdr:rowOff>0</xdr:rowOff>
    </xdr:to>
    <xdr:sp macro="" textlink="">
      <xdr:nvSpPr>
        <xdr:cNvPr id="8" name="TextBox 7"/>
        <xdr:cNvSpPr txBox="1"/>
      </xdr:nvSpPr>
      <xdr:spPr>
        <a:xfrm>
          <a:off x="6941342" y="5774531"/>
          <a:ext cx="821531" cy="250032"/>
        </a:xfrm>
        <a:prstGeom prst="rect">
          <a:avLst/>
        </a:prstGeom>
        <a:ln w="6350">
          <a:noFill/>
          <a:miter lim="800000"/>
        </a:ln>
      </xdr:spPr>
      <xdr:txBody>
        <a:bodyPr vertOverflow="clip" horzOverflow="clip" vert="horz" wrap="square" lIns="0" tIns="0" rIns="0" bIns="0" rtlCol="0" anchor="t">
          <a:noAutofit/>
        </a:bodyPr>
        <a:lstStyle/>
        <a:p>
          <a:pPr algn="ctr">
            <a:spcBef>
              <a:spcPts val="300"/>
            </a:spcBef>
            <a:spcAft>
              <a:spcPts val="300"/>
            </a:spcAft>
            <a:buNone/>
          </a:pPr>
          <a:r>
            <a:rPr lang="en-US" sz="1000" b="0" baseline="0" dirty="0" smtClean="0">
              <a:solidFill>
                <a:sysClr val="windowText" lastClr="000000"/>
              </a:solidFill>
              <a:latin typeface="Segoe UI" panose="020B0502040204020203" pitchFamily="34" charset="0"/>
              <a:cs typeface="Segoe UI" panose="020B0502040204020203" pitchFamily="34" charset="0"/>
            </a:rPr>
            <a:t>Cấu phần</a:t>
          </a:r>
        </a:p>
        <a:p>
          <a:pPr algn="ctr">
            <a:spcBef>
              <a:spcPts val="300"/>
            </a:spcBef>
            <a:spcAft>
              <a:spcPts val="300"/>
            </a:spcAft>
            <a:buNone/>
          </a:pPr>
          <a:endParaRPr lang="en-US" sz="1000" b="0" dirty="0" smtClean="0">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3</xdr:col>
      <xdr:colOff>583405</xdr:colOff>
      <xdr:row>24</xdr:row>
      <xdr:rowOff>11905</xdr:rowOff>
    </xdr:from>
    <xdr:to>
      <xdr:col>4</xdr:col>
      <xdr:colOff>595311</xdr:colOff>
      <xdr:row>25</xdr:row>
      <xdr:rowOff>190498</xdr:rowOff>
    </xdr:to>
    <xdr:sp macro="" textlink="">
      <xdr:nvSpPr>
        <xdr:cNvPr id="9" name="TextBox 8"/>
        <xdr:cNvSpPr txBox="1"/>
      </xdr:nvSpPr>
      <xdr:spPr>
        <a:xfrm>
          <a:off x="2655093" y="5393530"/>
          <a:ext cx="821531" cy="392906"/>
        </a:xfrm>
        <a:prstGeom prst="rect">
          <a:avLst/>
        </a:prstGeom>
        <a:ln w="6350">
          <a:noFill/>
          <a:miter lim="800000"/>
        </a:ln>
      </xdr:spPr>
      <xdr:txBody>
        <a:bodyPr vertOverflow="clip" horzOverflow="clip" vert="horz" wrap="square" lIns="0" tIns="0" rIns="0" bIns="0" rtlCol="0" anchor="t">
          <a:noAutofit/>
        </a:bodyPr>
        <a:lstStyle/>
        <a:p>
          <a:pPr algn="ctr">
            <a:spcBef>
              <a:spcPts val="300"/>
            </a:spcBef>
            <a:spcAft>
              <a:spcPts val="300"/>
            </a:spcAft>
            <a:buNone/>
          </a:pPr>
          <a:r>
            <a:rPr lang="en-US" sz="900" b="0" dirty="0" smtClean="0">
              <a:solidFill>
                <a:sysClr val="windowText" lastClr="000000"/>
              </a:solidFill>
              <a:latin typeface="Segoe UI" panose="020B0502040204020203" pitchFamily="34" charset="0"/>
              <a:cs typeface="Segoe UI" panose="020B0502040204020203" pitchFamily="34" charset="0"/>
            </a:rPr>
            <a:t>Thời</a:t>
          </a:r>
          <a:r>
            <a:rPr lang="en-US" sz="900" b="0" baseline="0" dirty="0" smtClean="0">
              <a:solidFill>
                <a:sysClr val="windowText" lastClr="000000"/>
              </a:solidFill>
              <a:latin typeface="Segoe UI" panose="020B0502040204020203" pitchFamily="34" charset="0"/>
              <a:cs typeface="Segoe UI" panose="020B0502040204020203" pitchFamily="34" charset="0"/>
            </a:rPr>
            <a:t> gian (năm</a:t>
          </a:r>
          <a:r>
            <a:rPr lang="en-US" sz="1000" b="0" baseline="0" dirty="0" smtClean="0">
              <a:solidFill>
                <a:sysClr val="windowText" lastClr="000000"/>
              </a:solidFill>
              <a:latin typeface="Segoe UI" panose="020B0502040204020203" pitchFamily="34" charset="0"/>
              <a:cs typeface="Segoe UI" panose="020B0502040204020203" pitchFamily="34" charset="0"/>
            </a:rPr>
            <a:t>)</a:t>
          </a:r>
          <a:endParaRPr lang="en-US" sz="1000" b="0" dirty="0" smtClean="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2</xdr:col>
      <xdr:colOff>678655</xdr:colOff>
      <xdr:row>24</xdr:row>
      <xdr:rowOff>190501</xdr:rowOff>
    </xdr:from>
    <xdr:to>
      <xdr:col>3</xdr:col>
      <xdr:colOff>809623</xdr:colOff>
      <xdr:row>26</xdr:row>
      <xdr:rowOff>11908</xdr:rowOff>
    </xdr:to>
    <xdr:sp macro="" textlink="">
      <xdr:nvSpPr>
        <xdr:cNvPr id="10" name="TextBox 9"/>
        <xdr:cNvSpPr txBox="1"/>
      </xdr:nvSpPr>
      <xdr:spPr>
        <a:xfrm>
          <a:off x="2059780" y="5572126"/>
          <a:ext cx="821531" cy="250032"/>
        </a:xfrm>
        <a:prstGeom prst="rect">
          <a:avLst/>
        </a:prstGeom>
        <a:ln w="6350">
          <a:noFill/>
          <a:miter lim="800000"/>
        </a:ln>
      </xdr:spPr>
      <xdr:txBody>
        <a:bodyPr vertOverflow="clip" horzOverflow="clip" vert="horz" wrap="square" lIns="0" tIns="0" rIns="0" bIns="0" rtlCol="0" anchor="t">
          <a:noAutofit/>
        </a:bodyPr>
        <a:lstStyle/>
        <a:p>
          <a:pPr algn="ctr">
            <a:spcBef>
              <a:spcPts val="300"/>
            </a:spcBef>
            <a:spcAft>
              <a:spcPts val="300"/>
            </a:spcAft>
            <a:buNone/>
          </a:pPr>
          <a:r>
            <a:rPr lang="en-US" sz="900" b="0" dirty="0" smtClean="0">
              <a:solidFill>
                <a:schemeClr val="tx1"/>
              </a:solidFill>
              <a:latin typeface="Segoe UI" panose="020B0502040204020203" pitchFamily="34" charset="0"/>
              <a:cs typeface="Segoe UI" panose="020B0502040204020203" pitchFamily="34" charset="0"/>
            </a:rPr>
            <a:t>Dư</a:t>
          </a:r>
          <a:r>
            <a:rPr lang="en-US" sz="900" b="0" baseline="0" dirty="0" smtClean="0">
              <a:solidFill>
                <a:schemeClr val="tx1"/>
              </a:solidFill>
              <a:latin typeface="Segoe UI" panose="020B0502040204020203" pitchFamily="34" charset="0"/>
              <a:cs typeface="Segoe UI" panose="020B0502040204020203" pitchFamily="34" charset="0"/>
            </a:rPr>
            <a:t> nợ</a:t>
          </a:r>
        </a:p>
        <a:p>
          <a:pPr algn="ctr">
            <a:spcBef>
              <a:spcPts val="300"/>
            </a:spcBef>
            <a:spcAft>
              <a:spcPts val="300"/>
            </a:spcAft>
            <a:buNone/>
          </a:pPr>
          <a:endParaRPr lang="en-US" sz="1000" b="0" dirty="0" smtClean="0">
            <a:solidFill>
              <a:schemeClr val="accent3"/>
            </a:solidFill>
            <a:latin typeface="Segoe UI" panose="020B0502040204020203" pitchFamily="34" charset="0"/>
            <a:cs typeface="Segoe UI" panose="020B0502040204020203" pitchFamily="34" charset="0"/>
          </a:endParaRPr>
        </a:p>
      </xdr:txBody>
    </xdr:sp>
    <xdr:clientData/>
  </xdr:twoCellAnchor>
  <xdr:twoCellAnchor editAs="oneCell">
    <xdr:from>
      <xdr:col>19</xdr:col>
      <xdr:colOff>83344</xdr:colOff>
      <xdr:row>0</xdr:row>
      <xdr:rowOff>35718</xdr:rowOff>
    </xdr:from>
    <xdr:to>
      <xdr:col>20</xdr:col>
      <xdr:colOff>27782</xdr:colOff>
      <xdr:row>3</xdr:row>
      <xdr:rowOff>87312</xdr:rowOff>
    </xdr:to>
    <xdr:pic>
      <xdr:nvPicPr>
        <xdr:cNvPr id="11" name="Picture 10">
          <a:hlinkClick xmlns:r="http://schemas.openxmlformats.org/officeDocument/2006/relationships" r:id="rId1"/>
        </xdr:cNvPr>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3204032" y="35718"/>
          <a:ext cx="635000" cy="635000"/>
        </a:xfrm>
        <a:prstGeom prst="rect">
          <a:avLst/>
        </a:prstGeom>
      </xdr:spPr>
    </xdr:pic>
    <xdr:clientData/>
  </xdr:twoCellAnchor>
  <xdr:twoCellAnchor>
    <xdr:from>
      <xdr:col>2</xdr:col>
      <xdr:colOff>166688</xdr:colOff>
      <xdr:row>0</xdr:row>
      <xdr:rowOff>84014</xdr:rowOff>
    </xdr:from>
    <xdr:to>
      <xdr:col>2</xdr:col>
      <xdr:colOff>452438</xdr:colOff>
      <xdr:row>2</xdr:row>
      <xdr:rowOff>47625</xdr:rowOff>
    </xdr:to>
    <xdr:sp macro="" textlink="">
      <xdr:nvSpPr>
        <xdr:cNvPr id="13" name="Chevron 12"/>
        <xdr:cNvSpPr/>
      </xdr:nvSpPr>
      <xdr:spPr bwMode="auto">
        <a:xfrm>
          <a:off x="1547813" y="84014"/>
          <a:ext cx="285750" cy="344611"/>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377039</xdr:colOff>
      <xdr:row>0</xdr:row>
      <xdr:rowOff>84014</xdr:rowOff>
    </xdr:from>
    <xdr:to>
      <xdr:col>2</xdr:col>
      <xdr:colOff>666750</xdr:colOff>
      <xdr:row>2</xdr:row>
      <xdr:rowOff>47626</xdr:rowOff>
    </xdr:to>
    <xdr:sp macro="" textlink="">
      <xdr:nvSpPr>
        <xdr:cNvPr id="14" name="Chevron 13"/>
        <xdr:cNvSpPr/>
      </xdr:nvSpPr>
      <xdr:spPr bwMode="auto">
        <a:xfrm>
          <a:off x="1758164" y="84014"/>
          <a:ext cx="289711" cy="344612"/>
        </a:xfrm>
        <a:prstGeom prst="chevron">
          <a:avLst/>
        </a:prstGeom>
        <a:solidFill>
          <a:schemeClr val="bg1"/>
        </a:solidFill>
        <a:ln w="9525">
          <a:noFill/>
          <a:round/>
          <a:headEnd/>
          <a:tailEnd/>
        </a:ln>
      </xdr:spPr>
      <xdr:txBody>
        <a:bodyPr vert="horz" wrap="square" lIns="91440" tIns="45720" rIns="91440" bIns="45720" numCol="1" rtlCol="0" anchor="t" anchorCtr="0" compatLnSpc="1">
          <a:prstTxWarp prst="textNoShape">
            <a:avLst/>
          </a:prstTxWarp>
        </a:bodyPr>
        <a:lstStyle>
          <a:defPPr>
            <a:defRPr lang="en-US"/>
          </a:defPPr>
          <a:lvl1pPr marL="0" algn="l" defTabSz="2419137" rtl="0" eaLnBrk="1" latinLnBrk="0" hangingPunct="1">
            <a:defRPr sz="4762" kern="1200">
              <a:solidFill>
                <a:schemeClr val="tx1"/>
              </a:solidFill>
              <a:latin typeface="+mn-lt"/>
              <a:ea typeface="+mn-ea"/>
              <a:cs typeface="+mn-cs"/>
            </a:defRPr>
          </a:lvl1pPr>
          <a:lvl2pPr marL="1209568" algn="l" defTabSz="2419137" rtl="0" eaLnBrk="1" latinLnBrk="0" hangingPunct="1">
            <a:defRPr sz="4762" kern="1200">
              <a:solidFill>
                <a:schemeClr val="tx1"/>
              </a:solidFill>
              <a:latin typeface="+mn-lt"/>
              <a:ea typeface="+mn-ea"/>
              <a:cs typeface="+mn-cs"/>
            </a:defRPr>
          </a:lvl2pPr>
          <a:lvl3pPr marL="2419137" algn="l" defTabSz="2419137" rtl="0" eaLnBrk="1" latinLnBrk="0" hangingPunct="1">
            <a:defRPr sz="4762" kern="1200">
              <a:solidFill>
                <a:schemeClr val="tx1"/>
              </a:solidFill>
              <a:latin typeface="+mn-lt"/>
              <a:ea typeface="+mn-ea"/>
              <a:cs typeface="+mn-cs"/>
            </a:defRPr>
          </a:lvl3pPr>
          <a:lvl4pPr marL="3628705" algn="l" defTabSz="2419137" rtl="0" eaLnBrk="1" latinLnBrk="0" hangingPunct="1">
            <a:defRPr sz="4762" kern="1200">
              <a:solidFill>
                <a:schemeClr val="tx1"/>
              </a:solidFill>
              <a:latin typeface="+mn-lt"/>
              <a:ea typeface="+mn-ea"/>
              <a:cs typeface="+mn-cs"/>
            </a:defRPr>
          </a:lvl4pPr>
          <a:lvl5pPr marL="4838273" algn="l" defTabSz="2419137" rtl="0" eaLnBrk="1" latinLnBrk="0" hangingPunct="1">
            <a:defRPr sz="4762" kern="1200">
              <a:solidFill>
                <a:schemeClr val="tx1"/>
              </a:solidFill>
              <a:latin typeface="+mn-lt"/>
              <a:ea typeface="+mn-ea"/>
              <a:cs typeface="+mn-cs"/>
            </a:defRPr>
          </a:lvl5pPr>
          <a:lvl6pPr marL="6047842" algn="l" defTabSz="2419137" rtl="0" eaLnBrk="1" latinLnBrk="0" hangingPunct="1">
            <a:defRPr sz="4762" kern="1200">
              <a:solidFill>
                <a:schemeClr val="tx1"/>
              </a:solidFill>
              <a:latin typeface="+mn-lt"/>
              <a:ea typeface="+mn-ea"/>
              <a:cs typeface="+mn-cs"/>
            </a:defRPr>
          </a:lvl6pPr>
          <a:lvl7pPr marL="7257410" algn="l" defTabSz="2419137" rtl="0" eaLnBrk="1" latinLnBrk="0" hangingPunct="1">
            <a:defRPr sz="4762" kern="1200">
              <a:solidFill>
                <a:schemeClr val="tx1"/>
              </a:solidFill>
              <a:latin typeface="+mn-lt"/>
              <a:ea typeface="+mn-ea"/>
              <a:cs typeface="+mn-cs"/>
            </a:defRPr>
          </a:lvl7pPr>
          <a:lvl8pPr marL="8466978" algn="l" defTabSz="2419137" rtl="0" eaLnBrk="1" latinLnBrk="0" hangingPunct="1">
            <a:defRPr sz="4762" kern="1200">
              <a:solidFill>
                <a:schemeClr val="tx1"/>
              </a:solidFill>
              <a:latin typeface="+mn-lt"/>
              <a:ea typeface="+mn-ea"/>
              <a:cs typeface="+mn-cs"/>
            </a:defRPr>
          </a:lvl8pPr>
          <a:lvl9pPr marL="9676547" algn="l" defTabSz="2419137" rtl="0" eaLnBrk="1" latinLnBrk="0" hangingPunct="1">
            <a:defRPr sz="4762" kern="1200">
              <a:solidFill>
                <a:schemeClr val="tx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800" b="0" i="0" u="none" strike="noStrike" kern="0" cap="none" spc="0" normalizeH="0" baseline="0">
            <a:ln>
              <a:noFill/>
            </a:ln>
            <a:solidFill>
              <a:prstClr val="black"/>
            </a:solidFill>
            <a:effectLst/>
            <a:uLnTx/>
            <a:uFillTx/>
          </a:endParaRPr>
        </a:p>
      </xdr:txBody>
    </xdr:sp>
    <xdr:clientData/>
  </xdr:twoCellAnchor>
  <xdr:twoCellAnchor>
    <xdr:from>
      <xdr:col>2</xdr:col>
      <xdr:colOff>652680</xdr:colOff>
      <xdr:row>0</xdr:row>
      <xdr:rowOff>47626</xdr:rowOff>
    </xdr:from>
    <xdr:to>
      <xdr:col>5</xdr:col>
      <xdr:colOff>226217</xdr:colOff>
      <xdr:row>2</xdr:row>
      <xdr:rowOff>127162</xdr:rowOff>
    </xdr:to>
    <xdr:pic>
      <xdr:nvPicPr>
        <xdr:cNvPr id="15" name="Picture 14"/>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2033805" y="47626"/>
          <a:ext cx="1669037" cy="4605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32.16.8\Public2\QUAN%20TRI%20NO%20TONG%20QUAT\Dashboard%20Quan%20tri%20no%20tong%20quat-%20Loans%20Management%20ver%202.0.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32.16.8\Public2\KHOI%20SMEs\QTDM&amp;PTDL\1.%20BAO%20CAO\20240515_C&#7844;U%20PH&#7846;N%20DANH%20M&#7908;C\TUAN\20240619\C&#7844;U%20PH&#7846;N%20DANH%20M&#7908;C_update%20s&#7889;%20li&#7879;u%2020240618_PQ_hub%20-%20WEEK.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
      <sheetName val="PQCN"/>
      <sheetName val="CALCULATE_FN"/>
      <sheetName val="GN_TN1"/>
      <sheetName val="OS_PRINCIPAL2"/>
      <sheetName val="FULL 13 THANG"/>
      <sheetName val="SQL_QUERY"/>
      <sheetName val="MBN"/>
      <sheetName val="CHUYEN_PK"/>
      <sheetName val="DS CN"/>
      <sheetName val="GN_TN_RULES"/>
      <sheetName val="Dashboard Quan tri no tong quat"/>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B cấu phần Danh mục"/>
      <sheetName val="List"/>
      <sheetName val="Xu ly data (QTDM)"/>
      <sheetName val="ConTxt (QTDM)"/>
      <sheetName val="LEAD"/>
      <sheetName val="OPP"/>
      <sheetName val="Data theo tháng (QTDM)"/>
      <sheetName val="SLHSTC"/>
      <sheetName val="TC DH (QTDM)"/>
      <sheetName val="TGXLHSC"/>
      <sheetName val="LCCT(QTDM)"/>
      <sheetName val="Draw rate(QTDM)"/>
      <sheetName val="HSTC (QTDM)"/>
      <sheetName val="TGXLHSTC"/>
      <sheetName val="TGXuLyHS (QTDM)"/>
      <sheetName val="Raw (QTDM)"/>
      <sheetName val="LastYear2023(QTDM)"/>
      <sheetName val="Ma tran tin dung(QTDM)"/>
      <sheetName val="Ma tran phi tin dung(QTDM)"/>
      <sheetName val="XNK 2023(QTDM)"/>
    </sheetNames>
    <sheetDataSet>
      <sheetData sheetId="0" refreshError="1"/>
      <sheetData sheetId="1" refreshError="1"/>
      <sheetData sheetId="2">
        <row r="2">
          <cell r="Y2" t="str">
            <v>ALL</v>
          </cell>
        </row>
        <row r="3">
          <cell r="Y3" t="str">
            <v>MSME</v>
          </cell>
        </row>
        <row r="4">
          <cell r="Y4" t="str">
            <v>SME</v>
          </cell>
        </row>
        <row r="5">
          <cell r="Y5" t="str">
            <v>USME</v>
          </cell>
        </row>
        <row r="6">
          <cell r="Y6" t="str">
            <v>USME+</v>
          </cell>
        </row>
      </sheetData>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queryTables/queryTable1.xml><?xml version="1.0" encoding="utf-8"?>
<queryTable xmlns="http://schemas.openxmlformats.org/spreadsheetml/2006/main" name="Query from SME" backgroundRefresh="0" connectionId="4" autoFormatId="16" applyNumberFormats="0" applyBorderFormats="0" applyFontFormats="0" applyPatternFormats="0" applyAlignmentFormats="0" applyWidthHeightFormats="0">
  <queryTableRefresh nextId="7">
    <queryTableFields count="5">
      <queryTableField id="2" name="MA_NV" tableColumnId="1"/>
      <queryTableField id="3" name="HO_TEN" tableColumnId="2"/>
      <queryTableField id="4" name="Hub_name" tableColumnId="3"/>
      <queryTableField id="5" name="VUNG" tableColumnId="4"/>
      <queryTableField id="6" name="TenNguoiDung" tableColumnId="5"/>
    </queryTableFields>
  </queryTableRefresh>
</queryTable>
</file>

<file path=xl/queryTables/queryTable2.xml><?xml version="1.0" encoding="utf-8"?>
<queryTable xmlns="http://schemas.openxmlformats.org/spreadsheetml/2006/main" name="Query from SME" backgroundRefresh="0" connectionId="1" autoFormatId="16" applyNumberFormats="0" applyBorderFormats="0" applyFontFormats="0" applyPatternFormats="0" applyAlignmentFormats="0" applyWidthHeightFormats="0">
  <queryTableRefresh nextId="149">
    <queryTableFields count="39">
      <queryTableField id="2" name="MST" tableColumnId="2"/>
      <queryTableField id="3" name="TEN_KHACH_HANG" tableColumnId="3"/>
      <queryTableField id="4" name="MA_NGANH" tableColumnId="4"/>
      <queryTableField id="5" name="SO_LAO_DONG" tableColumnId="5"/>
      <queryTableField id="6" name="CIF" tableColumnId="6"/>
      <queryTableField id="7" name="NGAY_MO_CIF" tableColumnId="7"/>
      <queryTableField id="8" name="KH_HIENHUU_MOI" tableColumnId="8"/>
      <queryTableField id="9" name="KH_TD_PHITD" tableColumnId="9"/>
      <queryTableField id="10" name="ACTIVE_INACTIVE" tableColumnId="10"/>
      <queryTableField id="11" name="VUNG" tableColumnId="11"/>
      <queryTableField id="12" name="HUB" tableColumnId="12"/>
      <queryTableField id="13" name="NHOM_NGANH" tableColumnId="13"/>
      <queryTableField id="14" name="PKKH" tableColumnId="14"/>
      <queryTableField id="16" name="TONG_DU_NO_CIC" tableColumnId="16"/>
      <queryTableField id="124" name="SO_NAM_HD" tableColumnId="1"/>
      <queryTableField id="125" name="NII_LENDING_ABB" tableColumnId="17"/>
      <queryTableField id="126" name="NII_DEPOSIT_ABB" tableColumnId="18"/>
      <queryTableField id="127" name="NFI_ABB" tableColumnId="19"/>
      <queryTableField id="128" name="NFX_ABB" tableColumnId="20"/>
      <queryTableField id="129" name="NII_LENDING_ALL" tableColumnId="21"/>
      <queryTableField id="130" name="NII_DEPOSIT_ALL" tableColumnId="22"/>
      <queryTableField id="131" name="NFI_ALL" tableColumnId="23"/>
      <queryTableField id="132" name="NFX_ALL" tableColumnId="24"/>
      <queryTableField id="133" name="DU_NO_BQ" tableColumnId="25"/>
      <queryTableField id="134" name="NII_LENDING_DS" tableColumnId="26"/>
      <queryTableField id="135" name="NII_DEPOSITS_CASA_DS" tableColumnId="27"/>
      <queryTableField id="136" name="NII_DEPOSITS_TD_DS" tableColumnId="28"/>
      <queryTableField id="137" name="NFI_BL_DS" tableColumnId="29"/>
      <queryTableField id="138" name="NFI_LC_DS" tableColumnId="30"/>
      <queryTableField id="139" name="NFI_TTR_DS" tableColumnId="31"/>
      <queryTableField id="140" name="NFX_DS" tableColumnId="32"/>
      <queryTableField id="141" name="NII_DEPOSITS_CASA" tableColumnId="33"/>
      <queryTableField id="142" name="NII_DEPOSITS_TD" tableColumnId="34"/>
      <queryTableField id="143" name="NFI_BL" tableColumnId="35"/>
      <queryTableField id="144" name="NFI_LC" tableColumnId="36"/>
      <queryTableField id="145" name="NFI_TTR" tableColumnId="37"/>
      <queryTableField id="146" name="NFX_TOTAL" tableColumnId="38"/>
      <queryTableField id="147" name="STAFF_ID" tableColumnId="15"/>
      <queryTableField id="148" name="STAFF_NAME" tableColumnId="39"/>
    </queryTableFields>
  </queryTableRefresh>
</queryTable>
</file>

<file path=xl/queryTables/queryTable3.xml><?xml version="1.0" encoding="utf-8"?>
<queryTable xmlns="http://schemas.openxmlformats.org/spreadsheetml/2006/main" name="Query from SME" backgroundRefresh="0" connectionId="3" autoFormatId="16" applyNumberFormats="0" applyBorderFormats="0" applyFontFormats="0" applyPatternFormats="0" applyAlignmentFormats="0" applyWidthHeightFormats="0">
  <queryTableRefresh nextId="10">
    <queryTableFields count="8">
      <queryTableField id="2" name="TIEU_PKKH" tableColumnId="2"/>
      <queryTableField id="3" name="NIM_LENDING_AVG" tableColumnId="3"/>
      <queryTableField id="4" name="NIM_CASA_AVG" tableColumnId="4"/>
      <queryTableField id="5" name="NIM_CKH_AVG" tableColumnId="5"/>
      <queryTableField id="6" name="MARGIN_BL_AVG" tableColumnId="6"/>
      <queryTableField id="7" name="MARGIN_LC_AVG" tableColumnId="7"/>
      <queryTableField id="8" name="MARGIN_TTR_AVG" tableColumnId="8"/>
      <queryTableField id="9" name="MARGIN_FX_AVG" tableColumnId="9"/>
    </queryTableFields>
  </queryTableRefresh>
</queryTable>
</file>

<file path=xl/queryTables/queryTable4.xml><?xml version="1.0" encoding="utf-8"?>
<queryTable xmlns="http://schemas.openxmlformats.org/spreadsheetml/2006/main" name="Query from SME" backgroundRefresh="0" connectionId="2" autoFormatId="16" applyNumberFormats="0" applyBorderFormats="0" applyFontFormats="0" applyPatternFormats="0" applyAlignmentFormats="0" applyWidthHeightFormats="0">
  <queryTableRefresh nextId="23">
    <queryTableFields count="20">
      <queryTableField id="2" name="MONTH_ID" tableColumnId="2"/>
      <queryTableField id="3" name="CIF" tableColumnId="3"/>
      <queryTableField id="4" name="SHORT_NAME" tableColumnId="4"/>
      <queryTableField id="5" name="LENDING_AVG" tableColumnId="5"/>
      <queryTableField id="6" name="CASA_AVG" tableColumnId="6"/>
      <queryTableField id="7" name="CKH_AVG" tableColumnId="7"/>
      <queryTableField id="8" name="DS_BL" tableColumnId="8"/>
      <queryTableField id="9" name="DS_LC" tableColumnId="9"/>
      <queryTableField id="10" name="DS_TTR" tableColumnId="10"/>
      <queryTableField id="11" name="DS_PS" tableColumnId="11"/>
      <queryTableField id="12" name="OTHER" tableColumnId="12"/>
      <queryTableField id="13" name="NII_LENDING" tableColumnId="13"/>
      <queryTableField id="14" name="NII_CASA" tableColumnId="14"/>
      <queryTableField id="15" name="NFI_BL" tableColumnId="15"/>
      <queryTableField id="16" name="NFI_LC" tableColumnId="16"/>
      <queryTableField id="17" name="NFI_TTR" tableColumnId="17"/>
      <queryTableField id="18" name="NFX_PS" tableColumnId="18"/>
      <queryTableField id="19" name="NFI_OTHER" tableColumnId="19"/>
      <queryTableField id="21" name="NII_CKH" tableColumnId="21"/>
      <queryTableField id="22" name="PKKH_SUB_CIF" tableColumnId="1"/>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WindowsUser" displayName="WindowsUser" ref="A1:A2" totalsRowShown="0" dataDxfId="31">
  <autoFilter ref="A1:A2"/>
  <tableColumns count="1">
    <tableColumn id="1" name="User" dataDxfId="30"/>
  </tableColumns>
  <tableStyleInfo name="TableStyleLight1" showFirstColumn="0" showLastColumn="0" showRowStripes="1" showColumnStripes="0"/>
</table>
</file>

<file path=xl/tables/table2.xml><?xml version="1.0" encoding="utf-8"?>
<table xmlns="http://schemas.openxmlformats.org/spreadsheetml/2006/main" id="3" name="ConTxt" displayName="ConTxt" ref="C1:L4" totalsRowShown="0" dataDxfId="29">
  <autoFilter ref="C1:L4"/>
  <tableColumns count="10">
    <tableColumn id="1" name="Connection Name" dataDxfId="28"/>
    <tableColumn id="2" name="Query" dataDxfId="27">
      <calculatedColumnFormula>ConTxt[SELECT]&amp;ConTxt[WHERE]&amp;ConTxt[WHERE2]&amp;ConTxt[WHERE22]&amp;ConTxt[WHERE4]&amp;ConTxt[WHERE5]&amp;ConTxt[WHERE6]&amp;ConTxt[WHERE7]</calculatedColumnFormula>
    </tableColumn>
    <tableColumn id="3" name="SELECT" dataDxfId="26"/>
    <tableColumn id="4" name="WHERE" dataDxfId="25"/>
    <tableColumn id="5" name="WHERE2" dataDxfId="24"/>
    <tableColumn id="6" name="WHERE22" dataDxfId="23"/>
    <tableColumn id="7" name="WHERE4" dataDxfId="22"/>
    <tableColumn id="8" name="WHERE5" dataDxfId="21"/>
    <tableColumn id="9" name="WHERE6" dataDxfId="20"/>
    <tableColumn id="10" name="WHERE7" dataDxfId="19">
      <calculatedColumnFormula>"where  CIF ="&amp;"'"&amp;'TRANG CHU'!$H$24&amp;"'"</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ConTxt1" displayName="ConTxt1" ref="S1:AB2" totalsRowShown="0" dataDxfId="18">
  <autoFilter ref="S1:AB2"/>
  <tableColumns count="10">
    <tableColumn id="1" name="Connection Name" dataDxfId="17"/>
    <tableColumn id="2" name="Query" dataDxfId="16">
      <calculatedColumnFormula>ConTxt1[SELECT]&amp;ConTxt1[WHERE]&amp;ConTxt1[WHERE2]&amp;ConTxt1[WHERE22]&amp;ConTxt1[WHERE4]&amp;ConTxt1[WHERE5]&amp;ConTxt1[WHERE6]&amp;ConTxt1[WHERE7]</calculatedColumnFormula>
    </tableColumn>
    <tableColumn id="3" name="SELECT" dataDxfId="15"/>
    <tableColumn id="4" name="WHERE" dataDxfId="14"/>
    <tableColumn id="5" name="WHERE2" dataDxfId="13">
      <calculatedColumnFormula xml:space="preserve"> " and b.WINDOWS_USER = '"&amp;WindowsUser[User]&amp;"' and "</calculatedColumnFormula>
    </tableColumn>
    <tableColumn id="6" name="WHERE22" dataDxfId="12"/>
    <tableColumn id="7" name="WHERE4" dataDxfId="11"/>
    <tableColumn id="8" name="WHERE5" dataDxfId="10"/>
    <tableColumn id="9" name="WHERE6" dataDxfId="9"/>
    <tableColumn id="10" name="WHERE7" dataDxfId="8"/>
  </tableColumns>
  <tableStyleInfo name="TableStyleMedium2" showFirstColumn="0" showLastColumn="0" showRowStripes="1" showColumnStripes="0"/>
</table>
</file>

<file path=xl/tables/table4.xml><?xml version="1.0" encoding="utf-8"?>
<table xmlns="http://schemas.openxmlformats.org/spreadsheetml/2006/main" id="6" name="DSNS" displayName="DSNS" ref="A1:E3751" tableType="queryTable" totalsRowShown="0">
  <autoFilter ref="A1:E3751"/>
  <tableColumns count="5">
    <tableColumn id="1" uniqueName="1" name="MA_NV" queryTableFieldId="2"/>
    <tableColumn id="2" uniqueName="2" name="HO_TEN" queryTableFieldId="3"/>
    <tableColumn id="3" uniqueName="3" name="Hub_name" queryTableFieldId="4"/>
    <tableColumn id="4" uniqueName="4" name="VUNG" queryTableFieldId="5"/>
    <tableColumn id="5" uniqueName="5" name="TenNguoiDung" queryTableFieldId="6"/>
  </tableColumns>
  <tableStyleInfo name="TableStyleMedium2" showFirstColumn="0" showLastColumn="0" showRowStripes="1" showColumnStripes="0"/>
</table>
</file>

<file path=xl/tables/table5.xml><?xml version="1.0" encoding="utf-8"?>
<table xmlns="http://schemas.openxmlformats.org/spreadsheetml/2006/main" id="4" name="Data" displayName="Data" ref="A1:AM2" tableType="queryTable" totalsRowShown="0">
  <autoFilter ref="A1:AM2"/>
  <tableColumns count="39">
    <tableColumn id="2" uniqueName="2" name="MST" queryTableFieldId="2"/>
    <tableColumn id="3" uniqueName="3" name="TEN_KHACH_HANG" queryTableFieldId="3"/>
    <tableColumn id="4" uniqueName="4" name="MA_NGANH" queryTableFieldId="4"/>
    <tableColumn id="5" uniqueName="5" name="SO_LAO_DONG" queryTableFieldId="5"/>
    <tableColumn id="6" uniqueName="6" name="CIF" queryTableFieldId="6"/>
    <tableColumn id="7" uniqueName="7" name="NGAY_MO_CIF" queryTableFieldId="7"/>
    <tableColumn id="8" uniqueName="8" name="KH_HIENHUU_MOI" queryTableFieldId="8"/>
    <tableColumn id="9" uniqueName="9" name="KH_TD_PHITD" queryTableFieldId="9"/>
    <tableColumn id="10" uniqueName="10" name="ACTIVE_INACTIVE" queryTableFieldId="10"/>
    <tableColumn id="11" uniqueName="11" name="VUNG" queryTableFieldId="11"/>
    <tableColumn id="12" uniqueName="12" name="HUB" queryTableFieldId="12"/>
    <tableColumn id="13" uniqueName="13" name="NHOM_NGANH" queryTableFieldId="13"/>
    <tableColumn id="14" uniqueName="14" name="PKKH" queryTableFieldId="14"/>
    <tableColumn id="16" uniqueName="16" name="TONG_DU_NO_CIC" queryTableFieldId="16"/>
    <tableColumn id="1" uniqueName="1" name="SO_NAM_HD" queryTableFieldId="124"/>
    <tableColumn id="17" uniqueName="17" name="NII_LENDING_ABB" queryTableFieldId="125"/>
    <tableColumn id="18" uniqueName="18" name="NII_DEPOSIT_ABB" queryTableFieldId="126"/>
    <tableColumn id="19" uniqueName="19" name="NFI_ABB" queryTableFieldId="127"/>
    <tableColumn id="20" uniqueName="20" name="NFX_ABB" queryTableFieldId="128"/>
    <tableColumn id="21" uniqueName="21" name="NII_LENDING_ALL" queryTableFieldId="129"/>
    <tableColumn id="22" uniqueName="22" name="NII_DEPOSIT_ALL" queryTableFieldId="130"/>
    <tableColumn id="23" uniqueName="23" name="NFI_ALL" queryTableFieldId="131"/>
    <tableColumn id="24" uniqueName="24" name="NFX_ALL" queryTableFieldId="132"/>
    <tableColumn id="25" uniqueName="25" name="DU_NO_BQ" queryTableFieldId="133"/>
    <tableColumn id="26" uniqueName="26" name="NII_LENDING_DS" queryTableFieldId="134"/>
    <tableColumn id="27" uniqueName="27" name="NII_DEPOSITS_CASA_DS" queryTableFieldId="135"/>
    <tableColumn id="28" uniqueName="28" name="NII_DEPOSITS_TD_DS" queryTableFieldId="136"/>
    <tableColumn id="29" uniqueName="29" name="NFI_BL_DS" queryTableFieldId="137"/>
    <tableColumn id="30" uniqueName="30" name="NFI_LC_DS" queryTableFieldId="138"/>
    <tableColumn id="31" uniqueName="31" name="NFI_TTR_DS" queryTableFieldId="139"/>
    <tableColumn id="32" uniqueName="32" name="NFX_DS" queryTableFieldId="140"/>
    <tableColumn id="33" uniqueName="33" name="NII_DEPOSITS_CASA" queryTableFieldId="141"/>
    <tableColumn id="34" uniqueName="34" name="NII_DEPOSITS_TD" queryTableFieldId="142"/>
    <tableColumn id="35" uniqueName="35" name="NFI_BL" queryTableFieldId="143"/>
    <tableColumn id="36" uniqueName="36" name="NFI_LC" queryTableFieldId="144"/>
    <tableColumn id="37" uniqueName="37" name="NFI_TTR" queryTableFieldId="145"/>
    <tableColumn id="38" uniqueName="38" name="NFX_TOTAL" queryTableFieldId="146"/>
    <tableColumn id="15" uniqueName="15" name="STAFF_ID" queryTableFieldId="147"/>
    <tableColumn id="39" uniqueName="39" name="STAFF_NAME" queryTableFieldId="148"/>
  </tableColumns>
  <tableStyleInfo name="TableStyleMedium2" showFirstColumn="0" showLastColumn="0" showRowStripes="1" showColumnStripes="0"/>
</table>
</file>

<file path=xl/tables/table6.xml><?xml version="1.0" encoding="utf-8"?>
<table xmlns="http://schemas.openxmlformats.org/spreadsheetml/2006/main" id="7" name="Data_raw_2" displayName="Data_raw_2" ref="A1:H5" tableType="queryTable" totalsRowShown="0">
  <autoFilter ref="A1:H5"/>
  <tableColumns count="8">
    <tableColumn id="2" uniqueName="2" name="TIEU_PKKH" queryTableFieldId="2"/>
    <tableColumn id="3" uniqueName="3" name="NIM_LENDING_AVG" queryTableFieldId="3" dataDxfId="7" dataCellStyle="Percent"/>
    <tableColumn id="4" uniqueName="4" name="NIM_CASA_AVG" queryTableFieldId="4" dataDxfId="6" dataCellStyle="Percent"/>
    <tableColumn id="5" uniqueName="5" name="NIM_CKH_AVG" queryTableFieldId="5" dataDxfId="5" dataCellStyle="Percent"/>
    <tableColumn id="6" uniqueName="6" name="MARGIN_BL_AVG" queryTableFieldId="6" dataDxfId="4" dataCellStyle="Percent"/>
    <tableColumn id="7" uniqueName="7" name="MARGIN_LC_AVG" queryTableFieldId="7" dataDxfId="3" dataCellStyle="Percent"/>
    <tableColumn id="8" uniqueName="8" name="MARGIN_TTR_AVG" queryTableFieldId="8" dataDxfId="2" dataCellStyle="Percent"/>
    <tableColumn id="9" uniqueName="9" name="MARGIN_FX_AVG" queryTableFieldId="9" dataDxfId="1" dataCellStyle="Percent"/>
  </tableColumns>
  <tableStyleInfo name="TableStyleMedium2" showFirstColumn="0" showLastColumn="0" showRowStripes="1" showColumnStripes="0"/>
</table>
</file>

<file path=xl/tables/table7.xml><?xml version="1.0" encoding="utf-8"?>
<table xmlns="http://schemas.openxmlformats.org/spreadsheetml/2006/main" id="2" name="Data_raw_1" displayName="Data_raw_1" ref="A1:T27" tableType="queryTable" totalsRowShown="0">
  <autoFilter ref="A1:T27"/>
  <sortState ref="A2:T27">
    <sortCondition ref="A1:A26"/>
  </sortState>
  <tableColumns count="20">
    <tableColumn id="2" uniqueName="2" name="MONTH_ID" queryTableFieldId="2"/>
    <tableColumn id="3" uniqueName="3" name="CIF" queryTableFieldId="3"/>
    <tableColumn id="4" uniqueName="4" name="SHORT_NAME" queryTableFieldId="4"/>
    <tableColumn id="5" uniqueName="5" name="LENDING_AVG" queryTableFieldId="5"/>
    <tableColumn id="6" uniqueName="6" name="CASA_AVG" queryTableFieldId="6"/>
    <tableColumn id="7" uniqueName="7" name="CKH_AVG" queryTableFieldId="7"/>
    <tableColumn id="8" uniqueName="8" name="DS_BL" queryTableFieldId="8"/>
    <tableColumn id="9" uniqueName="9" name="DS_LC" queryTableFieldId="9"/>
    <tableColumn id="10" uniqueName="10" name="DS_TTR" queryTableFieldId="10"/>
    <tableColumn id="11" uniqueName="11" name="DS_PS" queryTableFieldId="11"/>
    <tableColumn id="12" uniqueName="12" name="OTHER" queryTableFieldId="12"/>
    <tableColumn id="13" uniqueName="13" name="NII_LENDING" queryTableFieldId="13"/>
    <tableColumn id="14" uniqueName="14" name="NII_CASA" queryTableFieldId="14"/>
    <tableColumn id="15" uniqueName="15" name="NFI_BL" queryTableFieldId="15"/>
    <tableColumn id="16" uniqueName="16" name="NFI_LC" queryTableFieldId="16"/>
    <tableColumn id="17" uniqueName="17" name="NFI_TTR" queryTableFieldId="17"/>
    <tableColumn id="18" uniqueName="18" name="NFX_PS" queryTableFieldId="18"/>
    <tableColumn id="19" uniqueName="19" name="NFI_OTHER" queryTableFieldId="19"/>
    <tableColumn id="21" uniqueName="21" name="NII_CKH" queryTableFieldId="21"/>
    <tableColumn id="1" uniqueName="1" name="PKKH_SUB_CIF" queryTableFieldId="22"/>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A1:B735" totalsRowShown="0">
  <autoFilter ref="A1:B735"/>
  <tableColumns count="2">
    <tableColumn id="1" name="MA_NGANH" dataDxfId="0"/>
    <tableColumn id="2" name="NHOM_NGANH"/>
  </tableColumns>
  <tableStyleInfo name="TableStyleMedium2" showFirstColumn="0" showLastColumn="0" showRowStripes="1" showColumnStripes="0"/>
</table>
</file>

<file path=xl/theme/theme1.xml><?xml version="1.0" encoding="utf-8"?>
<a:theme xmlns:a="http://schemas.openxmlformats.org/drawingml/2006/main" name="Them mau ABBank x MCK">
  <a:themeElements>
    <a:clrScheme name="Scheme1">
      <a:dk1>
        <a:srgbClr val="000000"/>
      </a:dk1>
      <a:lt1>
        <a:srgbClr val="FFFFFF"/>
      </a:lt1>
      <a:dk2>
        <a:srgbClr val="FFFFFF"/>
      </a:dk2>
      <a:lt2>
        <a:srgbClr val="FFFFFF"/>
      </a:lt2>
      <a:accent1>
        <a:srgbClr val="00AAAD"/>
      </a:accent1>
      <a:accent2>
        <a:srgbClr val="007F82"/>
      </a:accent2>
      <a:accent3>
        <a:srgbClr val="004648"/>
      </a:accent3>
      <a:accent4>
        <a:srgbClr val="7FD4D6"/>
      </a:accent4>
      <a:accent5>
        <a:srgbClr val="DF7630"/>
      </a:accent5>
      <a:accent6>
        <a:srgbClr val="F3CDB3"/>
      </a:accent6>
      <a:hlink>
        <a:srgbClr val="0000FF"/>
      </a:hlink>
      <a:folHlink>
        <a:srgbClr val="800080"/>
      </a:folHlink>
    </a:clrScheme>
    <a:fontScheme name="Custom">
      <a:majorFont>
        <a:latin typeface="Arial"/>
        <a:ea typeface=""/>
        <a:cs typeface=""/>
      </a:majorFont>
      <a:minorFont>
        <a:latin typeface="Arial"/>
        <a:ea typeface=""/>
        <a:cs typeface=""/>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w="6350" cap="sq">
          <a:noFill/>
          <a:miter lim="800000"/>
        </a:ln>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algn="ctr">
          <a:spcBef>
            <a:spcPts val="300"/>
          </a:spcBef>
          <a:spcAft>
            <a:spcPts val="300"/>
          </a:spcAft>
          <a:defRPr sz="1600" dirty="0" err="1">
            <a:solidFill>
              <a:schemeClr val="bg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6350" cap="flat">
          <a:solidFill>
            <a:schemeClr val="tx1"/>
          </a:solidFill>
          <a:miter lim="800000"/>
          <a:tailEnd type="none"/>
        </a:ln>
      </a:spPr>
      <a:bodyPr/>
      <a:lstStyle/>
      <a:style>
        <a:lnRef idx="1">
          <a:schemeClr val="accent1"/>
        </a:lnRef>
        <a:fillRef idx="0">
          <a:schemeClr val="accent1"/>
        </a:fillRef>
        <a:effectRef idx="0">
          <a:schemeClr val="accent1"/>
        </a:effectRef>
        <a:fontRef idx="minor">
          <a:schemeClr val="tx1"/>
        </a:fontRef>
      </a:style>
    </a:lnDef>
    <a:txDef>
      <a:spPr>
        <a:ln w="6350">
          <a:noFill/>
          <a:miter lim="800000"/>
        </a:ln>
      </a:spPr>
      <a:bodyPr vert="horz" wrap="square" lIns="0" tIns="0" rIns="0" bIns="0" rtlCol="0">
        <a:noAutofit/>
      </a:bodyPr>
      <a:lstStyle>
        <a:defPPr algn="l">
          <a:spcBef>
            <a:spcPts val="300"/>
          </a:spcBef>
          <a:spcAft>
            <a:spcPts val="300"/>
          </a:spcAft>
          <a:buNone/>
          <a:defRPr sz="1600" dirty="0" smtClean="0"/>
        </a:defPPr>
      </a:lstStyle>
    </a:txDef>
  </a:objectDefaults>
  <a:extraClrSchemeLst>
    <a:extraClrScheme>
      <a:clrScheme name="Scheme1">
        <a:dk1>
          <a:srgbClr val="000000"/>
        </a:dk1>
        <a:lt1>
          <a:srgbClr val="FFFFFF"/>
        </a:lt1>
        <a:dk2>
          <a:srgbClr val="FFFFFF"/>
        </a:dk2>
        <a:lt2>
          <a:srgbClr val="FFFFFF"/>
        </a:lt2>
        <a:accent1>
          <a:srgbClr val="00AAAD"/>
        </a:accent1>
        <a:accent2>
          <a:srgbClr val="007F82"/>
        </a:accent2>
        <a:accent3>
          <a:srgbClr val="004648"/>
        </a:accent3>
        <a:accent4>
          <a:srgbClr val="7FD4D6"/>
        </a:accent4>
        <a:accent5>
          <a:srgbClr val="DF7630"/>
        </a:accent5>
        <a:accent6>
          <a:srgbClr val="F3CDB3"/>
        </a:accent6>
        <a:hlink>
          <a:srgbClr val="0000FF"/>
        </a:hlink>
        <a:folHlink>
          <a:srgbClr val="800080"/>
        </a:folHlink>
      </a:clrScheme>
    </a:extraClrScheme>
  </a:extraClrSchemeLst>
  <a:custClrLst>
    <a:custClr name="Dark Gray">
      <a:srgbClr val="4D4D4D"/>
    </a:custClr>
    <a:custClr name="Mid Gray">
      <a:srgbClr val="7F7F7F"/>
    </a:custClr>
    <a:custClr name="Light Gray">
      <a:srgbClr val="B3B3B3"/>
    </a:custClr>
    <a:custClr name="Super Light Gray">
      <a:srgbClr val="D0D0D0"/>
    </a:custClr>
    <a:custClr name="Pale Gray">
      <a:srgbClr val="E6E6E6"/>
    </a:custClr>
    <a:custClr name="Custom Color6">
      <a:srgbClr val="C7ECED"/>
    </a:custClr>
    <a:custClr name="Custom Color7">
      <a:srgbClr val="01F9FF"/>
    </a:custClr>
    <a:custClr name="Custom Color8">
      <a:srgbClr val="C9FEFF"/>
    </a:custClr>
    <a:custClr name="Custom Color9">
      <a:srgbClr val="FFFFFF"/>
    </a:custClr>
    <a:custClr name="Custom Color10">
      <a:srgbClr val="000000"/>
    </a:custClr>
  </a:custClrLst>
  <a:extLst>
    <a:ext uri="{05A4C25C-085E-4340-85A3-A5531E510DB2}">
      <thm15:themeFamily xmlns:thm15="http://schemas.microsoft.com/office/thememl/2012/main" name="Them mau ABBank x MCK" id="{1C5463AE-E2E0-4701-9F60-3314928342F7}" vid="{607ED588-FFE0-449B-9D1F-5378E8B69D6D}"/>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Q75"/>
  <sheetViews>
    <sheetView showGridLines="0" tabSelected="1" workbookViewId="0">
      <selection activeCell="H19" sqref="H19"/>
    </sheetView>
  </sheetViews>
  <sheetFormatPr defaultColWidth="9" defaultRowHeight="16.8" x14ac:dyDescent="0.4"/>
  <cols>
    <col min="1" max="1" width="9" style="80"/>
    <col min="2" max="2" width="12.21875" style="80" customWidth="1"/>
    <col min="3" max="7" width="9" style="80"/>
    <col min="8" max="8" width="22.88671875" style="80" customWidth="1"/>
    <col min="9" max="9" width="9.33203125" style="80" bestFit="1" customWidth="1"/>
    <col min="10" max="11" width="9" style="80"/>
    <col min="12" max="12" width="10.33203125" style="80" bestFit="1" customWidth="1"/>
    <col min="13" max="16384" width="9" style="80"/>
  </cols>
  <sheetData>
    <row r="3" spans="2:15" x14ac:dyDescent="0.4">
      <c r="B3" s="79"/>
      <c r="C3" s="79"/>
      <c r="D3" s="79"/>
      <c r="E3" s="79"/>
      <c r="F3" s="79"/>
      <c r="G3" s="79"/>
      <c r="H3" s="79"/>
      <c r="I3" s="79"/>
      <c r="J3" s="79"/>
      <c r="K3" s="79"/>
      <c r="L3" s="79"/>
      <c r="M3" s="79"/>
      <c r="N3" s="79"/>
      <c r="O3" s="79"/>
    </row>
    <row r="4" spans="2:15" x14ac:dyDescent="0.4">
      <c r="B4" s="79"/>
      <c r="C4" s="79"/>
      <c r="D4" s="79"/>
      <c r="E4" s="79"/>
      <c r="F4" s="79"/>
      <c r="G4" s="79"/>
      <c r="H4" s="79"/>
      <c r="I4" s="79"/>
      <c r="J4" s="79"/>
      <c r="K4" s="79"/>
      <c r="L4" s="79"/>
      <c r="M4" s="79"/>
      <c r="N4" s="79"/>
      <c r="O4" s="79"/>
    </row>
    <row r="5" spans="2:15" x14ac:dyDescent="0.4">
      <c r="B5" s="79"/>
      <c r="C5" s="79"/>
      <c r="D5" s="79"/>
      <c r="E5" s="79"/>
      <c r="F5" s="79"/>
      <c r="G5" s="79"/>
      <c r="H5" s="79"/>
      <c r="I5" s="79"/>
      <c r="J5" s="79"/>
      <c r="K5" s="79"/>
      <c r="L5" s="79"/>
      <c r="M5" s="79"/>
      <c r="N5" s="79"/>
      <c r="O5" s="79"/>
    </row>
    <row r="6" spans="2:15" ht="29.4" x14ac:dyDescent="0.65">
      <c r="B6" s="79"/>
      <c r="C6" s="79"/>
      <c r="D6" s="79"/>
      <c r="E6" s="105" t="s">
        <v>12020</v>
      </c>
      <c r="F6" s="79"/>
      <c r="G6" s="79"/>
      <c r="H6" s="79"/>
      <c r="I6" s="79"/>
      <c r="J6" s="79"/>
      <c r="K6" s="79"/>
      <c r="L6" s="79"/>
      <c r="M6" s="79"/>
      <c r="N6" s="79"/>
      <c r="O6" s="79"/>
    </row>
    <row r="7" spans="2:15" x14ac:dyDescent="0.4">
      <c r="B7" s="79"/>
      <c r="C7" s="79"/>
      <c r="D7" s="79"/>
      <c r="E7" s="79"/>
      <c r="F7" s="79"/>
      <c r="G7" s="79"/>
      <c r="H7" s="79"/>
      <c r="I7" s="79"/>
      <c r="J7" s="79"/>
      <c r="K7" s="79"/>
      <c r="L7" s="79"/>
      <c r="M7" s="79"/>
      <c r="N7" s="79"/>
      <c r="O7" s="79"/>
    </row>
    <row r="8" spans="2:15" x14ac:dyDescent="0.4">
      <c r="B8" s="79"/>
      <c r="C8" s="79"/>
      <c r="D8" s="79"/>
      <c r="E8" s="79"/>
      <c r="F8" s="79"/>
      <c r="G8" s="79"/>
      <c r="H8" s="79"/>
      <c r="I8" s="79"/>
      <c r="J8" s="79"/>
      <c r="K8" s="79"/>
      <c r="L8" s="79"/>
      <c r="M8" s="79"/>
      <c r="N8" s="79"/>
      <c r="O8" s="79"/>
    </row>
    <row r="9" spans="2:15" x14ac:dyDescent="0.4">
      <c r="B9" s="79"/>
      <c r="C9" s="79"/>
      <c r="D9" s="79"/>
      <c r="E9" s="79"/>
      <c r="F9" s="79"/>
      <c r="G9" s="79"/>
      <c r="H9" s="79"/>
      <c r="I9" s="79"/>
      <c r="J9" s="79"/>
      <c r="K9" s="79"/>
      <c r="L9" s="79"/>
      <c r="M9" s="79"/>
      <c r="N9" s="79"/>
      <c r="O9" s="79"/>
    </row>
    <row r="10" spans="2:15" x14ac:dyDescent="0.4">
      <c r="B10" s="79"/>
      <c r="C10" s="79"/>
      <c r="D10" s="79"/>
      <c r="E10" s="79"/>
      <c r="F10" s="79"/>
      <c r="G10" s="79"/>
      <c r="H10" s="79"/>
      <c r="I10" s="79"/>
      <c r="J10" s="79"/>
      <c r="K10" s="79"/>
      <c r="L10" s="79"/>
      <c r="M10" s="79"/>
      <c r="N10" s="79"/>
      <c r="O10" s="79"/>
    </row>
    <row r="11" spans="2:15" ht="29.4" x14ac:dyDescent="0.65">
      <c r="B11" s="79"/>
      <c r="C11" s="79"/>
      <c r="D11" s="79"/>
      <c r="E11" s="79"/>
      <c r="F11" s="81" t="s">
        <v>2</v>
      </c>
      <c r="G11" s="81"/>
      <c r="H11" s="81"/>
      <c r="I11" s="81"/>
      <c r="J11" s="82"/>
      <c r="K11" s="79"/>
      <c r="L11" s="79"/>
      <c r="M11" s="79"/>
      <c r="N11" s="79"/>
      <c r="O11" s="79"/>
    </row>
    <row r="12" spans="2:15" x14ac:dyDescent="0.4">
      <c r="B12" s="79"/>
      <c r="C12" s="79"/>
      <c r="D12" s="79"/>
      <c r="E12" s="79"/>
      <c r="F12" s="79"/>
      <c r="G12" s="79"/>
      <c r="H12" s="79"/>
      <c r="I12" s="79"/>
      <c r="J12" s="79"/>
      <c r="K12" s="79"/>
      <c r="L12" s="79"/>
      <c r="M12" s="79"/>
      <c r="N12" s="79"/>
      <c r="O12" s="79"/>
    </row>
    <row r="13" spans="2:15" x14ac:dyDescent="0.4">
      <c r="B13" s="79"/>
      <c r="C13" s="79"/>
      <c r="D13" s="83"/>
      <c r="E13" s="83"/>
      <c r="F13" s="83"/>
      <c r="G13" s="83"/>
      <c r="H13" s="83"/>
      <c r="I13" s="83"/>
      <c r="J13" s="83"/>
      <c r="K13" s="83"/>
      <c r="L13" s="83"/>
      <c r="M13" s="79"/>
      <c r="N13" s="79"/>
      <c r="O13" s="79"/>
    </row>
    <row r="14" spans="2:15" x14ac:dyDescent="0.4">
      <c r="B14" s="79"/>
      <c r="C14" s="79"/>
      <c r="D14" s="83"/>
      <c r="E14" s="84" t="s">
        <v>0</v>
      </c>
      <c r="F14" s="84"/>
      <c r="G14" s="84"/>
      <c r="H14" s="78" t="str">
        <f>_xlfn.IFNA(VLOOKUP('TRANG CHU'!H16,Valid!A1:B53,2,0),"")</f>
        <v/>
      </c>
      <c r="I14" s="83"/>
      <c r="J14" s="83"/>
      <c r="K14" s="83"/>
      <c r="L14" s="83"/>
      <c r="M14" s="79"/>
      <c r="N14" s="79"/>
      <c r="O14" s="79"/>
    </row>
    <row r="15" spans="2:15" x14ac:dyDescent="0.4">
      <c r="B15" s="79"/>
      <c r="C15" s="79"/>
      <c r="D15" s="83"/>
      <c r="E15" s="84"/>
      <c r="F15" s="84"/>
      <c r="G15" s="84"/>
      <c r="H15" s="83"/>
      <c r="I15" s="83"/>
      <c r="J15" s="83"/>
      <c r="K15" s="83"/>
      <c r="L15" s="83"/>
      <c r="M15" s="79"/>
      <c r="N15" s="79"/>
      <c r="O15" s="79"/>
    </row>
    <row r="16" spans="2:15" x14ac:dyDescent="0.4">
      <c r="B16" s="79"/>
      <c r="C16" s="79"/>
      <c r="D16" s="83"/>
      <c r="E16" s="84" t="s">
        <v>1</v>
      </c>
      <c r="F16" s="84"/>
      <c r="G16" s="84"/>
      <c r="H16" s="73"/>
      <c r="I16" s="83"/>
      <c r="J16" s="83"/>
      <c r="K16" s="83"/>
      <c r="L16" s="83"/>
      <c r="M16" s="79"/>
      <c r="N16" s="79"/>
      <c r="O16" s="79"/>
    </row>
    <row r="17" spans="2:17" x14ac:dyDescent="0.4">
      <c r="B17" s="79"/>
      <c r="C17" s="79"/>
      <c r="D17" s="83"/>
      <c r="E17" s="84"/>
      <c r="F17" s="84"/>
      <c r="G17" s="84"/>
      <c r="H17" s="83"/>
      <c r="I17" s="83"/>
      <c r="J17" s="83"/>
      <c r="K17" s="83"/>
      <c r="L17" s="83"/>
      <c r="M17" s="79"/>
      <c r="N17" s="79"/>
      <c r="O17" s="79"/>
    </row>
    <row r="18" spans="2:17" ht="20.25" customHeight="1" x14ac:dyDescent="0.4">
      <c r="B18" s="79"/>
      <c r="C18" s="79"/>
      <c r="D18" s="83"/>
      <c r="E18" s="84" t="s">
        <v>165</v>
      </c>
      <c r="F18" s="84"/>
      <c r="G18" s="84"/>
      <c r="H18" s="76" t="s">
        <v>12029</v>
      </c>
      <c r="I18" s="85" t="str">
        <f>TEXT(H18, "mmm-yy")</f>
        <v>Mar-25</v>
      </c>
      <c r="J18" s="86"/>
      <c r="K18" s="83"/>
      <c r="L18" s="86"/>
      <c r="M18" s="79"/>
      <c r="N18" s="79"/>
      <c r="O18" s="79"/>
    </row>
    <row r="19" spans="2:17" x14ac:dyDescent="0.4">
      <c r="B19" s="79"/>
      <c r="C19" s="79"/>
      <c r="D19" s="83"/>
      <c r="E19" s="84"/>
      <c r="F19" s="84"/>
      <c r="G19" s="84"/>
      <c r="H19" s="83"/>
      <c r="I19" s="83"/>
      <c r="J19" s="83"/>
      <c r="K19" s="83"/>
      <c r="L19" s="83"/>
      <c r="M19" s="79"/>
      <c r="N19" s="79"/>
      <c r="O19" s="79"/>
    </row>
    <row r="20" spans="2:17" x14ac:dyDescent="0.4">
      <c r="B20" s="79"/>
      <c r="C20" s="79"/>
      <c r="D20" s="83"/>
      <c r="E20" s="84"/>
      <c r="F20" s="84"/>
      <c r="G20" s="84"/>
      <c r="H20" s="83"/>
      <c r="I20" s="83"/>
      <c r="J20" s="83"/>
      <c r="K20" s="83"/>
      <c r="L20" s="83"/>
      <c r="M20" s="79"/>
      <c r="N20" s="79"/>
      <c r="O20" s="79"/>
    </row>
    <row r="21" spans="2:17" x14ac:dyDescent="0.4">
      <c r="B21" s="79"/>
      <c r="C21" s="79"/>
      <c r="D21" s="83"/>
      <c r="E21" s="84" t="s">
        <v>3</v>
      </c>
      <c r="F21" s="84"/>
      <c r="G21" s="84"/>
      <c r="H21" s="83"/>
      <c r="I21" s="83"/>
      <c r="J21" s="83"/>
      <c r="K21" s="83"/>
      <c r="L21" s="83"/>
      <c r="M21" s="79"/>
      <c r="N21" s="79"/>
      <c r="O21" s="79"/>
    </row>
    <row r="22" spans="2:17" x14ac:dyDescent="0.4">
      <c r="B22" s="79"/>
      <c r="C22" s="79"/>
      <c r="D22" s="83"/>
      <c r="E22" s="84"/>
      <c r="F22" s="84"/>
      <c r="G22" s="84"/>
      <c r="H22" s="83"/>
      <c r="I22" s="83"/>
      <c r="J22" s="83"/>
      <c r="K22" s="83"/>
      <c r="L22" s="83"/>
      <c r="M22" s="79"/>
      <c r="N22" s="79"/>
      <c r="O22" s="79"/>
    </row>
    <row r="23" spans="2:17" x14ac:dyDescent="0.4">
      <c r="B23" s="79"/>
      <c r="C23" s="79"/>
      <c r="D23" s="83"/>
      <c r="E23" s="87"/>
      <c r="F23" s="84"/>
      <c r="G23" s="84"/>
      <c r="H23" s="269"/>
      <c r="I23" s="269"/>
      <c r="J23" s="83"/>
      <c r="K23" s="83"/>
      <c r="L23" s="83"/>
      <c r="M23" s="79"/>
      <c r="N23" s="79"/>
      <c r="O23" s="79"/>
      <c r="Q23" s="63">
        <v>2</v>
      </c>
    </row>
    <row r="24" spans="2:17" x14ac:dyDescent="0.4">
      <c r="B24" s="79"/>
      <c r="C24" s="79"/>
      <c r="D24" s="83"/>
      <c r="E24" s="84" t="s">
        <v>4</v>
      </c>
      <c r="F24" s="84"/>
      <c r="G24" s="88" t="str">
        <f>IF('TRANG CHU'!Q23=1, "MST", "CIF")</f>
        <v>CIF</v>
      </c>
      <c r="H24" s="74"/>
      <c r="I24" s="83"/>
      <c r="J24" s="83"/>
      <c r="K24" s="83"/>
      <c r="L24" s="83"/>
      <c r="M24" s="79"/>
      <c r="N24" s="79"/>
      <c r="O24" s="79"/>
    </row>
    <row r="25" spans="2:17" x14ac:dyDescent="0.4">
      <c r="B25" s="79"/>
      <c r="C25" s="79"/>
      <c r="D25" s="83"/>
      <c r="E25" s="83"/>
      <c r="F25" s="83"/>
      <c r="G25" s="89" t="str">
        <f>IF(Q23=1, "Khách hàng mới", "Khách hàng hiện hữu")</f>
        <v>Khách hàng hiện hữu</v>
      </c>
      <c r="H25" s="83"/>
      <c r="I25" s="83"/>
      <c r="J25" s="83"/>
      <c r="K25" s="83"/>
      <c r="L25" s="83"/>
      <c r="M25" s="79"/>
      <c r="N25" s="79"/>
      <c r="O25" s="79"/>
      <c r="Q25" s="90"/>
    </row>
    <row r="26" spans="2:17" x14ac:dyDescent="0.4">
      <c r="B26" s="79"/>
      <c r="C26" s="79"/>
      <c r="D26" s="83"/>
      <c r="E26" s="83"/>
      <c r="F26" s="83"/>
      <c r="G26" s="83"/>
      <c r="H26" s="83"/>
      <c r="I26" s="83"/>
      <c r="J26" s="83"/>
      <c r="K26" s="83"/>
      <c r="L26" s="83"/>
      <c r="M26" s="91"/>
      <c r="N26" s="79"/>
      <c r="O26" s="79"/>
      <c r="P26" s="90"/>
    </row>
    <row r="27" spans="2:17" x14ac:dyDescent="0.4">
      <c r="B27" s="79"/>
      <c r="C27" s="79"/>
      <c r="D27" s="83"/>
      <c r="E27" s="83"/>
      <c r="F27" s="83"/>
      <c r="G27" s="83"/>
      <c r="H27" s="83"/>
      <c r="I27" s="83"/>
      <c r="J27" s="83"/>
      <c r="K27" s="83"/>
      <c r="L27" s="83"/>
      <c r="M27" s="79"/>
      <c r="N27" s="79"/>
      <c r="O27" s="79"/>
    </row>
    <row r="28" spans="2:17" x14ac:dyDescent="0.4">
      <c r="B28" s="79"/>
      <c r="C28" s="79"/>
      <c r="D28" s="83"/>
      <c r="E28" s="83"/>
      <c r="F28" s="83"/>
      <c r="G28" s="83"/>
      <c r="H28" s="83"/>
      <c r="I28" s="83"/>
      <c r="J28" s="83"/>
      <c r="K28" s="83"/>
      <c r="L28" s="83"/>
      <c r="M28" s="79"/>
      <c r="N28" s="79"/>
      <c r="O28" s="79"/>
    </row>
    <row r="29" spans="2:17" x14ac:dyDescent="0.4">
      <c r="B29" s="79"/>
      <c r="C29" s="79"/>
      <c r="D29" s="83"/>
      <c r="E29" s="83"/>
      <c r="F29" s="83"/>
      <c r="G29" s="83"/>
      <c r="H29" s="83"/>
      <c r="I29" s="83"/>
      <c r="J29" s="83"/>
      <c r="K29" s="83"/>
      <c r="L29" s="83"/>
      <c r="M29" s="79"/>
      <c r="N29" s="79"/>
      <c r="O29" s="79"/>
    </row>
    <row r="30" spans="2:17" x14ac:dyDescent="0.4">
      <c r="B30" s="79"/>
      <c r="C30" s="79"/>
      <c r="D30" s="83"/>
      <c r="E30" s="83"/>
      <c r="F30" s="83"/>
      <c r="G30" s="83"/>
      <c r="H30" s="83"/>
      <c r="I30" s="83"/>
      <c r="J30" s="83"/>
      <c r="K30" s="83"/>
      <c r="L30" s="83"/>
      <c r="M30" s="79"/>
      <c r="N30" s="79"/>
      <c r="O30" s="79"/>
    </row>
    <row r="31" spans="2:17" x14ac:dyDescent="0.4">
      <c r="B31" s="79"/>
      <c r="C31" s="79"/>
      <c r="D31" s="83"/>
      <c r="E31" s="83"/>
      <c r="F31" s="83"/>
      <c r="G31" s="83"/>
      <c r="H31" s="83"/>
      <c r="I31" s="83"/>
      <c r="J31" s="83"/>
      <c r="K31" s="83"/>
      <c r="L31" s="83"/>
      <c r="M31" s="79"/>
      <c r="N31" s="79"/>
      <c r="O31" s="79"/>
    </row>
    <row r="32" spans="2:17" x14ac:dyDescent="0.4">
      <c r="B32" s="79"/>
      <c r="C32" s="79"/>
      <c r="D32" s="79"/>
      <c r="E32" s="79"/>
      <c r="F32" s="79"/>
      <c r="G32" s="79"/>
      <c r="H32" s="79"/>
      <c r="I32" s="79"/>
      <c r="J32" s="79"/>
      <c r="K32" s="79"/>
      <c r="L32" s="79"/>
      <c r="M32" s="79"/>
      <c r="N32" s="79"/>
      <c r="O32" s="79"/>
    </row>
    <row r="33" spans="2:15" x14ac:dyDescent="0.4">
      <c r="B33" s="79"/>
      <c r="C33" s="79"/>
      <c r="D33" s="79"/>
      <c r="E33" s="79"/>
      <c r="F33" s="79"/>
      <c r="G33" s="79"/>
      <c r="H33" s="79"/>
      <c r="I33" s="79"/>
      <c r="J33" s="79"/>
      <c r="K33" s="79"/>
      <c r="L33" s="79"/>
      <c r="M33" s="79"/>
      <c r="N33" s="79"/>
      <c r="O33" s="79"/>
    </row>
    <row r="34" spans="2:15" x14ac:dyDescent="0.4">
      <c r="B34" s="79"/>
      <c r="C34" s="79"/>
      <c r="D34" s="79"/>
      <c r="E34" s="79"/>
      <c r="F34" s="79"/>
      <c r="G34" s="79"/>
      <c r="H34" s="79"/>
      <c r="I34" s="79"/>
      <c r="J34" s="79"/>
      <c r="K34" s="79"/>
      <c r="L34" s="79"/>
      <c r="M34" s="79"/>
      <c r="N34" s="79"/>
      <c r="O34" s="79"/>
    </row>
    <row r="35" spans="2:15" ht="20.399999999999999" x14ac:dyDescent="0.45">
      <c r="B35" s="92" t="s">
        <v>5</v>
      </c>
      <c r="C35" s="92"/>
      <c r="D35" s="92"/>
      <c r="E35" s="79"/>
      <c r="F35" s="79"/>
      <c r="G35" s="79"/>
      <c r="H35" s="79"/>
      <c r="I35" s="79"/>
      <c r="J35" s="79"/>
      <c r="K35" s="79"/>
      <c r="L35" s="79"/>
      <c r="M35" s="79"/>
      <c r="N35" s="79"/>
      <c r="O35" s="79"/>
    </row>
    <row r="36" spans="2:15" x14ac:dyDescent="0.4">
      <c r="B36" s="79"/>
      <c r="C36" s="79"/>
      <c r="D36" s="79"/>
      <c r="E36" s="79"/>
      <c r="F36" s="79"/>
      <c r="G36" s="79"/>
      <c r="H36" s="79"/>
      <c r="I36" s="79"/>
      <c r="J36" s="79"/>
      <c r="K36" s="79"/>
      <c r="L36" s="79"/>
      <c r="M36" s="79"/>
      <c r="N36" s="79"/>
      <c r="O36" s="79"/>
    </row>
    <row r="37" spans="2:15" x14ac:dyDescent="0.4">
      <c r="B37" s="93" t="s">
        <v>167</v>
      </c>
      <c r="C37" s="79"/>
      <c r="D37" s="79"/>
      <c r="E37" s="79"/>
      <c r="F37" s="79"/>
      <c r="G37" s="79"/>
      <c r="H37" s="79"/>
      <c r="I37" s="79"/>
      <c r="J37" s="79"/>
      <c r="K37" s="79"/>
      <c r="L37" s="79"/>
      <c r="M37" s="79"/>
      <c r="N37" s="79"/>
      <c r="O37" s="79"/>
    </row>
    <row r="38" spans="2:15" x14ac:dyDescent="0.4">
      <c r="B38" s="268" t="s">
        <v>171</v>
      </c>
      <c r="C38" s="268"/>
      <c r="D38" s="79"/>
      <c r="E38" s="79"/>
      <c r="F38" s="79"/>
      <c r="G38" s="79"/>
      <c r="H38" s="79"/>
      <c r="I38" s="79"/>
      <c r="J38" s="79"/>
      <c r="K38" s="79"/>
      <c r="L38" s="79"/>
      <c r="M38" s="79"/>
      <c r="N38" s="79"/>
      <c r="O38" s="79"/>
    </row>
    <row r="39" spans="2:15" x14ac:dyDescent="0.4">
      <c r="B39" s="94" t="s">
        <v>168</v>
      </c>
      <c r="C39" s="95" t="s">
        <v>175</v>
      </c>
      <c r="D39" s="79"/>
      <c r="E39" s="79"/>
      <c r="F39" s="79"/>
      <c r="G39" s="79"/>
      <c r="H39" s="79"/>
      <c r="I39" s="79"/>
      <c r="J39" s="79"/>
      <c r="K39" s="79"/>
      <c r="L39" s="79"/>
      <c r="M39" s="79"/>
      <c r="N39" s="79"/>
      <c r="O39" s="79"/>
    </row>
    <row r="40" spans="2:15" x14ac:dyDescent="0.4">
      <c r="B40" s="94" t="s">
        <v>173</v>
      </c>
      <c r="C40" s="95" t="s">
        <v>174</v>
      </c>
      <c r="D40" s="79"/>
      <c r="E40" s="79"/>
      <c r="F40" s="79"/>
      <c r="G40" s="79"/>
      <c r="H40" s="79"/>
      <c r="I40" s="79"/>
      <c r="J40" s="79"/>
      <c r="K40" s="79"/>
      <c r="L40" s="79"/>
      <c r="M40" s="79"/>
      <c r="N40" s="79"/>
      <c r="O40" s="79"/>
    </row>
    <row r="41" spans="2:15" x14ac:dyDescent="0.4">
      <c r="B41" s="95" t="s">
        <v>176</v>
      </c>
      <c r="C41" s="79"/>
      <c r="D41" s="79"/>
      <c r="E41" s="79"/>
      <c r="F41" s="79"/>
      <c r="G41" s="79"/>
      <c r="H41" s="79"/>
      <c r="I41" s="79"/>
      <c r="J41" s="79"/>
      <c r="K41" s="79"/>
      <c r="L41" s="79"/>
      <c r="M41" s="79"/>
      <c r="N41" s="79"/>
      <c r="O41" s="79"/>
    </row>
    <row r="42" spans="2:15" x14ac:dyDescent="0.4">
      <c r="B42" s="95" t="s">
        <v>177</v>
      </c>
      <c r="C42" s="79"/>
      <c r="D42" s="79"/>
      <c r="E42" s="79"/>
      <c r="F42" s="79"/>
      <c r="G42" s="79"/>
      <c r="H42" s="79"/>
      <c r="I42" s="79"/>
      <c r="J42" s="79"/>
      <c r="K42" s="79"/>
      <c r="L42" s="79"/>
      <c r="M42" s="79"/>
      <c r="N42" s="79"/>
      <c r="O42" s="79"/>
    </row>
    <row r="43" spans="2:15" x14ac:dyDescent="0.4">
      <c r="B43" s="94" t="s">
        <v>169</v>
      </c>
      <c r="C43" s="95" t="s">
        <v>214</v>
      </c>
      <c r="D43" s="79"/>
      <c r="E43" s="79"/>
      <c r="F43" s="79"/>
      <c r="G43" s="79"/>
      <c r="H43" s="79"/>
      <c r="I43" s="79"/>
      <c r="J43" s="79"/>
      <c r="K43" s="79"/>
      <c r="L43" s="79"/>
      <c r="M43" s="79"/>
      <c r="N43" s="79"/>
      <c r="O43" s="79"/>
    </row>
    <row r="44" spans="2:15" x14ac:dyDescent="0.4">
      <c r="B44" s="95" t="s">
        <v>215</v>
      </c>
      <c r="C44" s="95"/>
      <c r="D44" s="79"/>
      <c r="E44" s="79"/>
      <c r="F44" s="79"/>
      <c r="G44" s="79"/>
      <c r="H44" s="79"/>
      <c r="I44" s="79"/>
      <c r="J44" s="79"/>
      <c r="K44" s="79"/>
      <c r="L44" s="79"/>
      <c r="M44" s="79"/>
      <c r="N44" s="79"/>
      <c r="O44" s="79"/>
    </row>
    <row r="45" spans="2:15" x14ac:dyDescent="0.4">
      <c r="B45" s="95" t="s">
        <v>170</v>
      </c>
      <c r="C45" s="79"/>
      <c r="D45" s="79"/>
      <c r="E45" s="79"/>
      <c r="F45" s="79"/>
      <c r="G45" s="79"/>
      <c r="H45" s="95" t="s">
        <v>191</v>
      </c>
      <c r="I45" s="79"/>
      <c r="J45" s="79"/>
      <c r="K45" s="79"/>
      <c r="L45" s="79"/>
      <c r="M45" s="79"/>
      <c r="N45" s="79"/>
      <c r="O45" s="79"/>
    </row>
    <row r="46" spans="2:15" x14ac:dyDescent="0.4">
      <c r="B46" s="268" t="s">
        <v>172</v>
      </c>
      <c r="C46" s="268"/>
      <c r="D46" s="79"/>
      <c r="E46" s="79"/>
      <c r="F46" s="79"/>
      <c r="G46" s="79"/>
      <c r="H46" s="79"/>
      <c r="I46" s="79"/>
      <c r="J46" s="79"/>
      <c r="K46" s="79"/>
      <c r="L46" s="79"/>
      <c r="M46" s="79"/>
      <c r="N46" s="79"/>
      <c r="O46" s="79"/>
    </row>
    <row r="47" spans="2:15" x14ac:dyDescent="0.4">
      <c r="B47" s="94" t="s">
        <v>168</v>
      </c>
      <c r="C47" s="95" t="s">
        <v>216</v>
      </c>
      <c r="D47" s="79"/>
      <c r="E47" s="79"/>
      <c r="F47" s="79"/>
      <c r="G47" s="79"/>
      <c r="H47" s="79"/>
      <c r="I47" s="79"/>
      <c r="J47" s="79"/>
      <c r="K47" s="79"/>
      <c r="L47" s="79"/>
      <c r="M47" s="79"/>
      <c r="N47" s="79"/>
      <c r="O47" s="79"/>
    </row>
    <row r="48" spans="2:15" x14ac:dyDescent="0.4">
      <c r="B48" s="94" t="s">
        <v>173</v>
      </c>
      <c r="C48" s="95" t="s">
        <v>182</v>
      </c>
      <c r="D48" s="79"/>
      <c r="E48" s="79"/>
      <c r="F48" s="79"/>
      <c r="G48" s="79"/>
      <c r="H48" s="79"/>
      <c r="I48" s="79"/>
      <c r="J48" s="79"/>
      <c r="K48" s="79"/>
      <c r="L48" s="79"/>
      <c r="M48" s="79"/>
      <c r="N48" s="79"/>
      <c r="O48" s="79"/>
    </row>
    <row r="49" spans="2:15" x14ac:dyDescent="0.4">
      <c r="B49" s="94"/>
      <c r="C49" s="95" t="s">
        <v>183</v>
      </c>
      <c r="D49" s="79"/>
      <c r="E49" s="79"/>
      <c r="F49" s="79"/>
      <c r="G49" s="79"/>
      <c r="H49" s="79"/>
      <c r="I49" s="79"/>
      <c r="J49" s="79"/>
      <c r="K49" s="79"/>
      <c r="L49" s="79"/>
      <c r="M49" s="79"/>
      <c r="N49" s="79"/>
      <c r="O49" s="79"/>
    </row>
    <row r="50" spans="2:15" x14ac:dyDescent="0.4">
      <c r="B50" s="94" t="s">
        <v>169</v>
      </c>
      <c r="C50" s="95" t="s">
        <v>178</v>
      </c>
      <c r="D50" s="79"/>
      <c r="E50" s="79"/>
      <c r="F50" s="79"/>
      <c r="G50" s="79"/>
      <c r="H50" s="79"/>
      <c r="I50" s="79"/>
      <c r="J50" s="79"/>
      <c r="K50" s="79"/>
      <c r="L50" s="79"/>
      <c r="M50" s="79"/>
      <c r="N50" s="79"/>
      <c r="O50" s="79"/>
    </row>
    <row r="51" spans="2:15" x14ac:dyDescent="0.4">
      <c r="B51" s="79"/>
      <c r="C51" s="95" t="s">
        <v>179</v>
      </c>
      <c r="D51" s="79"/>
      <c r="E51" s="79"/>
      <c r="F51" s="79"/>
      <c r="G51" s="79"/>
      <c r="H51" s="79"/>
      <c r="I51" s="79"/>
      <c r="J51" s="79"/>
      <c r="K51" s="79"/>
      <c r="L51" s="79"/>
      <c r="M51" s="79"/>
      <c r="N51" s="79"/>
      <c r="O51" s="79"/>
    </row>
    <row r="52" spans="2:15" x14ac:dyDescent="0.4">
      <c r="B52" s="79"/>
      <c r="C52" s="95" t="s">
        <v>219</v>
      </c>
      <c r="D52" s="79"/>
      <c r="E52" s="79"/>
      <c r="F52" s="79"/>
      <c r="G52" s="79"/>
      <c r="H52" s="79"/>
      <c r="I52" s="79"/>
      <c r="J52" s="79"/>
      <c r="K52" s="79"/>
      <c r="L52" s="79"/>
      <c r="M52" s="79"/>
      <c r="N52" s="79"/>
      <c r="O52" s="79"/>
    </row>
    <row r="53" spans="2:15" x14ac:dyDescent="0.4">
      <c r="B53" s="79"/>
      <c r="C53" s="95" t="s">
        <v>220</v>
      </c>
      <c r="D53" s="79"/>
      <c r="E53" s="79"/>
      <c r="F53" s="79"/>
      <c r="G53" s="79"/>
      <c r="H53" s="79"/>
      <c r="I53" s="79"/>
      <c r="J53" s="79"/>
      <c r="K53" s="79"/>
      <c r="L53" s="79"/>
      <c r="M53" s="79"/>
      <c r="N53" s="79"/>
      <c r="O53" s="79"/>
    </row>
    <row r="54" spans="2:15" x14ac:dyDescent="0.4">
      <c r="B54" s="79"/>
      <c r="C54" s="95" t="s">
        <v>180</v>
      </c>
      <c r="D54" s="79"/>
      <c r="E54" s="79"/>
      <c r="F54" s="79"/>
      <c r="G54" s="79"/>
      <c r="H54" s="79"/>
      <c r="I54" s="79"/>
      <c r="J54" s="79"/>
      <c r="K54" s="79"/>
      <c r="L54" s="79"/>
      <c r="M54" s="79"/>
      <c r="N54" s="79"/>
      <c r="O54" s="79"/>
    </row>
    <row r="55" spans="2:15" x14ac:dyDescent="0.4">
      <c r="B55" s="79"/>
      <c r="C55" s="95" t="s">
        <v>181</v>
      </c>
      <c r="D55" s="79"/>
      <c r="E55" s="79"/>
      <c r="F55" s="79"/>
      <c r="G55" s="79"/>
      <c r="H55" s="79"/>
      <c r="I55" s="79"/>
      <c r="J55" s="79"/>
      <c r="K55" s="79"/>
      <c r="L55" s="79"/>
      <c r="M55" s="79"/>
      <c r="N55" s="79"/>
      <c r="O55" s="79"/>
    </row>
    <row r="56" spans="2:15" x14ac:dyDescent="0.4">
      <c r="B56" s="79"/>
      <c r="C56" s="95" t="s">
        <v>194</v>
      </c>
      <c r="D56" s="79"/>
      <c r="E56" s="79"/>
      <c r="F56" s="79"/>
      <c r="G56" s="79"/>
      <c r="H56" s="79"/>
      <c r="I56" s="79"/>
      <c r="J56" s="79"/>
      <c r="K56" s="79"/>
      <c r="L56" s="79"/>
      <c r="M56" s="79"/>
      <c r="N56" s="79"/>
      <c r="O56" s="79"/>
    </row>
    <row r="57" spans="2:15" x14ac:dyDescent="0.4">
      <c r="B57" s="79"/>
      <c r="C57" s="95" t="s">
        <v>184</v>
      </c>
      <c r="D57" s="79"/>
      <c r="E57" s="79"/>
      <c r="F57" s="79"/>
      <c r="G57" s="79"/>
      <c r="H57" s="79"/>
      <c r="I57" s="79"/>
      <c r="J57" s="79"/>
      <c r="K57" s="79"/>
      <c r="L57" s="79"/>
      <c r="M57" s="79"/>
      <c r="N57" s="79"/>
      <c r="O57" s="79"/>
    </row>
    <row r="58" spans="2:15" x14ac:dyDescent="0.4">
      <c r="B58" s="79"/>
      <c r="C58" s="95" t="s">
        <v>185</v>
      </c>
      <c r="D58" s="79"/>
      <c r="E58" s="79"/>
      <c r="F58" s="79"/>
      <c r="G58" s="79"/>
      <c r="H58" s="79"/>
      <c r="I58" s="79"/>
      <c r="J58" s="79"/>
      <c r="K58" s="79"/>
      <c r="L58" s="79"/>
      <c r="M58" s="79"/>
      <c r="N58" s="79"/>
      <c r="O58" s="79"/>
    </row>
    <row r="59" spans="2:15" x14ac:dyDescent="0.4">
      <c r="B59" s="103" t="s">
        <v>204</v>
      </c>
      <c r="C59" s="95"/>
      <c r="D59" s="79"/>
      <c r="E59" s="102" t="s">
        <v>205</v>
      </c>
      <c r="F59" s="79"/>
      <c r="G59" s="79"/>
      <c r="H59" s="79"/>
      <c r="I59" s="79"/>
      <c r="J59" s="79"/>
      <c r="K59" s="79"/>
      <c r="L59" s="79"/>
      <c r="M59" s="79"/>
      <c r="N59" s="79"/>
      <c r="O59" s="79"/>
    </row>
    <row r="60" spans="2:15" x14ac:dyDescent="0.4">
      <c r="B60" s="103" t="s">
        <v>213</v>
      </c>
      <c r="C60" s="95"/>
      <c r="D60" s="79"/>
      <c r="E60" s="102"/>
      <c r="F60" s="79"/>
      <c r="G60" s="79"/>
      <c r="H60" s="79"/>
      <c r="I60" s="79"/>
      <c r="J60" s="79"/>
      <c r="K60" s="79"/>
      <c r="L60" s="79"/>
      <c r="M60" s="79"/>
      <c r="N60" s="79"/>
      <c r="O60" s="79"/>
    </row>
    <row r="61" spans="2:15" x14ac:dyDescent="0.4">
      <c r="B61" s="79"/>
      <c r="C61" s="95" t="s">
        <v>187</v>
      </c>
      <c r="D61" s="79"/>
      <c r="E61" s="79"/>
      <c r="F61" s="79"/>
      <c r="G61" s="79"/>
      <c r="H61" s="79"/>
      <c r="I61" s="79"/>
      <c r="J61" s="79"/>
      <c r="K61" s="79"/>
      <c r="L61" s="79"/>
      <c r="M61" s="79"/>
      <c r="N61" s="79"/>
      <c r="O61" s="79"/>
    </row>
    <row r="62" spans="2:15" x14ac:dyDescent="0.4">
      <c r="B62" s="79"/>
      <c r="C62" s="95" t="s">
        <v>221</v>
      </c>
      <c r="D62" s="79"/>
      <c r="E62" s="79"/>
      <c r="F62" s="79"/>
      <c r="G62" s="79"/>
      <c r="H62" s="79"/>
      <c r="I62" s="79"/>
      <c r="J62" s="79"/>
      <c r="K62" s="79"/>
      <c r="L62" s="79"/>
      <c r="M62" s="79"/>
      <c r="N62" s="79"/>
      <c r="O62" s="79"/>
    </row>
    <row r="63" spans="2:15" x14ac:dyDescent="0.4">
      <c r="B63" s="79"/>
      <c r="C63" s="95" t="s">
        <v>222</v>
      </c>
      <c r="D63" s="79"/>
      <c r="E63" s="79"/>
      <c r="F63" s="79"/>
      <c r="G63" s="79"/>
      <c r="H63" s="79"/>
      <c r="I63" s="79"/>
      <c r="J63" s="79"/>
      <c r="K63" s="79"/>
      <c r="L63" s="79"/>
      <c r="M63" s="79"/>
      <c r="N63" s="79"/>
      <c r="O63" s="79"/>
    </row>
    <row r="64" spans="2:15" x14ac:dyDescent="0.4">
      <c r="B64" s="268" t="s">
        <v>186</v>
      </c>
      <c r="C64" s="268"/>
      <c r="D64" s="268"/>
      <c r="E64" s="79"/>
      <c r="F64" s="79"/>
      <c r="G64" s="79"/>
      <c r="H64" s="79"/>
      <c r="I64" s="79"/>
      <c r="J64" s="79"/>
      <c r="K64" s="79"/>
      <c r="L64" s="79"/>
      <c r="M64" s="79"/>
      <c r="N64" s="79"/>
      <c r="O64" s="79"/>
    </row>
    <row r="65" spans="2:15" x14ac:dyDescent="0.4">
      <c r="B65" s="94" t="s">
        <v>168</v>
      </c>
      <c r="C65" s="95" t="s">
        <v>217</v>
      </c>
      <c r="D65" s="79"/>
      <c r="E65" s="79"/>
      <c r="F65" s="79"/>
      <c r="G65" s="79"/>
      <c r="H65" s="79"/>
      <c r="I65" s="79"/>
      <c r="J65" s="79"/>
      <c r="K65" s="79"/>
      <c r="L65" s="79"/>
      <c r="M65" s="79"/>
      <c r="N65" s="79"/>
      <c r="O65" s="79"/>
    </row>
    <row r="66" spans="2:15" x14ac:dyDescent="0.4">
      <c r="B66" s="96" t="s">
        <v>173</v>
      </c>
      <c r="C66" s="95" t="s">
        <v>188</v>
      </c>
      <c r="D66" s="79"/>
      <c r="E66" s="79"/>
      <c r="F66" s="79"/>
      <c r="G66" s="79"/>
      <c r="H66" s="79"/>
      <c r="I66" s="79"/>
      <c r="J66" s="79"/>
      <c r="K66" s="79"/>
      <c r="L66" s="79"/>
      <c r="M66" s="79"/>
      <c r="N66" s="79"/>
      <c r="O66" s="79"/>
    </row>
    <row r="67" spans="2:15" x14ac:dyDescent="0.4">
      <c r="B67" s="268" t="s">
        <v>193</v>
      </c>
      <c r="C67" s="268"/>
      <c r="D67" s="268"/>
      <c r="E67" s="79"/>
      <c r="F67" s="79"/>
      <c r="G67" s="79"/>
      <c r="H67" s="79"/>
      <c r="I67" s="79"/>
      <c r="J67" s="79"/>
      <c r="K67" s="79"/>
      <c r="L67" s="79"/>
      <c r="M67" s="79"/>
      <c r="N67" s="79"/>
      <c r="O67" s="79"/>
    </row>
    <row r="68" spans="2:15" x14ac:dyDescent="0.4">
      <c r="B68" s="94" t="s">
        <v>189</v>
      </c>
      <c r="C68" s="95" t="s">
        <v>190</v>
      </c>
      <c r="D68" s="79"/>
      <c r="E68" s="79"/>
      <c r="F68" s="79"/>
      <c r="G68" s="79"/>
      <c r="H68" s="79"/>
      <c r="I68" s="79"/>
      <c r="J68" s="79"/>
      <c r="K68" s="79"/>
      <c r="L68" s="79"/>
      <c r="M68" s="79"/>
      <c r="N68" s="79"/>
      <c r="O68" s="79"/>
    </row>
    <row r="69" spans="2:15" x14ac:dyDescent="0.4">
      <c r="B69" s="96" t="s">
        <v>173</v>
      </c>
      <c r="C69" s="95" t="s">
        <v>218</v>
      </c>
      <c r="D69" s="79"/>
      <c r="E69" s="79"/>
      <c r="F69" s="79"/>
      <c r="G69" s="79"/>
      <c r="H69" s="79"/>
      <c r="I69" s="79"/>
      <c r="J69" s="79"/>
      <c r="K69" s="79"/>
      <c r="L69" s="79"/>
      <c r="M69" s="79"/>
      <c r="N69" s="79"/>
      <c r="O69" s="79"/>
    </row>
    <row r="70" spans="2:15" x14ac:dyDescent="0.4">
      <c r="B70" s="79"/>
      <c r="C70" s="95" t="s">
        <v>192</v>
      </c>
      <c r="D70" s="79"/>
      <c r="E70" s="79"/>
      <c r="F70" s="79"/>
      <c r="G70" s="79"/>
      <c r="H70" s="79"/>
      <c r="I70" s="79"/>
      <c r="J70" s="79"/>
      <c r="K70" s="79"/>
      <c r="L70" s="79"/>
      <c r="M70" s="79"/>
      <c r="N70" s="79"/>
      <c r="O70" s="79"/>
    </row>
    <row r="71" spans="2:15" x14ac:dyDescent="0.4">
      <c r="B71" s="79"/>
      <c r="C71" s="79"/>
      <c r="D71" s="79"/>
      <c r="E71" s="79"/>
      <c r="F71" s="79"/>
      <c r="G71" s="79"/>
      <c r="H71" s="79"/>
      <c r="I71" s="79"/>
      <c r="J71" s="79"/>
      <c r="K71" s="79"/>
      <c r="L71" s="79"/>
      <c r="M71" s="79"/>
      <c r="N71" s="79"/>
      <c r="O71" s="79"/>
    </row>
    <row r="72" spans="2:15" x14ac:dyDescent="0.4">
      <c r="B72" s="79"/>
      <c r="C72" s="79"/>
      <c r="D72" s="79"/>
      <c r="E72" s="79"/>
      <c r="F72" s="79"/>
      <c r="G72" s="79"/>
      <c r="H72" s="79"/>
      <c r="I72" s="79"/>
      <c r="J72" s="79"/>
      <c r="K72" s="79"/>
      <c r="L72" s="79"/>
      <c r="M72" s="79"/>
      <c r="N72" s="79"/>
      <c r="O72" s="79"/>
    </row>
    <row r="73" spans="2:15" x14ac:dyDescent="0.4">
      <c r="B73" s="79"/>
      <c r="C73" s="79"/>
      <c r="D73" s="79"/>
      <c r="E73" s="79"/>
      <c r="F73" s="79"/>
      <c r="G73" s="79"/>
      <c r="H73" s="79"/>
      <c r="I73" s="79"/>
      <c r="J73" s="79"/>
      <c r="K73" s="79"/>
      <c r="L73" s="79"/>
      <c r="M73" s="79"/>
      <c r="N73" s="79"/>
      <c r="O73" s="79"/>
    </row>
    <row r="74" spans="2:15" x14ac:dyDescent="0.4">
      <c r="B74" s="79"/>
      <c r="C74" s="79"/>
      <c r="D74" s="79"/>
      <c r="E74" s="79"/>
      <c r="F74" s="79"/>
      <c r="G74" s="79"/>
      <c r="H74" s="79"/>
      <c r="I74" s="79"/>
      <c r="J74" s="79"/>
      <c r="K74" s="79"/>
      <c r="L74" s="79"/>
      <c r="M74" s="79"/>
      <c r="N74" s="79"/>
      <c r="O74" s="79"/>
    </row>
    <row r="75" spans="2:15" x14ac:dyDescent="0.4">
      <c r="B75" s="79"/>
      <c r="C75" s="79"/>
      <c r="D75" s="79"/>
      <c r="E75" s="79"/>
      <c r="F75" s="79"/>
      <c r="G75" s="79"/>
      <c r="H75" s="79"/>
      <c r="I75" s="79"/>
      <c r="J75" s="79"/>
      <c r="K75" s="79"/>
      <c r="L75" s="79"/>
      <c r="M75" s="79"/>
      <c r="N75" s="79"/>
      <c r="O75" s="79"/>
    </row>
  </sheetData>
  <mergeCells count="5">
    <mergeCell ref="B67:D67"/>
    <mergeCell ref="H23:I23"/>
    <mergeCell ref="B38:C38"/>
    <mergeCell ref="B46:C46"/>
    <mergeCell ref="B64:D6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2" r:id="rId4" name="Option Button 2">
              <controlPr locked="0" defaultSize="0" autoFill="0" autoLine="0" autoPict="0">
                <anchor moveWithCells="1">
                  <from>
                    <xdr:col>6</xdr:col>
                    <xdr:colOff>647700</xdr:colOff>
                    <xdr:row>19</xdr:row>
                    <xdr:rowOff>144780</xdr:rowOff>
                  </from>
                  <to>
                    <xdr:col>7</xdr:col>
                    <xdr:colOff>693420</xdr:colOff>
                    <xdr:row>21</xdr:row>
                    <xdr:rowOff>60960</xdr:rowOff>
                  </to>
                </anchor>
              </controlPr>
            </control>
          </mc:Choice>
        </mc:AlternateContent>
        <mc:AlternateContent xmlns:mc="http://schemas.openxmlformats.org/markup-compatibility/2006">
          <mc:Choice Requires="x14">
            <control shapeId="71683" r:id="rId5" name="Option Button 3">
              <controlPr locked="0" defaultSize="0" autoFill="0" autoLine="0" autoPict="0">
                <anchor moveWithCells="1">
                  <from>
                    <xdr:col>8</xdr:col>
                    <xdr:colOff>144780</xdr:colOff>
                    <xdr:row>19</xdr:row>
                    <xdr:rowOff>152400</xdr:rowOff>
                  </from>
                  <to>
                    <xdr:col>9</xdr:col>
                    <xdr:colOff>160020</xdr:colOff>
                    <xdr:row>21</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OFFSET(Valid!$A$1, 0, 0, COUNTA(Valid!$A$1:$B$53)-2, 1)</xm:f>
          </x14:formula1>
          <xm:sqref>H16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AI158"/>
  <sheetViews>
    <sheetView showGridLines="0" topLeftCell="B1" zoomScale="55" zoomScaleNormal="55" workbookViewId="0">
      <selection activeCell="Z44" sqref="Z44"/>
    </sheetView>
  </sheetViews>
  <sheetFormatPr defaultColWidth="9" defaultRowHeight="16.8" x14ac:dyDescent="0.4"/>
  <cols>
    <col min="1" max="2" width="9" style="47"/>
    <col min="3" max="3" width="20.21875" style="47" customWidth="1"/>
    <col min="4" max="4" width="16.109375" style="47" customWidth="1"/>
    <col min="5" max="5" width="17.21875" style="47" customWidth="1"/>
    <col min="6" max="6" width="13.6640625" style="47" bestFit="1" customWidth="1"/>
    <col min="7" max="7" width="12.6640625" style="47" customWidth="1"/>
    <col min="8" max="8" width="17.109375" style="47" customWidth="1"/>
    <col min="9" max="9" width="15.21875" style="47" customWidth="1"/>
    <col min="10" max="10" width="16.33203125" style="47" customWidth="1"/>
    <col min="11" max="11" width="12.88671875" style="47" bestFit="1" customWidth="1"/>
    <col min="12" max="12" width="12.88671875" style="47" customWidth="1"/>
    <col min="13" max="13" width="18.33203125" style="47" customWidth="1"/>
    <col min="14" max="14" width="14.109375" style="47" customWidth="1"/>
    <col min="15" max="15" width="18.109375" style="47" customWidth="1"/>
    <col min="16" max="16" width="12.88671875" style="47" bestFit="1" customWidth="1"/>
    <col min="17" max="17" width="14.33203125" style="47" customWidth="1"/>
    <col min="18" max="18" width="16.109375" style="47" customWidth="1"/>
    <col min="19" max="19" width="13.77734375" style="47" customWidth="1"/>
    <col min="20" max="20" width="16.77734375" style="47" customWidth="1"/>
    <col min="21" max="21" width="12.109375" style="47" customWidth="1"/>
    <col min="22" max="22" width="9.33203125" style="47" bestFit="1" customWidth="1"/>
    <col min="23" max="23" width="10.21875" style="47" bestFit="1" customWidth="1"/>
    <col min="24" max="25" width="9" style="47"/>
    <col min="26" max="26" width="10.21875" style="100" bestFit="1" customWidth="1"/>
    <col min="27" max="27" width="9" style="100"/>
    <col min="28" max="28" width="10.21875" style="47" bestFit="1" customWidth="1"/>
    <col min="29" max="16384" width="9" style="47"/>
  </cols>
  <sheetData>
    <row r="1" spans="3:35" x14ac:dyDescent="0.4">
      <c r="C1" s="44"/>
      <c r="D1" s="45"/>
      <c r="E1" s="45"/>
      <c r="F1" s="45"/>
      <c r="G1" s="45"/>
      <c r="H1" s="45"/>
      <c r="I1" s="45"/>
      <c r="J1" s="45"/>
      <c r="K1" s="45"/>
      <c r="L1" s="45"/>
      <c r="M1" s="45"/>
      <c r="N1" s="45"/>
      <c r="O1" s="45"/>
      <c r="P1" s="45"/>
      <c r="Q1" s="45"/>
      <c r="R1" s="45"/>
      <c r="S1" s="45"/>
      <c r="T1" s="45"/>
      <c r="U1" s="45"/>
      <c r="V1" s="46"/>
    </row>
    <row r="2" spans="3:35" x14ac:dyDescent="0.4">
      <c r="C2" s="48"/>
      <c r="D2" s="49"/>
      <c r="E2" s="49"/>
      <c r="F2" s="49"/>
      <c r="G2" s="49"/>
      <c r="H2" s="49"/>
      <c r="I2" s="49"/>
      <c r="J2" s="49"/>
      <c r="K2" s="49"/>
      <c r="L2" s="49"/>
      <c r="M2" s="49"/>
      <c r="N2" s="49"/>
      <c r="O2" s="49"/>
      <c r="P2" s="49"/>
      <c r="Q2" s="49"/>
      <c r="R2" s="49"/>
      <c r="S2" s="49"/>
      <c r="T2" s="49"/>
      <c r="U2" s="49"/>
      <c r="V2" s="50"/>
    </row>
    <row r="3" spans="3:35" x14ac:dyDescent="0.4">
      <c r="C3" s="48"/>
      <c r="D3" s="49"/>
      <c r="E3" s="49"/>
      <c r="F3" s="49"/>
      <c r="G3" s="49"/>
      <c r="H3" s="49"/>
      <c r="I3" s="49"/>
      <c r="J3" s="49"/>
      <c r="K3" s="49"/>
      <c r="L3" s="49"/>
      <c r="M3" s="49"/>
      <c r="N3" s="49"/>
      <c r="O3" s="49"/>
      <c r="P3" s="49"/>
      <c r="Q3" s="49"/>
      <c r="R3" s="49"/>
      <c r="S3" s="49"/>
      <c r="T3" s="49"/>
      <c r="U3" s="49"/>
      <c r="V3" s="50"/>
    </row>
    <row r="4" spans="3:35" x14ac:dyDescent="0.4">
      <c r="C4" s="48"/>
      <c r="D4" s="49"/>
      <c r="E4" s="49"/>
      <c r="F4" s="49"/>
      <c r="G4" s="49"/>
      <c r="H4" s="49"/>
      <c r="I4" s="49"/>
      <c r="J4" s="49"/>
      <c r="K4" s="49"/>
      <c r="L4" s="49"/>
      <c r="M4" s="49"/>
      <c r="N4" s="49"/>
      <c r="O4" s="49"/>
      <c r="P4" s="49"/>
      <c r="Q4" s="49"/>
      <c r="R4" s="49"/>
      <c r="S4" s="49"/>
      <c r="T4" s="49"/>
      <c r="U4" s="49"/>
      <c r="V4" s="50"/>
      <c r="AI4" s="100" t="e">
        <f>"ACCOUNT PLANING "&amp;$D$11&amp;" THỜI ĐIỂM "&amp;TEXT('TRANG CHU'!$H$18,"dd/mm/yyyy")</f>
        <v>#N/A</v>
      </c>
    </row>
    <row r="5" spans="3:35" ht="32.25" customHeight="1" x14ac:dyDescent="0.4">
      <c r="C5" s="326" t="s">
        <v>6</v>
      </c>
      <c r="D5" s="327"/>
      <c r="E5" s="327"/>
      <c r="F5" s="327"/>
      <c r="G5" s="327"/>
      <c r="H5" s="327"/>
      <c r="I5" s="327"/>
      <c r="J5" s="327"/>
      <c r="K5" s="327"/>
      <c r="L5" s="327"/>
      <c r="M5" s="327"/>
      <c r="N5" s="327"/>
      <c r="O5" s="327"/>
      <c r="P5" s="327"/>
      <c r="Q5" s="327"/>
      <c r="R5" s="327"/>
      <c r="S5" s="327"/>
      <c r="T5" s="327"/>
      <c r="U5" s="327"/>
      <c r="V5" s="328"/>
    </row>
    <row r="6" spans="3:35" ht="12.75" customHeight="1" x14ac:dyDescent="0.4">
      <c r="C6" s="48"/>
      <c r="D6" s="49"/>
      <c r="E6" s="49"/>
      <c r="F6" s="49"/>
      <c r="G6" s="49"/>
      <c r="H6" s="49"/>
      <c r="I6" s="49"/>
      <c r="J6" s="49"/>
      <c r="K6" s="49"/>
      <c r="L6" s="49"/>
      <c r="M6" s="49"/>
      <c r="N6" s="49"/>
      <c r="O6" s="49"/>
      <c r="P6" s="49"/>
      <c r="Q6" s="49"/>
      <c r="R6" s="49"/>
      <c r="S6" s="49"/>
      <c r="T6" s="49"/>
      <c r="U6" s="49"/>
      <c r="V6" s="50"/>
    </row>
    <row r="7" spans="3:35" ht="39.75" customHeight="1" x14ac:dyDescent="0.4">
      <c r="C7" s="1"/>
      <c r="D7" s="302">
        <f>IF('TRANG CHU'!G24="MST","-",'TRANG CHU'!H24)</f>
        <v>0</v>
      </c>
      <c r="E7" s="303"/>
      <c r="F7" s="2"/>
      <c r="G7" s="3"/>
      <c r="H7" s="4"/>
      <c r="I7" s="331" t="e">
        <f>Caculate!B6</f>
        <v>#N/A</v>
      </c>
      <c r="J7" s="332"/>
      <c r="K7" s="42"/>
      <c r="L7" s="3"/>
      <c r="M7" s="5"/>
      <c r="N7" s="334" t="e">
        <f>Caculate!B9</f>
        <v>#N/A</v>
      </c>
      <c r="O7" s="335"/>
      <c r="P7" s="42"/>
      <c r="Q7" s="49"/>
      <c r="R7" s="296"/>
      <c r="S7" s="297"/>
      <c r="T7" s="298" t="e">
        <f>Caculate!B12</f>
        <v>#N/A</v>
      </c>
      <c r="U7" s="299"/>
      <c r="V7" s="6"/>
    </row>
    <row r="8" spans="3:35" ht="19.2" x14ac:dyDescent="0.45">
      <c r="C8" s="7"/>
      <c r="D8" s="3"/>
      <c r="E8" s="3"/>
      <c r="F8" s="3"/>
      <c r="G8" s="3"/>
      <c r="H8" s="8"/>
      <c r="I8" s="3"/>
      <c r="J8" s="3"/>
      <c r="K8" s="3"/>
      <c r="L8" s="3"/>
      <c r="M8" s="9"/>
      <c r="N8" s="3"/>
      <c r="O8" s="3"/>
      <c r="P8" s="3"/>
      <c r="Q8" s="49"/>
      <c r="R8" s="49"/>
      <c r="S8" s="49"/>
      <c r="T8" s="49"/>
      <c r="U8" s="49"/>
      <c r="V8" s="50"/>
    </row>
    <row r="9" spans="3:35" ht="37.5" customHeight="1" x14ac:dyDescent="0.4">
      <c r="C9" s="1"/>
      <c r="D9" s="304" t="e">
        <f>Caculate!B4</f>
        <v>#N/A</v>
      </c>
      <c r="E9" s="305"/>
      <c r="F9" s="2"/>
      <c r="G9" s="3"/>
      <c r="H9" s="10"/>
      <c r="I9" s="331" t="e">
        <f>Caculate!B7</f>
        <v>#N/A</v>
      </c>
      <c r="J9" s="332"/>
      <c r="K9" s="42"/>
      <c r="L9" s="3"/>
      <c r="M9" s="5"/>
      <c r="N9" s="334" t="e">
        <f>Caculate!B10</f>
        <v>#N/A</v>
      </c>
      <c r="O9" s="335"/>
      <c r="P9" s="43"/>
      <c r="Q9" s="49"/>
      <c r="R9" s="237"/>
      <c r="S9" s="49"/>
      <c r="T9" s="306" t="e">
        <f>Caculate!B13</f>
        <v>#N/A</v>
      </c>
      <c r="U9" s="307"/>
      <c r="V9" s="50"/>
    </row>
    <row r="10" spans="3:35" ht="19.2" x14ac:dyDescent="0.45">
      <c r="C10" s="7"/>
      <c r="D10" s="3"/>
      <c r="E10" s="3"/>
      <c r="F10" s="3"/>
      <c r="G10" s="3"/>
      <c r="H10" s="8"/>
      <c r="I10" s="3"/>
      <c r="J10" s="3"/>
      <c r="K10" s="3"/>
      <c r="L10" s="3"/>
      <c r="M10" s="9"/>
      <c r="N10" s="3"/>
      <c r="O10" s="3"/>
      <c r="P10" s="3"/>
      <c r="Q10" s="49"/>
      <c r="R10" s="49"/>
      <c r="S10" s="49"/>
      <c r="T10" s="49"/>
      <c r="U10" s="49"/>
      <c r="V10" s="50"/>
    </row>
    <row r="11" spans="3:35" ht="41.25" customHeight="1" x14ac:dyDescent="0.4">
      <c r="C11" s="1"/>
      <c r="D11" s="336" t="e">
        <f>Caculate!B5</f>
        <v>#N/A</v>
      </c>
      <c r="E11" s="337"/>
      <c r="F11" s="11"/>
      <c r="G11" s="3"/>
      <c r="H11" s="37"/>
      <c r="I11" s="298" t="e">
        <f>Caculate!B8</f>
        <v>#N/A</v>
      </c>
      <c r="J11" s="333"/>
      <c r="K11" s="42"/>
      <c r="L11" s="3"/>
      <c r="M11" s="5"/>
      <c r="N11" s="304" t="e">
        <f>Caculate!B11</f>
        <v>#N/A</v>
      </c>
      <c r="O11" s="305"/>
      <c r="P11" s="42"/>
      <c r="Q11" s="49"/>
      <c r="R11" s="49"/>
      <c r="S11" s="49"/>
      <c r="T11" s="49"/>
      <c r="U11" s="49"/>
      <c r="V11" s="50"/>
      <c r="Z11" s="256"/>
    </row>
    <row r="12" spans="3:35" x14ac:dyDescent="0.4">
      <c r="C12" s="48"/>
      <c r="D12" s="49"/>
      <c r="E12" s="49"/>
      <c r="F12" s="49"/>
      <c r="G12" s="49"/>
      <c r="H12" s="49"/>
      <c r="I12" s="49"/>
      <c r="J12" s="49"/>
      <c r="K12" s="49"/>
      <c r="L12" s="49"/>
      <c r="M12" s="49"/>
      <c r="N12" s="49"/>
      <c r="O12" s="49"/>
      <c r="P12" s="49"/>
      <c r="Q12" s="49"/>
      <c r="R12" s="49"/>
      <c r="S12" s="49"/>
      <c r="T12" s="49"/>
      <c r="U12" s="49"/>
      <c r="V12" s="50"/>
      <c r="Z12" s="256"/>
    </row>
    <row r="13" spans="3:35" x14ac:dyDescent="0.4">
      <c r="C13" s="48"/>
      <c r="D13" s="49"/>
      <c r="E13" s="49"/>
      <c r="F13" s="49"/>
      <c r="G13" s="49"/>
      <c r="H13" s="49"/>
      <c r="I13" s="49"/>
      <c r="J13" s="49"/>
      <c r="K13" s="49"/>
      <c r="L13" s="49"/>
      <c r="M13" s="49"/>
      <c r="N13" s="49"/>
      <c r="O13" s="49"/>
      <c r="P13" s="49"/>
      <c r="Q13" s="49"/>
      <c r="R13" s="49"/>
      <c r="S13" s="49"/>
      <c r="T13" s="49"/>
      <c r="U13" s="49"/>
      <c r="V13" s="50"/>
      <c r="Z13" s="256"/>
    </row>
    <row r="14" spans="3:35" ht="18" customHeight="1" x14ac:dyDescent="0.4">
      <c r="C14" s="48"/>
      <c r="D14" s="49"/>
      <c r="E14" s="49"/>
      <c r="F14" s="49"/>
      <c r="G14" s="49"/>
      <c r="H14" s="49"/>
      <c r="I14" s="49"/>
      <c r="J14" s="49"/>
      <c r="K14" s="49"/>
      <c r="L14" s="49"/>
      <c r="M14" s="49"/>
      <c r="N14" s="49"/>
      <c r="O14" s="49"/>
      <c r="P14" s="49"/>
      <c r="Q14" s="49"/>
      <c r="R14" s="49"/>
      <c r="S14" s="49"/>
      <c r="T14" s="49"/>
      <c r="U14" s="49"/>
      <c r="V14" s="50"/>
      <c r="Z14" s="256"/>
    </row>
    <row r="15" spans="3:35" ht="33" customHeight="1" thickBot="1" x14ac:dyDescent="0.45">
      <c r="C15" s="314" t="s">
        <v>12019</v>
      </c>
      <c r="D15" s="315"/>
      <c r="E15" s="315"/>
      <c r="F15" s="315"/>
      <c r="G15" s="315"/>
      <c r="H15" s="315"/>
      <c r="I15" s="315"/>
      <c r="J15" s="315"/>
      <c r="K15" s="315"/>
      <c r="L15" s="315"/>
      <c r="M15" s="315"/>
      <c r="N15" s="315"/>
      <c r="O15" s="315"/>
      <c r="P15" s="315"/>
      <c r="Q15" s="315"/>
      <c r="R15" s="315"/>
      <c r="S15" s="315"/>
      <c r="T15" s="315"/>
      <c r="U15" s="315"/>
      <c r="V15" s="316"/>
      <c r="Z15" s="256"/>
    </row>
    <row r="16" spans="3:35" ht="28.2" thickTop="1" thickBot="1" x14ac:dyDescent="0.45">
      <c r="C16" s="272" t="s">
        <v>7</v>
      </c>
      <c r="D16" s="273"/>
      <c r="E16" s="273"/>
      <c r="F16" s="273"/>
      <c r="G16" s="273"/>
      <c r="H16" s="273"/>
      <c r="I16" s="273"/>
      <c r="J16" s="274"/>
      <c r="K16" s="294" t="s">
        <v>11</v>
      </c>
      <c r="L16" s="273"/>
      <c r="M16" s="273"/>
      <c r="N16" s="273"/>
      <c r="O16" s="273"/>
      <c r="P16" s="273"/>
      <c r="Q16" s="273"/>
      <c r="R16" s="273"/>
      <c r="S16" s="273"/>
      <c r="T16" s="273"/>
      <c r="U16" s="273"/>
      <c r="V16" s="295"/>
      <c r="Z16" s="256"/>
    </row>
    <row r="17" spans="3:26" ht="17.399999999999999" thickTop="1" x14ac:dyDescent="0.4">
      <c r="C17" s="223"/>
      <c r="D17" s="190"/>
      <c r="E17" s="190"/>
      <c r="F17" s="190"/>
      <c r="G17" s="190"/>
      <c r="H17" s="190"/>
      <c r="I17" s="190"/>
      <c r="J17" s="190"/>
      <c r="K17" s="190"/>
      <c r="L17" s="190"/>
      <c r="M17" s="190"/>
      <c r="N17" s="190"/>
      <c r="O17" s="190"/>
      <c r="P17" s="190"/>
      <c r="Q17" s="190"/>
      <c r="R17" s="190"/>
      <c r="S17" s="190"/>
      <c r="T17" s="190"/>
      <c r="U17" s="190"/>
      <c r="V17" s="224"/>
    </row>
    <row r="18" spans="3:26" ht="40.5" customHeight="1" x14ac:dyDescent="0.4">
      <c r="C18" s="300" t="s">
        <v>8</v>
      </c>
      <c r="D18" s="301"/>
      <c r="E18" s="301"/>
      <c r="F18" s="301"/>
      <c r="G18" s="301"/>
      <c r="H18" s="301"/>
      <c r="I18" s="301"/>
      <c r="J18" s="190"/>
      <c r="K18" s="190"/>
      <c r="L18" s="190"/>
      <c r="M18" s="308" t="s">
        <v>47</v>
      </c>
      <c r="N18" s="308"/>
      <c r="O18" s="308"/>
      <c r="P18" s="308"/>
      <c r="Q18" s="308"/>
      <c r="R18" s="308"/>
      <c r="S18" s="308"/>
      <c r="T18" s="190"/>
      <c r="U18" s="190"/>
      <c r="V18" s="224"/>
      <c r="W18" s="51"/>
    </row>
    <row r="19" spans="3:26" ht="39" customHeight="1" x14ac:dyDescent="0.45">
      <c r="C19" s="270" t="s">
        <v>282</v>
      </c>
      <c r="D19" s="271"/>
      <c r="E19" s="309" t="str">
        <f>TEXT(EOMONTH(DATE(YEAR('TRANG CHU'!H18)-2,1,1),11),"dd/mm/yyyy")</f>
        <v>31/12/2023</v>
      </c>
      <c r="F19" s="309"/>
      <c r="G19" s="225"/>
      <c r="H19" s="309" t="str">
        <f>TEXT(EOMONTH(DATE(YEAR('TRANG CHU'!H18)-1,1,1),11),"dd/mm/yyyy")</f>
        <v>31/12/2024</v>
      </c>
      <c r="I19" s="309"/>
      <c r="J19" s="190"/>
      <c r="K19" s="190"/>
      <c r="L19" s="190"/>
      <c r="M19" s="190"/>
      <c r="N19" s="190"/>
      <c r="O19" s="190"/>
      <c r="P19" s="190"/>
      <c r="Q19" s="190"/>
      <c r="R19" s="190"/>
      <c r="S19" s="190"/>
      <c r="T19" s="190"/>
      <c r="U19" s="190"/>
      <c r="V19" s="224"/>
    </row>
    <row r="20" spans="3:26" ht="39.75" customHeight="1" x14ac:dyDescent="0.4">
      <c r="C20" s="270" t="s">
        <v>10</v>
      </c>
      <c r="D20" s="271"/>
      <c r="E20" s="275"/>
      <c r="F20" s="276"/>
      <c r="G20" s="144"/>
      <c r="H20" s="275"/>
      <c r="I20" s="276"/>
      <c r="J20" s="190"/>
      <c r="K20" s="190"/>
      <c r="L20" s="190"/>
      <c r="M20" s="226"/>
      <c r="N20" s="226"/>
      <c r="O20" s="190"/>
      <c r="P20" s="190"/>
      <c r="Q20" s="275"/>
      <c r="R20" s="276"/>
      <c r="S20" s="227"/>
      <c r="T20" s="190"/>
      <c r="U20" s="190"/>
      <c r="V20" s="224"/>
      <c r="Z20" s="263"/>
    </row>
    <row r="21" spans="3:26" ht="42" customHeight="1" x14ac:dyDescent="0.4">
      <c r="C21" s="270" t="s">
        <v>206</v>
      </c>
      <c r="D21" s="271"/>
      <c r="E21" s="275"/>
      <c r="F21" s="276"/>
      <c r="G21" s="144"/>
      <c r="H21" s="275"/>
      <c r="I21" s="276"/>
      <c r="J21" s="190"/>
      <c r="K21" s="190"/>
      <c r="L21" s="190"/>
      <c r="M21" s="226"/>
      <c r="N21" s="226"/>
      <c r="O21" s="190"/>
      <c r="P21" s="190"/>
      <c r="Q21" s="190"/>
      <c r="R21" s="190"/>
      <c r="S21" s="190"/>
      <c r="T21" s="190"/>
      <c r="U21" s="190"/>
      <c r="V21" s="224"/>
    </row>
    <row r="22" spans="3:26" ht="38.25" customHeight="1" x14ac:dyDescent="0.4">
      <c r="C22" s="270" t="s">
        <v>9</v>
      </c>
      <c r="D22" s="271"/>
      <c r="E22" s="275"/>
      <c r="F22" s="276"/>
      <c r="G22" s="144"/>
      <c r="H22" s="275"/>
      <c r="I22" s="276"/>
      <c r="J22" s="190"/>
      <c r="K22" s="190"/>
      <c r="L22" s="190"/>
      <c r="M22" s="228"/>
      <c r="N22" s="228"/>
      <c r="O22" s="190"/>
      <c r="P22" s="190"/>
      <c r="Q22" s="275"/>
      <c r="R22" s="276"/>
      <c r="S22" s="75"/>
      <c r="T22" s="190"/>
      <c r="U22" s="190"/>
      <c r="V22" s="224"/>
    </row>
    <row r="23" spans="3:26" ht="46.5" customHeight="1" x14ac:dyDescent="0.4">
      <c r="C23" s="270" t="s">
        <v>207</v>
      </c>
      <c r="D23" s="271"/>
      <c r="E23" s="275"/>
      <c r="F23" s="276"/>
      <c r="G23" s="144"/>
      <c r="H23" s="275"/>
      <c r="I23" s="276"/>
      <c r="J23" s="190"/>
      <c r="K23" s="190"/>
      <c r="L23" s="190"/>
      <c r="M23" s="228"/>
      <c r="N23" s="228"/>
      <c r="O23" s="190"/>
      <c r="P23" s="190"/>
      <c r="Q23" s="190"/>
      <c r="R23" s="190"/>
      <c r="S23" s="190"/>
      <c r="T23" s="190"/>
      <c r="U23" s="190"/>
      <c r="V23" s="224"/>
    </row>
    <row r="24" spans="3:26" ht="45.75" customHeight="1" x14ac:dyDescent="0.4">
      <c r="C24" s="270" t="s">
        <v>208</v>
      </c>
      <c r="D24" s="271"/>
      <c r="E24" s="275"/>
      <c r="F24" s="276"/>
      <c r="G24" s="144"/>
      <c r="H24" s="275"/>
      <c r="I24" s="276"/>
      <c r="J24" s="190"/>
      <c r="K24" s="190"/>
      <c r="L24" s="190"/>
      <c r="M24" s="190"/>
      <c r="N24" s="190"/>
      <c r="O24" s="190"/>
      <c r="P24" s="190"/>
      <c r="Q24" s="190"/>
      <c r="R24" s="190"/>
      <c r="S24" s="229"/>
      <c r="T24" s="190"/>
      <c r="U24" s="190"/>
      <c r="V24" s="224"/>
    </row>
    <row r="25" spans="3:26" ht="44.25" customHeight="1" x14ac:dyDescent="0.4">
      <c r="C25" s="270" t="s">
        <v>209</v>
      </c>
      <c r="D25" s="271"/>
      <c r="E25" s="275"/>
      <c r="F25" s="276"/>
      <c r="G25" s="144"/>
      <c r="H25" s="275"/>
      <c r="I25" s="276"/>
      <c r="J25" s="190"/>
      <c r="K25" s="190"/>
      <c r="L25" s="190"/>
      <c r="M25" s="190"/>
      <c r="N25" s="190"/>
      <c r="O25" s="190"/>
      <c r="P25" s="190"/>
      <c r="Q25" s="190"/>
      <c r="R25" s="190"/>
      <c r="S25" s="190"/>
      <c r="T25" s="190"/>
      <c r="U25" s="190"/>
      <c r="V25" s="224"/>
      <c r="Y25" s="51"/>
    </row>
    <row r="26" spans="3:26" ht="44.25" customHeight="1" x14ac:dyDescent="0.4">
      <c r="C26" s="270" t="s">
        <v>210</v>
      </c>
      <c r="D26" s="271"/>
      <c r="E26" s="275"/>
      <c r="F26" s="276"/>
      <c r="G26" s="144"/>
      <c r="H26" s="275"/>
      <c r="I26" s="276"/>
      <c r="J26" s="190"/>
      <c r="K26" s="190"/>
      <c r="L26" s="190"/>
      <c r="M26" s="190"/>
      <c r="N26" s="190"/>
      <c r="O26" s="190"/>
      <c r="P26" s="190"/>
      <c r="Q26" s="190"/>
      <c r="R26" s="190"/>
      <c r="S26" s="190"/>
      <c r="T26" s="190"/>
      <c r="U26" s="190"/>
      <c r="V26" s="224"/>
    </row>
    <row r="27" spans="3:26" ht="40.5" customHeight="1" x14ac:dyDescent="0.4">
      <c r="C27" s="270" t="s">
        <v>211</v>
      </c>
      <c r="D27" s="271"/>
      <c r="E27" s="275"/>
      <c r="F27" s="276"/>
      <c r="G27" s="144"/>
      <c r="H27" s="275"/>
      <c r="I27" s="276"/>
      <c r="J27" s="190"/>
      <c r="K27" s="190"/>
      <c r="L27" s="190"/>
      <c r="M27" s="190"/>
      <c r="N27" s="190"/>
      <c r="O27" s="190"/>
      <c r="P27" s="190"/>
      <c r="Q27" s="190"/>
      <c r="R27" s="190"/>
      <c r="S27" s="190"/>
      <c r="T27" s="190"/>
      <c r="U27" s="190"/>
      <c r="V27" s="224"/>
    </row>
    <row r="28" spans="3:26" ht="40.5" customHeight="1" x14ac:dyDescent="0.4">
      <c r="C28" s="223"/>
      <c r="D28" s="190"/>
      <c r="E28" s="190"/>
      <c r="F28" s="190"/>
      <c r="G28" s="190"/>
      <c r="H28" s="190"/>
      <c r="I28" s="190"/>
      <c r="J28" s="190"/>
      <c r="K28" s="190"/>
      <c r="L28" s="190"/>
      <c r="M28" s="190"/>
      <c r="N28" s="190"/>
      <c r="O28" s="190"/>
      <c r="P28" s="190"/>
      <c r="Q28" s="190"/>
      <c r="R28" s="190"/>
      <c r="S28" s="190"/>
      <c r="T28" s="190"/>
      <c r="U28" s="190"/>
      <c r="V28" s="224"/>
    </row>
    <row r="29" spans="3:26" ht="28.5" customHeight="1" thickBot="1" x14ac:dyDescent="0.45">
      <c r="C29" s="314" t="s">
        <v>48</v>
      </c>
      <c r="D29" s="315"/>
      <c r="E29" s="315"/>
      <c r="F29" s="315"/>
      <c r="G29" s="315"/>
      <c r="H29" s="315"/>
      <c r="I29" s="315"/>
      <c r="J29" s="315"/>
      <c r="K29" s="315"/>
      <c r="L29" s="315"/>
      <c r="M29" s="315"/>
      <c r="N29" s="315"/>
      <c r="O29" s="315"/>
      <c r="P29" s="315"/>
      <c r="Q29" s="315"/>
      <c r="R29" s="315"/>
      <c r="S29" s="315"/>
      <c r="T29" s="315"/>
      <c r="U29" s="315"/>
      <c r="V29" s="316"/>
    </row>
    <row r="30" spans="3:26" ht="28.5" customHeight="1" thickTop="1" thickBot="1" x14ac:dyDescent="0.45">
      <c r="C30" s="272" t="s">
        <v>12</v>
      </c>
      <c r="D30" s="273"/>
      <c r="E30" s="273"/>
      <c r="F30" s="273"/>
      <c r="G30" s="273"/>
      <c r="H30" s="273"/>
      <c r="I30" s="273"/>
      <c r="J30" s="274"/>
      <c r="K30" s="294" t="s">
        <v>13</v>
      </c>
      <c r="L30" s="273"/>
      <c r="M30" s="273"/>
      <c r="N30" s="273"/>
      <c r="O30" s="273"/>
      <c r="P30" s="273"/>
      <c r="Q30" s="273"/>
      <c r="R30" s="273"/>
      <c r="S30" s="273"/>
      <c r="T30" s="273"/>
      <c r="U30" s="273"/>
      <c r="V30" s="295"/>
    </row>
    <row r="31" spans="3:26" ht="17.399999999999999" thickTop="1" x14ac:dyDescent="0.4">
      <c r="C31" s="223"/>
      <c r="D31" s="190"/>
      <c r="E31" s="190"/>
      <c r="F31" s="190"/>
      <c r="G31" s="190"/>
      <c r="H31" s="190"/>
      <c r="I31" s="230"/>
      <c r="J31" s="230"/>
      <c r="K31" s="230"/>
      <c r="L31" s="190"/>
      <c r="M31" s="190"/>
      <c r="N31" s="190"/>
      <c r="O31" s="190"/>
      <c r="P31" s="190"/>
      <c r="Q31" s="190"/>
      <c r="R31" s="190"/>
      <c r="S31" s="190"/>
      <c r="T31" s="190"/>
      <c r="U31" s="190"/>
      <c r="V31" s="224"/>
    </row>
    <row r="32" spans="3:26" x14ac:dyDescent="0.4">
      <c r="C32" s="223"/>
      <c r="D32" s="190"/>
      <c r="E32" s="190"/>
      <c r="F32" s="190"/>
      <c r="G32" s="190"/>
      <c r="H32" s="190"/>
      <c r="I32" s="190"/>
      <c r="J32" s="190"/>
      <c r="K32" s="190"/>
      <c r="L32" s="190"/>
      <c r="M32" s="190"/>
      <c r="N32" s="190"/>
      <c r="O32" s="190"/>
      <c r="P32" s="190"/>
      <c r="Q32" s="190"/>
      <c r="R32" s="190"/>
      <c r="S32" s="190"/>
      <c r="T32" s="190"/>
      <c r="U32" s="190"/>
      <c r="V32" s="224"/>
    </row>
    <row r="33" spans="3:22" ht="69.75" customHeight="1" x14ac:dyDescent="0.4">
      <c r="C33" s="223"/>
      <c r="D33" s="190"/>
      <c r="E33" s="190"/>
      <c r="F33" s="190"/>
      <c r="G33" s="190"/>
      <c r="H33" s="190"/>
      <c r="I33" s="190"/>
      <c r="J33" s="190"/>
      <c r="K33" s="190"/>
      <c r="L33" s="342"/>
      <c r="M33" s="343"/>
      <c r="N33" s="344" t="s">
        <v>145</v>
      </c>
      <c r="O33" s="345"/>
      <c r="P33" s="344" t="s">
        <v>146</v>
      </c>
      <c r="Q33" s="345"/>
      <c r="R33" s="354" t="s">
        <v>150</v>
      </c>
      <c r="S33" s="355"/>
      <c r="T33" s="231"/>
      <c r="U33" s="231"/>
      <c r="V33" s="224"/>
    </row>
    <row r="34" spans="3:22" ht="45" customHeight="1" x14ac:dyDescent="0.4">
      <c r="C34" s="329"/>
      <c r="D34" s="330"/>
      <c r="E34" s="190"/>
      <c r="F34" s="346" t="e">
        <f>Caculate!B15</f>
        <v>#N/A</v>
      </c>
      <c r="G34" s="347"/>
      <c r="H34" s="348"/>
      <c r="I34" s="190"/>
      <c r="J34" s="190"/>
      <c r="K34" s="232"/>
      <c r="L34" s="292" t="s">
        <v>17</v>
      </c>
      <c r="M34" s="293"/>
      <c r="N34" s="338" t="e">
        <f>SUM(N35:O36)</f>
        <v>#N/A</v>
      </c>
      <c r="O34" s="339"/>
      <c r="P34" s="340" t="e">
        <f>SUM(P35:Q36)</f>
        <v>#N/A</v>
      </c>
      <c r="Q34" s="341"/>
      <c r="R34" s="290" t="str">
        <f t="shared" ref="R34:R39" si="0">IFERROR(N34/P34,"-")</f>
        <v>-</v>
      </c>
      <c r="S34" s="291"/>
      <c r="T34" s="231"/>
      <c r="U34" s="231"/>
      <c r="V34" s="224"/>
    </row>
    <row r="35" spans="3:22" ht="42" customHeight="1" x14ac:dyDescent="0.4">
      <c r="C35" s="329"/>
      <c r="D35" s="330"/>
      <c r="E35" s="190"/>
      <c r="F35" s="346" t="e">
        <f>Caculate!B16</f>
        <v>#N/A</v>
      </c>
      <c r="G35" s="347"/>
      <c r="H35" s="348"/>
      <c r="I35" s="190"/>
      <c r="J35" s="233"/>
      <c r="K35" s="234"/>
      <c r="L35" s="349" t="s">
        <v>107</v>
      </c>
      <c r="M35" s="350"/>
      <c r="N35" s="286" t="e">
        <f>Caculate!B21</f>
        <v>#N/A</v>
      </c>
      <c r="O35" s="287"/>
      <c r="P35" s="288" t="e">
        <f>Caculate!C21</f>
        <v>#N/A</v>
      </c>
      <c r="Q35" s="289"/>
      <c r="R35" s="290" t="str">
        <f t="shared" si="0"/>
        <v>-</v>
      </c>
      <c r="S35" s="291"/>
      <c r="T35" s="52"/>
      <c r="U35" s="52"/>
      <c r="V35" s="224"/>
    </row>
    <row r="36" spans="3:22" ht="47.25" customHeight="1" x14ac:dyDescent="0.4">
      <c r="C36" s="329"/>
      <c r="D36" s="330"/>
      <c r="E36" s="190"/>
      <c r="F36" s="357" t="str">
        <f>IFERROR(F34/F35,"-")</f>
        <v>-</v>
      </c>
      <c r="G36" s="358"/>
      <c r="H36" s="359"/>
      <c r="I36" s="190"/>
      <c r="J36" s="233"/>
      <c r="K36" s="234"/>
      <c r="L36" s="349" t="s">
        <v>108</v>
      </c>
      <c r="M36" s="350"/>
      <c r="N36" s="286" t="e">
        <f>Caculate!B22</f>
        <v>#N/A</v>
      </c>
      <c r="O36" s="287"/>
      <c r="P36" s="286" t="e">
        <f>Caculate!C22</f>
        <v>#N/A</v>
      </c>
      <c r="Q36" s="287"/>
      <c r="R36" s="290" t="str">
        <f t="shared" si="0"/>
        <v>-</v>
      </c>
      <c r="S36" s="291"/>
      <c r="T36" s="52"/>
      <c r="U36" s="52"/>
      <c r="V36" s="224"/>
    </row>
    <row r="37" spans="3:22" ht="41.25" customHeight="1" x14ac:dyDescent="0.4">
      <c r="C37" s="223"/>
      <c r="D37" s="190"/>
      <c r="E37" s="190"/>
      <c r="F37" s="190"/>
      <c r="G37" s="190"/>
      <c r="H37" s="190"/>
      <c r="I37" s="190"/>
      <c r="J37" s="233"/>
      <c r="K37" s="232"/>
      <c r="L37" s="292" t="s">
        <v>15</v>
      </c>
      <c r="M37" s="293"/>
      <c r="N37" s="286" t="e">
        <f>Caculate!B23</f>
        <v>#N/A</v>
      </c>
      <c r="O37" s="287"/>
      <c r="P37" s="288" t="e">
        <f>Caculate!C23</f>
        <v>#N/A</v>
      </c>
      <c r="Q37" s="289"/>
      <c r="R37" s="290" t="str">
        <f t="shared" si="0"/>
        <v>-</v>
      </c>
      <c r="S37" s="291"/>
      <c r="T37" s="52"/>
      <c r="U37" s="52"/>
      <c r="V37" s="224"/>
    </row>
    <row r="38" spans="3:22" ht="48.75" customHeight="1" x14ac:dyDescent="0.4">
      <c r="C38" s="223"/>
      <c r="D38" s="190"/>
      <c r="E38" s="190"/>
      <c r="F38" s="190"/>
      <c r="G38" s="190"/>
      <c r="H38" s="190"/>
      <c r="I38" s="190"/>
      <c r="J38" s="235"/>
      <c r="K38" s="232"/>
      <c r="L38" s="292" t="s">
        <v>16</v>
      </c>
      <c r="M38" s="293"/>
      <c r="N38" s="286" t="e">
        <f>Caculate!B24</f>
        <v>#N/A</v>
      </c>
      <c r="O38" s="287"/>
      <c r="P38" s="288" t="e">
        <f>Caculate!C24</f>
        <v>#N/A</v>
      </c>
      <c r="Q38" s="289"/>
      <c r="R38" s="290" t="str">
        <f t="shared" si="0"/>
        <v>-</v>
      </c>
      <c r="S38" s="291"/>
      <c r="T38" s="52"/>
      <c r="U38" s="52"/>
      <c r="V38" s="224"/>
    </row>
    <row r="39" spans="3:22" ht="52.5" customHeight="1" x14ac:dyDescent="0.4">
      <c r="C39" s="223"/>
      <c r="D39" s="190"/>
      <c r="E39" s="190"/>
      <c r="F39" s="190"/>
      <c r="G39" s="190"/>
      <c r="H39" s="190"/>
      <c r="I39" s="190"/>
      <c r="J39" s="235"/>
      <c r="K39" s="232"/>
      <c r="L39" s="292" t="s">
        <v>14</v>
      </c>
      <c r="M39" s="293"/>
      <c r="N39" s="338" t="e">
        <f>SUM(N35:O38)</f>
        <v>#N/A</v>
      </c>
      <c r="O39" s="339"/>
      <c r="P39" s="340" t="e">
        <f>SUM(P35:Q38)</f>
        <v>#N/A</v>
      </c>
      <c r="Q39" s="341"/>
      <c r="R39" s="290" t="str">
        <f t="shared" si="0"/>
        <v>-</v>
      </c>
      <c r="S39" s="291"/>
      <c r="T39" s="52"/>
      <c r="U39" s="52"/>
      <c r="V39" s="224"/>
    </row>
    <row r="40" spans="3:22" ht="36.75" customHeight="1" x14ac:dyDescent="0.4">
      <c r="C40" s="223"/>
      <c r="D40" s="190"/>
      <c r="E40" s="190"/>
      <c r="F40" s="190"/>
      <c r="G40" s="190"/>
      <c r="H40" s="190"/>
      <c r="I40" s="190"/>
      <c r="J40" s="235"/>
      <c r="K40" s="235"/>
      <c r="L40" s="52"/>
      <c r="M40" s="52"/>
      <c r="N40" s="52"/>
      <c r="O40" s="52"/>
      <c r="P40" s="52"/>
      <c r="Q40" s="52"/>
      <c r="R40" s="52"/>
      <c r="S40" s="52"/>
      <c r="T40" s="52"/>
      <c r="U40" s="52"/>
      <c r="V40" s="224"/>
    </row>
    <row r="41" spans="3:22" ht="36.75" customHeight="1" x14ac:dyDescent="0.4">
      <c r="C41" s="223"/>
      <c r="D41" s="190"/>
      <c r="E41" s="190"/>
      <c r="F41" s="190"/>
      <c r="G41" s="190"/>
      <c r="H41" s="190"/>
      <c r="I41" s="190"/>
      <c r="J41" s="235"/>
      <c r="K41" s="235"/>
      <c r="L41" s="52"/>
      <c r="M41" s="52"/>
      <c r="N41" s="52"/>
      <c r="O41" s="52"/>
      <c r="P41" s="52"/>
      <c r="Q41" s="52"/>
      <c r="R41" s="52"/>
      <c r="S41" s="52"/>
      <c r="T41" s="52"/>
      <c r="U41" s="52"/>
      <c r="V41" s="224"/>
    </row>
    <row r="42" spans="3:22" ht="36.75" customHeight="1" x14ac:dyDescent="0.4">
      <c r="C42" s="223"/>
      <c r="D42" s="190"/>
      <c r="E42" s="190"/>
      <c r="F42" s="190"/>
      <c r="G42" s="190"/>
      <c r="H42" s="190"/>
      <c r="I42" s="190"/>
      <c r="J42" s="190"/>
      <c r="K42" s="190"/>
      <c r="L42" s="190"/>
      <c r="M42" s="190"/>
      <c r="N42" s="190"/>
      <c r="O42" s="190"/>
      <c r="P42" s="190"/>
      <c r="Q42" s="190"/>
      <c r="R42" s="236"/>
      <c r="S42" s="236"/>
      <c r="T42" s="190"/>
      <c r="U42" s="190"/>
      <c r="V42" s="224"/>
    </row>
    <row r="43" spans="3:22" x14ac:dyDescent="0.4">
      <c r="C43" s="223"/>
      <c r="D43" s="190"/>
      <c r="E43" s="190"/>
      <c r="F43" s="190"/>
      <c r="G43" s="190"/>
      <c r="H43" s="190"/>
      <c r="I43" s="190"/>
      <c r="J43" s="190"/>
      <c r="K43" s="190"/>
      <c r="L43" s="190"/>
      <c r="M43" s="190"/>
      <c r="N43" s="190"/>
      <c r="O43" s="190"/>
      <c r="P43" s="190"/>
      <c r="Q43" s="190"/>
      <c r="R43" s="190"/>
      <c r="S43" s="190"/>
      <c r="T43" s="190"/>
      <c r="U43" s="190"/>
      <c r="V43" s="224"/>
    </row>
    <row r="44" spans="3:22" x14ac:dyDescent="0.4">
      <c r="C44" s="223"/>
      <c r="D44" s="190"/>
      <c r="E44" s="190"/>
      <c r="F44" s="190"/>
      <c r="G44" s="190"/>
      <c r="H44" s="190"/>
      <c r="I44" s="190"/>
      <c r="J44" s="190"/>
      <c r="K44" s="190"/>
      <c r="L44" s="190"/>
      <c r="M44" s="190"/>
      <c r="N44" s="190"/>
      <c r="O44" s="190"/>
      <c r="P44" s="190"/>
      <c r="Q44" s="190"/>
      <c r="R44" s="190"/>
      <c r="S44" s="190"/>
      <c r="T44" s="190"/>
      <c r="U44" s="190"/>
      <c r="V44" s="224"/>
    </row>
    <row r="45" spans="3:22" x14ac:dyDescent="0.4">
      <c r="C45" s="223"/>
      <c r="D45" s="190"/>
      <c r="E45" s="190"/>
      <c r="F45" s="190"/>
      <c r="G45" s="190"/>
      <c r="H45" s="190"/>
      <c r="I45" s="190"/>
      <c r="J45" s="190"/>
      <c r="K45" s="190"/>
      <c r="L45" s="190"/>
      <c r="M45" s="190"/>
      <c r="N45" s="190"/>
      <c r="O45" s="190"/>
      <c r="P45" s="190"/>
      <c r="Q45" s="190"/>
      <c r="R45" s="190"/>
      <c r="S45" s="190"/>
      <c r="T45" s="190"/>
      <c r="U45" s="190"/>
      <c r="V45" s="224"/>
    </row>
    <row r="46" spans="3:22" ht="36.75" customHeight="1" thickBot="1" x14ac:dyDescent="0.45">
      <c r="C46" s="351" t="s">
        <v>49</v>
      </c>
      <c r="D46" s="352"/>
      <c r="E46" s="352"/>
      <c r="F46" s="352"/>
      <c r="G46" s="352"/>
      <c r="H46" s="352"/>
      <c r="I46" s="352"/>
      <c r="J46" s="352"/>
      <c r="K46" s="352"/>
      <c r="L46" s="352"/>
      <c r="M46" s="352"/>
      <c r="N46" s="352"/>
      <c r="O46" s="352"/>
      <c r="P46" s="352"/>
      <c r="Q46" s="352"/>
      <c r="R46" s="352"/>
      <c r="S46" s="352"/>
      <c r="T46" s="352"/>
      <c r="U46" s="352"/>
      <c r="V46" s="353"/>
    </row>
    <row r="47" spans="3:22" ht="27" customHeight="1" thickTop="1" thickBot="1" x14ac:dyDescent="0.45">
      <c r="C47" s="272" t="s">
        <v>50</v>
      </c>
      <c r="D47" s="273"/>
      <c r="E47" s="273"/>
      <c r="F47" s="273"/>
      <c r="G47" s="273"/>
      <c r="H47" s="273"/>
      <c r="I47" s="273"/>
      <c r="J47" s="273"/>
      <c r="K47" s="273"/>
      <c r="L47" s="273"/>
      <c r="M47" s="273"/>
      <c r="N47" s="273"/>
      <c r="O47" s="273"/>
      <c r="P47" s="273"/>
      <c r="Q47" s="273"/>
      <c r="R47" s="273"/>
      <c r="S47" s="273"/>
      <c r="T47" s="273"/>
      <c r="U47" s="273"/>
      <c r="V47" s="295"/>
    </row>
    <row r="48" spans="3:22" ht="21" thickTop="1" x14ac:dyDescent="0.4">
      <c r="C48" s="55" t="s">
        <v>12018</v>
      </c>
      <c r="D48" s="49"/>
      <c r="E48" s="49"/>
      <c r="F48" s="49"/>
      <c r="G48" s="49"/>
      <c r="H48" s="49"/>
      <c r="I48" s="49"/>
      <c r="J48" s="53"/>
      <c r="K48" s="53"/>
      <c r="L48" s="53"/>
      <c r="M48" s="53"/>
      <c r="N48" s="53"/>
      <c r="O48" s="53"/>
      <c r="P48" s="53"/>
      <c r="Q48" s="53"/>
      <c r="R48" s="53"/>
      <c r="S48" s="53"/>
      <c r="T48" s="53"/>
      <c r="U48" s="53"/>
      <c r="V48" s="54"/>
    </row>
    <row r="49" spans="3:26" x14ac:dyDescent="0.4">
      <c r="C49" s="48" t="s">
        <v>203</v>
      </c>
      <c r="D49" s="49"/>
      <c r="E49" s="49"/>
      <c r="F49" s="49"/>
      <c r="G49" s="49"/>
      <c r="H49" s="49"/>
      <c r="I49" s="49"/>
      <c r="J49" s="49"/>
      <c r="K49" s="49"/>
      <c r="L49" s="49"/>
      <c r="M49" s="49"/>
      <c r="N49" s="49"/>
      <c r="O49" s="49"/>
      <c r="P49" s="49"/>
      <c r="Q49" s="49"/>
      <c r="R49" s="49"/>
      <c r="S49" s="49"/>
      <c r="T49" s="49"/>
      <c r="U49" s="49"/>
      <c r="V49" s="50"/>
    </row>
    <row r="50" spans="3:26" x14ac:dyDescent="0.4">
      <c r="C50" s="48" t="s">
        <v>224</v>
      </c>
      <c r="D50" s="49"/>
      <c r="E50" s="49"/>
      <c r="F50" s="49"/>
      <c r="G50" s="49"/>
      <c r="H50" s="49"/>
      <c r="I50" s="49"/>
      <c r="J50" s="49"/>
      <c r="K50" s="49"/>
      <c r="L50" s="49"/>
      <c r="M50" s="49"/>
      <c r="N50" s="49"/>
      <c r="O50" s="49"/>
      <c r="P50" s="49"/>
      <c r="Q50" s="49"/>
      <c r="R50" s="49"/>
      <c r="S50" s="49"/>
      <c r="T50" s="49"/>
      <c r="U50" s="49"/>
      <c r="V50" s="50"/>
    </row>
    <row r="51" spans="3:26" x14ac:dyDescent="0.4">
      <c r="C51" s="48"/>
      <c r="D51" s="49"/>
      <c r="E51" s="49"/>
      <c r="F51" s="49"/>
      <c r="G51" s="49"/>
      <c r="H51" s="49"/>
      <c r="I51" s="49"/>
      <c r="J51" s="49"/>
      <c r="K51" s="49"/>
      <c r="L51" s="49"/>
      <c r="M51" s="49"/>
      <c r="N51" s="49"/>
      <c r="O51" s="49"/>
      <c r="P51" s="49"/>
      <c r="Q51" s="49"/>
      <c r="R51" s="49"/>
      <c r="S51" s="49"/>
      <c r="T51" s="49"/>
      <c r="U51" s="49"/>
      <c r="V51" s="50"/>
    </row>
    <row r="52" spans="3:26" ht="38.4" x14ac:dyDescent="0.4">
      <c r="C52" s="48"/>
      <c r="D52" s="356" t="s">
        <v>18</v>
      </c>
      <c r="E52" s="356"/>
      <c r="F52" s="77" t="str">
        <f>'TRANG CHU'!I18</f>
        <v>Mar-25</v>
      </c>
      <c r="G52" s="77">
        <f>DATE(YEAR(EDATE(F52, 1)), MONTH(EDATE(F52, 1)), 1)</f>
        <v>45748</v>
      </c>
      <c r="H52" s="77">
        <f t="shared" ref="H52:P52" si="1">DATE(YEAR(EDATE(G52, 1)), MONTH(EDATE(G52, 1)), 1)</f>
        <v>45778</v>
      </c>
      <c r="I52" s="77">
        <f t="shared" si="1"/>
        <v>45809</v>
      </c>
      <c r="J52" s="77">
        <f t="shared" si="1"/>
        <v>45839</v>
      </c>
      <c r="K52" s="77">
        <f t="shared" si="1"/>
        <v>45870</v>
      </c>
      <c r="L52" s="77">
        <f t="shared" si="1"/>
        <v>45901</v>
      </c>
      <c r="M52" s="77">
        <f t="shared" si="1"/>
        <v>45931</v>
      </c>
      <c r="N52" s="77">
        <f t="shared" si="1"/>
        <v>45962</v>
      </c>
      <c r="O52" s="77">
        <f t="shared" si="1"/>
        <v>45992</v>
      </c>
      <c r="P52" s="77">
        <f t="shared" si="1"/>
        <v>46023</v>
      </c>
      <c r="Q52" s="77">
        <f>DATE(YEAR(EDATE(P52, 1)), MONTH(EDATE(P52, 1)), 1)</f>
        <v>46054</v>
      </c>
      <c r="R52" s="13" t="s">
        <v>85</v>
      </c>
      <c r="S52" s="13" t="s">
        <v>57</v>
      </c>
      <c r="T52" s="13" t="s">
        <v>28</v>
      </c>
      <c r="U52" s="49"/>
      <c r="V52" s="50"/>
    </row>
    <row r="53" spans="3:26" ht="39" customHeight="1" x14ac:dyDescent="0.45">
      <c r="C53" s="48"/>
      <c r="D53" s="360" t="s">
        <v>79</v>
      </c>
      <c r="E53" s="360"/>
      <c r="F53" s="14"/>
      <c r="G53" s="14"/>
      <c r="H53" s="14"/>
      <c r="I53" s="14"/>
      <c r="J53" s="14"/>
      <c r="K53" s="14"/>
      <c r="L53" s="14"/>
      <c r="M53" s="14"/>
      <c r="N53" s="14"/>
      <c r="O53" s="14"/>
      <c r="P53" s="14"/>
      <c r="Q53" s="14"/>
      <c r="R53" s="36"/>
      <c r="S53" s="49"/>
      <c r="T53" s="56"/>
      <c r="U53" s="216" t="s">
        <v>66</v>
      </c>
      <c r="V53" s="217">
        <f>IF(AND(R55&lt;&gt;0, R55&lt;&gt;"", R55&lt;&gt;"-"), 1, 0)</f>
        <v>0</v>
      </c>
      <c r="X53" s="101"/>
    </row>
    <row r="54" spans="3:26" ht="19.8" x14ac:dyDescent="0.45">
      <c r="C54" s="48"/>
      <c r="D54" s="277" t="s">
        <v>83</v>
      </c>
      <c r="E54" s="277"/>
      <c r="F54" s="244">
        <f>Caculate!B30</f>
        <v>0</v>
      </c>
      <c r="G54" s="244">
        <f>Caculate!C30</f>
        <v>0</v>
      </c>
      <c r="H54" s="244">
        <f>Caculate!D30</f>
        <v>0</v>
      </c>
      <c r="I54" s="244">
        <f>Caculate!E30</f>
        <v>0</v>
      </c>
      <c r="J54" s="244">
        <f>Caculate!F30</f>
        <v>0</v>
      </c>
      <c r="K54" s="244">
        <f>Caculate!G30</f>
        <v>0</v>
      </c>
      <c r="L54" s="244">
        <f>Caculate!H30</f>
        <v>0</v>
      </c>
      <c r="M54" s="244">
        <f>Caculate!I30</f>
        <v>0</v>
      </c>
      <c r="N54" s="244">
        <f>Caculate!J30</f>
        <v>0</v>
      </c>
      <c r="O54" s="244">
        <f>Caculate!K30</f>
        <v>0</v>
      </c>
      <c r="P54" s="244">
        <f>Caculate!L30</f>
        <v>0</v>
      </c>
      <c r="Q54" s="244">
        <f>Caculate!M30</f>
        <v>0</v>
      </c>
      <c r="R54" s="245">
        <f>IFERROR(SUM(F54:Q54)/12,"-")</f>
        <v>0</v>
      </c>
      <c r="S54" s="130" t="e">
        <f>Caculate!P30</f>
        <v>#N/A</v>
      </c>
      <c r="T54" s="248" t="str">
        <f>IFERROR(R54/S54,"-")</f>
        <v>-</v>
      </c>
      <c r="U54" s="216"/>
      <c r="V54" s="217"/>
    </row>
    <row r="55" spans="3:26" ht="19.8" x14ac:dyDescent="0.45">
      <c r="C55" s="48"/>
      <c r="D55" s="277" t="s">
        <v>80</v>
      </c>
      <c r="E55" s="277"/>
      <c r="F55" s="260"/>
      <c r="G55" s="260"/>
      <c r="H55" s="260"/>
      <c r="I55" s="260"/>
      <c r="J55" s="260"/>
      <c r="K55" s="260"/>
      <c r="L55" s="260"/>
      <c r="M55" s="260"/>
      <c r="N55" s="260"/>
      <c r="O55" s="260"/>
      <c r="P55" s="260"/>
      <c r="Q55" s="260"/>
      <c r="R55" s="130">
        <f>IFERROR(SUM(F55:Q55)/12,"-")</f>
        <v>0</v>
      </c>
      <c r="S55" s="265" t="e">
        <f>Caculate!P30</f>
        <v>#N/A</v>
      </c>
      <c r="T55" s="248" t="str">
        <f>IFERROR(R55/S55,"-")</f>
        <v>-</v>
      </c>
      <c r="U55" s="216" t="s">
        <v>67</v>
      </c>
      <c r="V55" s="217">
        <f>IF(AND(R59&lt;&gt;0, R59&lt;&gt;"", R59&lt;&gt;"-"), 1, 0)</f>
        <v>0</v>
      </c>
    </row>
    <row r="56" spans="3:26" ht="19.5" customHeight="1" x14ac:dyDescent="0.45">
      <c r="C56" s="48"/>
      <c r="D56" s="277" t="s">
        <v>87</v>
      </c>
      <c r="E56" s="277"/>
      <c r="F56" s="247">
        <f>IF('TRANG CHU'!$G$24="CIF",Caculate!B31,INDEX(Data_2!$D:$D, MATCH($N$11,Data_2!$A:$A, 0)))</f>
        <v>0</v>
      </c>
      <c r="G56" s="247">
        <f>IF('TRANG CHU'!$G$24="CIF",Caculate!C31,INDEX(Data_2!$D:$D, MATCH($N$11,Data_2!$A:$A, 0)))</f>
        <v>0</v>
      </c>
      <c r="H56" s="247">
        <f>IF('TRANG CHU'!$G$24="CIF",Caculate!D31,INDEX(Data_2!$D:$D, MATCH($N$11,Data_2!$A:$A, 0)))</f>
        <v>0</v>
      </c>
      <c r="I56" s="247">
        <f>IF('TRANG CHU'!$G$24="CIF",Caculate!E31,INDEX(Data_2!$D:$D, MATCH($N$11,Data_2!$A:$A, 0)))</f>
        <v>0</v>
      </c>
      <c r="J56" s="247">
        <f>IF('TRANG CHU'!$G$24="CIF",Caculate!F31,INDEX(Data_2!$D:$D, MATCH($N$11,Data_2!$A:$A, 0)))</f>
        <v>0</v>
      </c>
      <c r="K56" s="247">
        <f>IF('TRANG CHU'!$G$24="CIF",Caculate!G31,INDEX(Data_2!$D:$D, MATCH($N$11,Data_2!$A:$A, 0)))</f>
        <v>0</v>
      </c>
      <c r="L56" s="247">
        <f>IF('TRANG CHU'!$G$24="CIF",Caculate!H31,INDEX(Data_2!$D:$D, MATCH($N$11,Data_2!$A:$A, 0)))</f>
        <v>0</v>
      </c>
      <c r="M56" s="247">
        <f>IF('TRANG CHU'!$G$24="CIF",Caculate!I31,INDEX(Data_2!$D:$D, MATCH($N$11,Data_2!$A:$A, 0)))</f>
        <v>0</v>
      </c>
      <c r="N56" s="247">
        <f>IF('TRANG CHU'!$G$24="CIF",Caculate!J31,INDEX(Data_2!$D:$D, MATCH($N$11,Data_2!$A:$A, 0)))</f>
        <v>0</v>
      </c>
      <c r="O56" s="247">
        <f>IF('TRANG CHU'!$G$24="CIF",Caculate!K31,INDEX(Data_2!$D:$D, MATCH($N$11,Data_2!$A:$A, 0)))</f>
        <v>0</v>
      </c>
      <c r="P56" s="247">
        <f>IF('TRANG CHU'!$G$24="CIF",Caculate!L31,INDEX(Data_2!$D:$D, MATCH($N$11,Data_2!$A:$A, 0)))</f>
        <v>0</v>
      </c>
      <c r="Q56" s="247">
        <f>IF('TRANG CHU'!$G$24="CIF",Caculate!M31,INDEX(Data_2!$D:$D, MATCH($N$11,Data_2!$A:$A, 0)))</f>
        <v>0</v>
      </c>
      <c r="R56" s="259">
        <f>IFERROR(SUM(F56:Q56)/12,"-")</f>
        <v>0</v>
      </c>
      <c r="S56" s="247">
        <f>Caculate!P31</f>
        <v>0</v>
      </c>
      <c r="T56" s="98"/>
      <c r="U56" s="216" t="s">
        <v>149</v>
      </c>
      <c r="V56" s="217">
        <f>IF(AND(R63&lt;&gt;0, R63&lt;&gt;"", R63&lt;&gt;"-"), 1, 0)</f>
        <v>0</v>
      </c>
    </row>
    <row r="57" spans="3:26" ht="21" customHeight="1" x14ac:dyDescent="0.45">
      <c r="C57" s="48"/>
      <c r="D57" s="278" t="s">
        <v>84</v>
      </c>
      <c r="E57" s="278"/>
      <c r="F57" s="98"/>
      <c r="G57" s="98"/>
      <c r="H57" s="98"/>
      <c r="I57" s="98"/>
      <c r="J57" s="98"/>
      <c r="K57" s="98"/>
      <c r="L57" s="98"/>
      <c r="M57" s="98"/>
      <c r="N57" s="98"/>
      <c r="O57" s="98"/>
      <c r="P57" s="98"/>
      <c r="Q57" s="98"/>
      <c r="R57" s="213"/>
      <c r="S57" s="16"/>
      <c r="T57" s="98"/>
      <c r="U57" s="216" t="s">
        <v>35</v>
      </c>
      <c r="V57" s="217">
        <f>IF(AND(R67&lt;&gt;0, R67&lt;&gt;"", R67&lt;&gt;"-"), 1, 0)</f>
        <v>0</v>
      </c>
    </row>
    <row r="58" spans="3:26" ht="21.75" customHeight="1" x14ac:dyDescent="0.45">
      <c r="C58" s="48"/>
      <c r="D58" s="277" t="s">
        <v>19</v>
      </c>
      <c r="E58" s="277"/>
      <c r="F58" s="246">
        <f>Caculate!B33</f>
        <v>0</v>
      </c>
      <c r="G58" s="246">
        <f>Caculate!C33</f>
        <v>0</v>
      </c>
      <c r="H58" s="246">
        <f>Caculate!D33</f>
        <v>0</v>
      </c>
      <c r="I58" s="246">
        <f>Caculate!E33</f>
        <v>0</v>
      </c>
      <c r="J58" s="246">
        <f>Caculate!F33</f>
        <v>0</v>
      </c>
      <c r="K58" s="246">
        <f>Caculate!G33</f>
        <v>0</v>
      </c>
      <c r="L58" s="246">
        <f>Caculate!H33</f>
        <v>0</v>
      </c>
      <c r="M58" s="246">
        <f>Caculate!I33</f>
        <v>0</v>
      </c>
      <c r="N58" s="246">
        <f>Caculate!J33</f>
        <v>0</v>
      </c>
      <c r="O58" s="246">
        <f>Caculate!K33</f>
        <v>0</v>
      </c>
      <c r="P58" s="246">
        <f>Caculate!L33</f>
        <v>0</v>
      </c>
      <c r="Q58" s="246">
        <f>Caculate!M33</f>
        <v>0</v>
      </c>
      <c r="R58" s="246">
        <f>IFERROR(SUM(F58:Q58)/12,"-")</f>
        <v>0</v>
      </c>
      <c r="S58" s="131" t="e">
        <f>Caculate!P33</f>
        <v>#N/A</v>
      </c>
      <c r="T58" s="261" t="str">
        <f>IFERROR(R58/S58,"-")</f>
        <v>-</v>
      </c>
      <c r="U58" s="216" t="s">
        <v>68</v>
      </c>
      <c r="V58" s="217">
        <f>IF(AND(R71&lt;&gt;0, R71&lt;&gt;"", R71&lt;&gt;"-"), 1, 0)</f>
        <v>0</v>
      </c>
    </row>
    <row r="59" spans="3:26" ht="19.5" customHeight="1" x14ac:dyDescent="0.45">
      <c r="C59" s="48"/>
      <c r="D59" s="277" t="s">
        <v>86</v>
      </c>
      <c r="E59" s="277"/>
      <c r="F59" s="17"/>
      <c r="G59" s="17"/>
      <c r="H59" s="17"/>
      <c r="I59" s="17"/>
      <c r="J59" s="17"/>
      <c r="K59" s="17"/>
      <c r="L59" s="17"/>
      <c r="M59" s="17"/>
      <c r="N59" s="17"/>
      <c r="O59" s="17"/>
      <c r="P59" s="17"/>
      <c r="Q59" s="17"/>
      <c r="R59" s="130">
        <f>IFERROR(SUM(F59:Q59)/12,"-")</f>
        <v>0</v>
      </c>
      <c r="S59" s="264" t="e">
        <f>Caculate!P33</f>
        <v>#N/A</v>
      </c>
      <c r="T59" s="248" t="str">
        <f>IFERROR(R59/S59,"-")</f>
        <v>-</v>
      </c>
      <c r="U59" s="216" t="s">
        <v>69</v>
      </c>
      <c r="V59" s="217">
        <f>IF(AND(R75&lt;&gt;0, R75&lt;&gt;"", R75&lt;&gt;"-"), 1, 0)</f>
        <v>0</v>
      </c>
    </row>
    <row r="60" spans="3:26" ht="19.5" customHeight="1" x14ac:dyDescent="0.45">
      <c r="C60" s="48"/>
      <c r="D60" s="277" t="s">
        <v>87</v>
      </c>
      <c r="E60" s="277"/>
      <c r="F60" s="247">
        <f>IF('TRANG CHU'!$G$24="CIF",Caculate!B34,INDEX(Data_2!$D:$D, MATCH($N$11,Data_2!$A:$A, 0)))</f>
        <v>0</v>
      </c>
      <c r="G60" s="247">
        <f>IF('TRANG CHU'!$G$24="CIF",Caculate!C34,INDEX(Data_2!$D:$D, MATCH($N$11,Data_2!$A:$A, 0)))</f>
        <v>0</v>
      </c>
      <c r="H60" s="247">
        <f>IF('TRANG CHU'!$G$24="CIF",Caculate!D34,INDEX(Data_2!$D:$D, MATCH($N$11,Data_2!$A:$A, 0)))</f>
        <v>0</v>
      </c>
      <c r="I60" s="247">
        <f>IF('TRANG CHU'!$G$24="CIF",Caculate!E34,INDEX(Data_2!$D:$D, MATCH($N$11,Data_2!$A:$A, 0)))</f>
        <v>0</v>
      </c>
      <c r="J60" s="247">
        <f>IF('TRANG CHU'!$G$24="CIF",Caculate!F34,INDEX(Data_2!$D:$D, MATCH($N$11,Data_2!$A:$A, 0)))</f>
        <v>0</v>
      </c>
      <c r="K60" s="247">
        <f>IF('TRANG CHU'!$G$24="CIF",Caculate!G34,INDEX(Data_2!$D:$D, MATCH($N$11,Data_2!$A:$A, 0)))</f>
        <v>0</v>
      </c>
      <c r="L60" s="247">
        <f>IF('TRANG CHU'!$G$24="CIF",Caculate!H34,INDEX(Data_2!$D:$D, MATCH($N$11,Data_2!$A:$A, 0)))</f>
        <v>0</v>
      </c>
      <c r="M60" s="247">
        <f>IF('TRANG CHU'!$G$24="CIF",Caculate!I34,INDEX(Data_2!$D:$D, MATCH($N$11,Data_2!$A:$A, 0)))</f>
        <v>0</v>
      </c>
      <c r="N60" s="247">
        <f>IF('TRANG CHU'!$G$24="CIF",Caculate!J34,INDEX(Data_2!$D:$D, MATCH($N$11,Data_2!$A:$A, 0)))</f>
        <v>0</v>
      </c>
      <c r="O60" s="247">
        <f>IF('TRANG CHU'!$G$24="CIF",Caculate!K34,INDEX(Data_2!$D:$D, MATCH($N$11,Data_2!$A:$A, 0)))</f>
        <v>0</v>
      </c>
      <c r="P60" s="247">
        <f>IF('TRANG CHU'!$G$24="CIF",Caculate!L34,INDEX(Data_2!$D:$D, MATCH($N$11,Data_2!$A:$A, 0)))</f>
        <v>0</v>
      </c>
      <c r="Q60" s="247">
        <f>IF('TRANG CHU'!$G$24="CIF",Caculate!M34,INDEX(Data_2!$D:$D, MATCH($N$11,Data_2!$A:$A, 0)))</f>
        <v>0</v>
      </c>
      <c r="R60" s="259">
        <f>IFERROR(SUM(F60:Q60)/12,"-")</f>
        <v>0</v>
      </c>
      <c r="S60" s="247">
        <f>Caculate!P34</f>
        <v>0</v>
      </c>
      <c r="T60" s="98"/>
      <c r="U60" s="216" t="s">
        <v>70</v>
      </c>
      <c r="V60" s="217">
        <f>IF(AND(R79&lt;&gt;0, R79&lt;&gt;"", R79&lt;&gt;"-"), 1, 0)</f>
        <v>0</v>
      </c>
    </row>
    <row r="61" spans="3:26" ht="17.25" customHeight="1" x14ac:dyDescent="0.45">
      <c r="C61" s="48"/>
      <c r="D61" s="278" t="s">
        <v>22</v>
      </c>
      <c r="E61" s="278"/>
      <c r="F61" s="98"/>
      <c r="G61" s="98"/>
      <c r="H61" s="98"/>
      <c r="I61" s="98"/>
      <c r="J61" s="98"/>
      <c r="K61" s="98"/>
      <c r="L61" s="98"/>
      <c r="M61" s="98"/>
      <c r="N61" s="98"/>
      <c r="O61" s="98"/>
      <c r="P61" s="98"/>
      <c r="Q61" s="98"/>
      <c r="R61" s="213"/>
      <c r="S61" s="16"/>
      <c r="T61" s="98"/>
      <c r="U61" s="218" t="str">
        <f>IF(TRIM(D82)="","",D82)</f>
        <v/>
      </c>
      <c r="V61" s="217">
        <f>IF(AND(R83&lt;&gt;0, R83&lt;&gt;"", R83&lt;&gt;"-"), 1, 0)</f>
        <v>0</v>
      </c>
    </row>
    <row r="62" spans="3:26" ht="22.5" customHeight="1" x14ac:dyDescent="0.45">
      <c r="C62" s="48"/>
      <c r="D62" s="277" t="s">
        <v>19</v>
      </c>
      <c r="E62" s="277"/>
      <c r="F62" s="214">
        <f>Caculate!B36</f>
        <v>0</v>
      </c>
      <c r="G62" s="214">
        <f>Caculate!C36</f>
        <v>0</v>
      </c>
      <c r="H62" s="214">
        <f>Caculate!D36</f>
        <v>0</v>
      </c>
      <c r="I62" s="214">
        <f>Caculate!E36</f>
        <v>0</v>
      </c>
      <c r="J62" s="214">
        <f>Caculate!F36</f>
        <v>0</v>
      </c>
      <c r="K62" s="214">
        <f>Caculate!G36</f>
        <v>0</v>
      </c>
      <c r="L62" s="214">
        <f>Caculate!H36</f>
        <v>0</v>
      </c>
      <c r="M62" s="214">
        <f>Caculate!I36</f>
        <v>0</v>
      </c>
      <c r="N62" s="214">
        <f>Caculate!J36</f>
        <v>0</v>
      </c>
      <c r="O62" s="214">
        <f>Caculate!K36</f>
        <v>0</v>
      </c>
      <c r="P62" s="214">
        <f>Caculate!L36</f>
        <v>0</v>
      </c>
      <c r="Q62" s="214">
        <f>Caculate!M36</f>
        <v>0</v>
      </c>
      <c r="R62" s="131">
        <f>IFERROR(SUM(F62:Q62)/12,"-")</f>
        <v>0</v>
      </c>
      <c r="S62" s="131" t="e">
        <f>Caculate!P36</f>
        <v>#N/A</v>
      </c>
      <c r="T62" s="248" t="str">
        <f>IFERROR(R62/S62,"-")</f>
        <v>-</v>
      </c>
      <c r="U62" s="216" t="str">
        <f>IF(TRIM(D85)="","-",D85)</f>
        <v>-</v>
      </c>
      <c r="V62" s="217">
        <f>IF(AND(R86&lt;&gt;0, R86&lt;&gt;"", R86&lt;&gt;"-"), 1, 0)</f>
        <v>0</v>
      </c>
      <c r="Z62" s="257"/>
    </row>
    <row r="63" spans="3:26" ht="20.25" customHeight="1" x14ac:dyDescent="0.45">
      <c r="C63" s="48"/>
      <c r="D63" s="277" t="s">
        <v>82</v>
      </c>
      <c r="E63" s="277"/>
      <c r="F63" s="17"/>
      <c r="G63" s="17"/>
      <c r="H63" s="17"/>
      <c r="I63" s="17"/>
      <c r="J63" s="17"/>
      <c r="K63" s="17"/>
      <c r="L63" s="17"/>
      <c r="M63" s="17"/>
      <c r="N63" s="17"/>
      <c r="O63" s="17"/>
      <c r="P63" s="17"/>
      <c r="Q63" s="17"/>
      <c r="R63" s="131">
        <f>IFERROR(SUM(F63:Q63)/12,"-")</f>
        <v>0</v>
      </c>
      <c r="S63" s="67" t="e">
        <f>Caculate!P36</f>
        <v>#N/A</v>
      </c>
      <c r="T63" s="248" t="str">
        <f>IFERROR(R63/S63,"-")</f>
        <v>-</v>
      </c>
      <c r="U63" s="216" t="str">
        <f>IF(TRIM(D88)="","-",D88)</f>
        <v>-</v>
      </c>
      <c r="V63" s="217">
        <f>IF(AND(R89&lt;&gt;0, R89&lt;&gt;"", R89&lt;&gt;"-"), 1, 0)</f>
        <v>0</v>
      </c>
    </row>
    <row r="64" spans="3:26" ht="20.25" customHeight="1" x14ac:dyDescent="0.45">
      <c r="C64" s="48"/>
      <c r="D64" s="277" t="s">
        <v>87</v>
      </c>
      <c r="E64" s="277"/>
      <c r="F64" s="247">
        <f>IF('TRANG CHU'!$G$24="CIF",Caculate!B37,INDEX(Data_2!$D:$D, MATCH($N$11,Data_2!$A:$A, 0)))</f>
        <v>0</v>
      </c>
      <c r="G64" s="247">
        <f>IF('TRANG CHU'!$G$24="CIF",Caculate!C37,INDEX(Data_2!$D:$D, MATCH($N$11,Data_2!$A:$A, 0)))</f>
        <v>0</v>
      </c>
      <c r="H64" s="247">
        <f>IF('TRANG CHU'!$G$24="CIF",Caculate!D37,INDEX(Data_2!$D:$D, MATCH($N$11,Data_2!$A:$A, 0)))</f>
        <v>0</v>
      </c>
      <c r="I64" s="247">
        <f>IF('TRANG CHU'!$G$24="CIF",Caculate!E37,INDEX(Data_2!$D:$D, MATCH($N$11,Data_2!$A:$A, 0)))</f>
        <v>0</v>
      </c>
      <c r="J64" s="247">
        <f>IF('TRANG CHU'!$G$24="CIF",Caculate!F37,INDEX(Data_2!$D:$D, MATCH($N$11,Data_2!$A:$A, 0)))</f>
        <v>0</v>
      </c>
      <c r="K64" s="247">
        <f>IF('TRANG CHU'!$G$24="CIF",Caculate!G37,INDEX(Data_2!$D:$D, MATCH($N$11,Data_2!$A:$A, 0)))</f>
        <v>0</v>
      </c>
      <c r="L64" s="247">
        <f>IF('TRANG CHU'!$G$24="CIF",Caculate!H37,INDEX(Data_2!$D:$D, MATCH($N$11,Data_2!$A:$A, 0)))</f>
        <v>0</v>
      </c>
      <c r="M64" s="247">
        <f>IF('TRANG CHU'!$G$24="CIF",Caculate!I37,INDEX(Data_2!$D:$D, MATCH($N$11,Data_2!$A:$A, 0)))</f>
        <v>0</v>
      </c>
      <c r="N64" s="247">
        <f>IF('TRANG CHU'!$G$24="CIF",Caculate!J37,INDEX(Data_2!$D:$D, MATCH($N$11,Data_2!$A:$A, 0)))</f>
        <v>0</v>
      </c>
      <c r="O64" s="247">
        <f>IF('TRANG CHU'!$G$24="CIF",Caculate!K37,INDEX(Data_2!$D:$D, MATCH($N$11,Data_2!$A:$A, 0)))</f>
        <v>0</v>
      </c>
      <c r="P64" s="247">
        <f>IF('TRANG CHU'!$G$24="CIF",Caculate!L37,INDEX(Data_2!$D:$D, MATCH($N$11,Data_2!$A:$A, 0)))</f>
        <v>0</v>
      </c>
      <c r="Q64" s="247">
        <f>IF('TRANG CHU'!$G$24="CIF",Caculate!M37,INDEX(Data_2!$D:$D, MATCH($N$11,Data_2!$A:$A, 0)))</f>
        <v>0</v>
      </c>
      <c r="R64" s="259">
        <f>IFERROR(SUM(F64:Q64)/12,"-")</f>
        <v>0</v>
      </c>
      <c r="S64" s="247">
        <f>Caculate!P37</f>
        <v>0</v>
      </c>
      <c r="T64" s="98"/>
      <c r="U64" s="64"/>
      <c r="V64" s="65"/>
    </row>
    <row r="65" spans="3:22" ht="27.75" customHeight="1" x14ac:dyDescent="0.45">
      <c r="C65" s="48"/>
      <c r="D65" s="279" t="s">
        <v>23</v>
      </c>
      <c r="E65" s="279"/>
      <c r="F65" s="215"/>
      <c r="G65" s="215"/>
      <c r="H65" s="215"/>
      <c r="I65" s="215"/>
      <c r="J65" s="215"/>
      <c r="K65" s="215"/>
      <c r="L65" s="215"/>
      <c r="M65" s="215"/>
      <c r="N65" s="215"/>
      <c r="O65" s="215"/>
      <c r="P65" s="215"/>
      <c r="Q65" s="215"/>
      <c r="R65" s="213"/>
      <c r="S65" s="18"/>
      <c r="T65" s="98"/>
      <c r="U65" s="64"/>
      <c r="V65" s="65"/>
    </row>
    <row r="66" spans="3:22" ht="19.8" x14ac:dyDescent="0.45">
      <c r="C66" s="48"/>
      <c r="D66" s="277" t="s">
        <v>19</v>
      </c>
      <c r="E66" s="277"/>
      <c r="F66" s="214">
        <f>Caculate!B39</f>
        <v>0</v>
      </c>
      <c r="G66" s="214">
        <f>Caculate!C39</f>
        <v>0</v>
      </c>
      <c r="H66" s="214">
        <f>Caculate!D39</f>
        <v>0</v>
      </c>
      <c r="I66" s="214">
        <f>Caculate!E39</f>
        <v>0</v>
      </c>
      <c r="J66" s="214">
        <f>Caculate!F39</f>
        <v>0</v>
      </c>
      <c r="K66" s="214">
        <f>Caculate!G39</f>
        <v>0</v>
      </c>
      <c r="L66" s="214">
        <f>Caculate!H39</f>
        <v>0</v>
      </c>
      <c r="M66" s="214">
        <f>Caculate!I39</f>
        <v>0</v>
      </c>
      <c r="N66" s="214">
        <f>Caculate!J39</f>
        <v>0</v>
      </c>
      <c r="O66" s="214">
        <f>Caculate!K39</f>
        <v>0</v>
      </c>
      <c r="P66" s="214">
        <f>Caculate!L39</f>
        <v>0</v>
      </c>
      <c r="Q66" s="214">
        <f>Caculate!M39</f>
        <v>0</v>
      </c>
      <c r="R66" s="131">
        <f>IFERROR(SUM(F66:Q66),"-")</f>
        <v>0</v>
      </c>
      <c r="S66" s="131" t="e">
        <f>Caculate!P39</f>
        <v>#N/A</v>
      </c>
      <c r="T66" s="248" t="str">
        <f>IFERROR(R66/S66,"-")</f>
        <v>-</v>
      </c>
      <c r="U66" s="64"/>
      <c r="V66" s="65"/>
    </row>
    <row r="67" spans="3:22" ht="20.399999999999999" x14ac:dyDescent="0.45">
      <c r="C67" s="48"/>
      <c r="D67" s="277" t="s">
        <v>81</v>
      </c>
      <c r="E67" s="277"/>
      <c r="F67" s="17"/>
      <c r="G67" s="17"/>
      <c r="H67" s="17"/>
      <c r="I67" s="17"/>
      <c r="J67" s="17"/>
      <c r="K67" s="17"/>
      <c r="L67" s="17"/>
      <c r="M67" s="17"/>
      <c r="N67" s="17"/>
      <c r="O67" s="17"/>
      <c r="P67" s="17"/>
      <c r="Q67" s="17"/>
      <c r="R67" s="131">
        <f>IFERROR(SUM(F67:Q67),"-")</f>
        <v>0</v>
      </c>
      <c r="S67" s="264" t="e">
        <f>Caculate!P39</f>
        <v>#N/A</v>
      </c>
      <c r="T67" s="248" t="str">
        <f>IFERROR(R67/S67,"-")</f>
        <v>-</v>
      </c>
      <c r="U67" s="64"/>
      <c r="V67" s="65"/>
    </row>
    <row r="68" spans="3:22" ht="20.399999999999999" x14ac:dyDescent="0.45">
      <c r="C68" s="48"/>
      <c r="D68" s="277" t="s">
        <v>27</v>
      </c>
      <c r="E68" s="277"/>
      <c r="F68" s="247">
        <f>IF('TRANG CHU'!$G$24="CIF",Caculate!B40,INDEX(Data_2!$D:$D, MATCH($N$11,Data_2!$A:$A, 0)))</f>
        <v>0</v>
      </c>
      <c r="G68" s="247">
        <f>IF('TRANG CHU'!$G$24="CIF",Caculate!C40,INDEX(Data_2!$D:$D, MATCH($N$11,Data_2!$A:$A, 0)))</f>
        <v>0</v>
      </c>
      <c r="H68" s="247">
        <f>IF('TRANG CHU'!$G$24="CIF",Caculate!D40,INDEX(Data_2!$D:$D, MATCH($N$11,Data_2!$A:$A, 0)))</f>
        <v>0</v>
      </c>
      <c r="I68" s="247">
        <f>IF('TRANG CHU'!$G$24="CIF",Caculate!E40,INDEX(Data_2!$D:$D, MATCH($N$11,Data_2!$A:$A, 0)))</f>
        <v>0</v>
      </c>
      <c r="J68" s="247">
        <f>IF('TRANG CHU'!$G$24="CIF",Caculate!F40,INDEX(Data_2!$D:$D, MATCH($N$11,Data_2!$A:$A, 0)))</f>
        <v>0</v>
      </c>
      <c r="K68" s="247">
        <f>IF('TRANG CHU'!$G$24="CIF",Caculate!G40,INDEX(Data_2!$D:$D, MATCH($N$11,Data_2!$A:$A, 0)))</f>
        <v>0</v>
      </c>
      <c r="L68" s="247">
        <f>IF('TRANG CHU'!$G$24="CIF",Caculate!H40,INDEX(Data_2!$D:$D, MATCH($N$11,Data_2!$A:$A, 0)))</f>
        <v>0</v>
      </c>
      <c r="M68" s="247">
        <f>IF('TRANG CHU'!$G$24="CIF",Caculate!I40,INDEX(Data_2!$D:$D, MATCH($N$11,Data_2!$A:$A, 0)))</f>
        <v>0</v>
      </c>
      <c r="N68" s="247">
        <f>IF('TRANG CHU'!$G$24="CIF",Caculate!J40,INDEX(Data_2!$D:$D, MATCH($N$11,Data_2!$A:$A, 0)))</f>
        <v>0</v>
      </c>
      <c r="O68" s="247">
        <f>IF('TRANG CHU'!$G$24="CIF",Caculate!K40,INDEX(Data_2!$D:$D, MATCH($N$11,Data_2!$A:$A, 0)))</f>
        <v>0</v>
      </c>
      <c r="P68" s="247">
        <f>IF('TRANG CHU'!$G$24="CIF",Caculate!L40,INDEX(Data_2!$D:$D, MATCH($N$11,Data_2!$A:$A, 0)))</f>
        <v>0</v>
      </c>
      <c r="Q68" s="247">
        <f>IF('TRANG CHU'!$G$24="CIF",Caculate!M40,INDEX(Data_2!$D:$D, MATCH($N$11,Data_2!$A:$A, 0)))</f>
        <v>0</v>
      </c>
      <c r="R68" s="259">
        <f>IFERROR(SUM(F68:Q68)/12,"-")</f>
        <v>0</v>
      </c>
      <c r="S68" s="247">
        <f>Caculate!P40</f>
        <v>0</v>
      </c>
      <c r="T68" s="98"/>
      <c r="U68" s="64"/>
      <c r="V68" s="65"/>
    </row>
    <row r="69" spans="3:22" ht="20.399999999999999" x14ac:dyDescent="0.45">
      <c r="C69" s="48"/>
      <c r="D69" s="278" t="s">
        <v>24</v>
      </c>
      <c r="E69" s="278"/>
      <c r="F69" s="16"/>
      <c r="G69" s="16"/>
      <c r="H69" s="16"/>
      <c r="I69" s="16"/>
      <c r="J69" s="16"/>
      <c r="K69" s="16"/>
      <c r="L69" s="16"/>
      <c r="M69" s="16"/>
      <c r="N69" s="16"/>
      <c r="O69" s="16"/>
      <c r="P69" s="16"/>
      <c r="Q69" s="16"/>
      <c r="R69" s="17"/>
      <c r="S69" s="16"/>
      <c r="T69" s="98"/>
      <c r="U69" s="64"/>
      <c r="V69" s="65"/>
    </row>
    <row r="70" spans="3:22" ht="19.8" x14ac:dyDescent="0.45">
      <c r="C70" s="48"/>
      <c r="D70" s="277" t="s">
        <v>19</v>
      </c>
      <c r="E70" s="277"/>
      <c r="F70" s="214">
        <f>Caculate!B42</f>
        <v>0</v>
      </c>
      <c r="G70" s="214">
        <f>Caculate!C42</f>
        <v>0</v>
      </c>
      <c r="H70" s="214">
        <f>Caculate!D42</f>
        <v>0</v>
      </c>
      <c r="I70" s="214">
        <f>Caculate!E42</f>
        <v>0</v>
      </c>
      <c r="J70" s="214">
        <f>Caculate!F42</f>
        <v>0</v>
      </c>
      <c r="K70" s="214">
        <f>Caculate!G42</f>
        <v>0</v>
      </c>
      <c r="L70" s="214">
        <f>Caculate!H42</f>
        <v>0</v>
      </c>
      <c r="M70" s="214">
        <f>Caculate!I42</f>
        <v>0</v>
      </c>
      <c r="N70" s="214">
        <f>Caculate!J42</f>
        <v>0</v>
      </c>
      <c r="O70" s="214">
        <f>Caculate!K42</f>
        <v>0</v>
      </c>
      <c r="P70" s="214">
        <f>Caculate!L42</f>
        <v>0</v>
      </c>
      <c r="Q70" s="214">
        <f>Caculate!M42</f>
        <v>0</v>
      </c>
      <c r="R70" s="131">
        <f>IFERROR(SUM(F70:Q70),"-")</f>
        <v>0</v>
      </c>
      <c r="S70" s="131" t="e">
        <f>Caculate!P42</f>
        <v>#N/A</v>
      </c>
      <c r="T70" s="248" t="str">
        <f>IFERROR(R70/S70,"-")</f>
        <v>-</v>
      </c>
      <c r="U70" s="64"/>
      <c r="V70" s="65"/>
    </row>
    <row r="71" spans="3:22" ht="20.399999999999999" x14ac:dyDescent="0.45">
      <c r="C71" s="48"/>
      <c r="D71" s="277" t="s">
        <v>81</v>
      </c>
      <c r="E71" s="277"/>
      <c r="F71" s="17"/>
      <c r="G71" s="17"/>
      <c r="H71" s="17"/>
      <c r="I71" s="17"/>
      <c r="J71" s="17"/>
      <c r="K71" s="17"/>
      <c r="L71" s="17"/>
      <c r="M71" s="17"/>
      <c r="N71" s="17"/>
      <c r="O71" s="17"/>
      <c r="P71" s="17"/>
      <c r="Q71" s="17"/>
      <c r="R71" s="131">
        <f>IFERROR(SUM(F71:Q71),"-")</f>
        <v>0</v>
      </c>
      <c r="S71" s="264" t="e">
        <f>Caculate!P42</f>
        <v>#N/A</v>
      </c>
      <c r="T71" s="248" t="str">
        <f>IFERROR(R71/S71,"-")</f>
        <v>-</v>
      </c>
      <c r="U71" s="64"/>
      <c r="V71" s="65"/>
    </row>
    <row r="72" spans="3:22" ht="20.399999999999999" x14ac:dyDescent="0.45">
      <c r="C72" s="48"/>
      <c r="D72" s="277" t="s">
        <v>27</v>
      </c>
      <c r="E72" s="277"/>
      <c r="F72" s="247">
        <f>IF('TRANG CHU'!$G$24="CIF",Caculate!B43,INDEX(Data_2!$D:$D, MATCH($N$11,Data_2!$A:$A, 0)))</f>
        <v>0</v>
      </c>
      <c r="G72" s="247">
        <f>IF('TRANG CHU'!$G$24="CIF",Caculate!C43,INDEX(Data_2!$D:$D, MATCH($N$11,Data_2!$A:$A, 0)))</f>
        <v>0</v>
      </c>
      <c r="H72" s="247">
        <f>IF('TRANG CHU'!$G$24="CIF",Caculate!D43,INDEX(Data_2!$D:$D, MATCH($N$11,Data_2!$A:$A, 0)))</f>
        <v>0</v>
      </c>
      <c r="I72" s="247">
        <f>IF('TRANG CHU'!$G$24="CIF",Caculate!E43,INDEX(Data_2!$D:$D, MATCH($N$11,Data_2!$A:$A, 0)))</f>
        <v>0</v>
      </c>
      <c r="J72" s="247">
        <f>IF('TRANG CHU'!$G$24="CIF",Caculate!F43,INDEX(Data_2!$D:$D, MATCH($N$11,Data_2!$A:$A, 0)))</f>
        <v>0</v>
      </c>
      <c r="K72" s="247">
        <f>IF('TRANG CHU'!$G$24="CIF",Caculate!G43,INDEX(Data_2!$D:$D, MATCH($N$11,Data_2!$A:$A, 0)))</f>
        <v>0</v>
      </c>
      <c r="L72" s="247">
        <f>IF('TRANG CHU'!$G$24="CIF",Caculate!H43,INDEX(Data_2!$D:$D, MATCH($N$11,Data_2!$A:$A, 0)))</f>
        <v>0</v>
      </c>
      <c r="M72" s="247">
        <f>IF('TRANG CHU'!$G$24="CIF",Caculate!I43,INDEX(Data_2!$D:$D, MATCH($N$11,Data_2!$A:$A, 0)))</f>
        <v>0</v>
      </c>
      <c r="N72" s="247">
        <f>IF('TRANG CHU'!$G$24="CIF",Caculate!J43,INDEX(Data_2!$D:$D, MATCH($N$11,Data_2!$A:$A, 0)))</f>
        <v>0</v>
      </c>
      <c r="O72" s="247">
        <f>IF('TRANG CHU'!$G$24="CIF",Caculate!K43,INDEX(Data_2!$D:$D, MATCH($N$11,Data_2!$A:$A, 0)))</f>
        <v>0</v>
      </c>
      <c r="P72" s="247">
        <f>IF('TRANG CHU'!$G$24="CIF",Caculate!L43,INDEX(Data_2!$D:$D, MATCH($N$11,Data_2!$A:$A, 0)))</f>
        <v>0</v>
      </c>
      <c r="Q72" s="247">
        <f>IF('TRANG CHU'!$G$24="CIF",Caculate!M43,INDEX(Data_2!$D:$D, MATCH($N$11,Data_2!$A:$A, 0)))</f>
        <v>0</v>
      </c>
      <c r="R72" s="259">
        <f>IFERROR(SUM(F72:Q72)/12,"-")</f>
        <v>0</v>
      </c>
      <c r="S72" s="247">
        <f>Caculate!P43</f>
        <v>0</v>
      </c>
      <c r="T72" s="98"/>
      <c r="U72" s="64"/>
      <c r="V72" s="65"/>
    </row>
    <row r="73" spans="3:22" ht="20.399999999999999" x14ac:dyDescent="0.45">
      <c r="C73" s="48"/>
      <c r="D73" s="279" t="s">
        <v>25</v>
      </c>
      <c r="E73" s="279"/>
      <c r="F73" s="16"/>
      <c r="G73" s="16"/>
      <c r="H73" s="16"/>
      <c r="I73" s="16"/>
      <c r="J73" s="16"/>
      <c r="K73" s="16"/>
      <c r="L73" s="16"/>
      <c r="M73" s="16"/>
      <c r="N73" s="16"/>
      <c r="O73" s="16"/>
      <c r="P73" s="16"/>
      <c r="Q73" s="16"/>
      <c r="R73" s="17"/>
      <c r="S73" s="16"/>
      <c r="T73" s="98"/>
      <c r="U73" s="64"/>
      <c r="V73" s="65"/>
    </row>
    <row r="74" spans="3:22" ht="22.5" customHeight="1" x14ac:dyDescent="0.45">
      <c r="C74" s="48"/>
      <c r="D74" s="277" t="s">
        <v>19</v>
      </c>
      <c r="E74" s="277"/>
      <c r="F74" s="214">
        <f>Caculate!B45</f>
        <v>0</v>
      </c>
      <c r="G74" s="214">
        <f>Caculate!C45</f>
        <v>0</v>
      </c>
      <c r="H74" s="214">
        <f>Caculate!D45</f>
        <v>0</v>
      </c>
      <c r="I74" s="214">
        <f>Caculate!E45</f>
        <v>0</v>
      </c>
      <c r="J74" s="214">
        <f>Caculate!F45</f>
        <v>0</v>
      </c>
      <c r="K74" s="214">
        <f>Caculate!G45</f>
        <v>0</v>
      </c>
      <c r="L74" s="214">
        <f>Caculate!H45</f>
        <v>0</v>
      </c>
      <c r="M74" s="214">
        <f>Caculate!I45</f>
        <v>0</v>
      </c>
      <c r="N74" s="214">
        <f>Caculate!J45</f>
        <v>0</v>
      </c>
      <c r="O74" s="214">
        <f>Caculate!K45</f>
        <v>0</v>
      </c>
      <c r="P74" s="214">
        <f>Caculate!L45</f>
        <v>0</v>
      </c>
      <c r="Q74" s="214">
        <f>Caculate!M45</f>
        <v>0</v>
      </c>
      <c r="R74" s="131">
        <f>IFERROR(SUM(F74:Q74),"-")</f>
        <v>0</v>
      </c>
      <c r="S74" s="131" t="e">
        <f>Caculate!P45</f>
        <v>#N/A</v>
      </c>
      <c r="T74" s="248" t="str">
        <f>IFERROR(R74/S74,"-")</f>
        <v>-</v>
      </c>
      <c r="U74" s="64"/>
      <c r="V74" s="65"/>
    </row>
    <row r="75" spans="3:22" ht="20.399999999999999" x14ac:dyDescent="0.45">
      <c r="C75" s="48"/>
      <c r="D75" s="277" t="s">
        <v>88</v>
      </c>
      <c r="E75" s="277"/>
      <c r="F75" s="17"/>
      <c r="G75" s="17"/>
      <c r="H75" s="17"/>
      <c r="I75" s="17"/>
      <c r="J75" s="17"/>
      <c r="K75" s="17"/>
      <c r="L75" s="17"/>
      <c r="M75" s="17"/>
      <c r="N75" s="17"/>
      <c r="O75" s="17"/>
      <c r="P75" s="17"/>
      <c r="Q75" s="17"/>
      <c r="R75" s="131">
        <f>IFERROR(SUM(F75:Q75),"-")</f>
        <v>0</v>
      </c>
      <c r="S75" s="264" t="e">
        <f>Caculate!P45</f>
        <v>#N/A</v>
      </c>
      <c r="T75" s="248" t="str">
        <f>IFERROR(R75/S75,"-")</f>
        <v>-</v>
      </c>
      <c r="U75" s="64"/>
      <c r="V75" s="65"/>
    </row>
    <row r="76" spans="3:22" ht="20.399999999999999" x14ac:dyDescent="0.45">
      <c r="C76" s="48"/>
      <c r="D76" s="277" t="s">
        <v>27</v>
      </c>
      <c r="E76" s="277"/>
      <c r="F76" s="247">
        <f>IF('TRANG CHU'!$G$24="CIF",Caculate!B46,INDEX(Data_2!$D:$D, MATCH($N$11,Data_2!$A:$A, 0)))</f>
        <v>0</v>
      </c>
      <c r="G76" s="247">
        <f>IF('TRANG CHU'!$G$24="CIF",Caculate!C46,INDEX(Data_2!$D:$D, MATCH($N$11,Data_2!$A:$A, 0)))</f>
        <v>0</v>
      </c>
      <c r="H76" s="247">
        <f>IF('TRANG CHU'!$G$24="CIF",Caculate!D46,INDEX(Data_2!$D:$D, MATCH($N$11,Data_2!$A:$A, 0)))</f>
        <v>0</v>
      </c>
      <c r="I76" s="247">
        <f>IF('TRANG CHU'!$G$24="CIF",Caculate!E46,INDEX(Data_2!$D:$D, MATCH($N$11,Data_2!$A:$A, 0)))</f>
        <v>0</v>
      </c>
      <c r="J76" s="247">
        <f>IF('TRANG CHU'!$G$24="CIF",Caculate!F46,INDEX(Data_2!$D:$D, MATCH($N$11,Data_2!$A:$A, 0)))</f>
        <v>0</v>
      </c>
      <c r="K76" s="247">
        <f>IF('TRANG CHU'!$G$24="CIF",Caculate!G46,INDEX(Data_2!$D:$D, MATCH($N$11,Data_2!$A:$A, 0)))</f>
        <v>0</v>
      </c>
      <c r="L76" s="247">
        <f>IF('TRANG CHU'!$G$24="CIF",Caculate!H46,INDEX(Data_2!$D:$D, MATCH($N$11,Data_2!$A:$A, 0)))</f>
        <v>0</v>
      </c>
      <c r="M76" s="247">
        <f>IF('TRANG CHU'!$G$24="CIF",Caculate!I46,INDEX(Data_2!$D:$D, MATCH($N$11,Data_2!$A:$A, 0)))</f>
        <v>0</v>
      </c>
      <c r="N76" s="247">
        <f>IF('TRANG CHU'!$G$24="CIF",Caculate!J46,INDEX(Data_2!$D:$D, MATCH($N$11,Data_2!$A:$A, 0)))</f>
        <v>0</v>
      </c>
      <c r="O76" s="247">
        <f>IF('TRANG CHU'!$G$24="CIF",Caculate!K46,INDEX(Data_2!$D:$D, MATCH($N$11,Data_2!$A:$A, 0)))</f>
        <v>0</v>
      </c>
      <c r="P76" s="247">
        <f>IF('TRANG CHU'!$G$24="CIF",Caculate!L46,INDEX(Data_2!$D:$D, MATCH($N$11,Data_2!$A:$A, 0)))</f>
        <v>0</v>
      </c>
      <c r="Q76" s="247">
        <f>IF('TRANG CHU'!$G$24="CIF",Caculate!M46,INDEX(Data_2!$D:$D, MATCH($N$11,Data_2!$A:$A, 0)))</f>
        <v>0</v>
      </c>
      <c r="R76" s="259">
        <f>IFERROR(SUM(F76:Q76)/12,"-")</f>
        <v>0</v>
      </c>
      <c r="S76" s="247">
        <f>Caculate!P46</f>
        <v>0</v>
      </c>
      <c r="T76" s="98"/>
      <c r="U76" s="64"/>
      <c r="V76" s="65"/>
    </row>
    <row r="77" spans="3:22" ht="20.399999999999999" x14ac:dyDescent="0.45">
      <c r="C77" s="48"/>
      <c r="D77" s="279" t="s">
        <v>26</v>
      </c>
      <c r="E77" s="279"/>
      <c r="F77" s="18"/>
      <c r="G77" s="18"/>
      <c r="H77" s="18"/>
      <c r="I77" s="18"/>
      <c r="J77" s="18"/>
      <c r="K77" s="18"/>
      <c r="L77" s="18"/>
      <c r="M77" s="18"/>
      <c r="N77" s="18"/>
      <c r="O77" s="18"/>
      <c r="P77" s="18"/>
      <c r="Q77" s="18"/>
      <c r="R77" s="17"/>
      <c r="S77" s="18"/>
      <c r="T77" s="98"/>
      <c r="U77" s="49"/>
      <c r="V77" s="50"/>
    </row>
    <row r="78" spans="3:22" ht="19.8" x14ac:dyDescent="0.45">
      <c r="C78" s="48"/>
      <c r="D78" s="277" t="s">
        <v>19</v>
      </c>
      <c r="E78" s="277"/>
      <c r="F78" s="214">
        <f>Caculate!B48</f>
        <v>0</v>
      </c>
      <c r="G78" s="214">
        <f>Caculate!C48</f>
        <v>0</v>
      </c>
      <c r="H78" s="214">
        <f>Caculate!D48</f>
        <v>0</v>
      </c>
      <c r="I78" s="214">
        <f>Caculate!E48</f>
        <v>0</v>
      </c>
      <c r="J78" s="214">
        <f>Caculate!F48</f>
        <v>0</v>
      </c>
      <c r="K78" s="214">
        <f>Caculate!G48</f>
        <v>0</v>
      </c>
      <c r="L78" s="214">
        <f>Caculate!H48</f>
        <v>0</v>
      </c>
      <c r="M78" s="214">
        <f>Caculate!I48</f>
        <v>0</v>
      </c>
      <c r="N78" s="214">
        <f>Caculate!J48</f>
        <v>0</v>
      </c>
      <c r="O78" s="214">
        <f>Caculate!K48</f>
        <v>0</v>
      </c>
      <c r="P78" s="214">
        <f>Caculate!L48</f>
        <v>0</v>
      </c>
      <c r="Q78" s="214">
        <f>Caculate!M48</f>
        <v>0</v>
      </c>
      <c r="R78" s="131">
        <f>IFERROR(SUM(F78:Q78),"-")</f>
        <v>0</v>
      </c>
      <c r="S78" s="131" t="e">
        <f>Caculate!P48</f>
        <v>#N/A</v>
      </c>
      <c r="T78" s="248" t="str">
        <f>IFERROR(R78/S78,"-")</f>
        <v>-</v>
      </c>
      <c r="U78" s="49"/>
      <c r="V78" s="50"/>
    </row>
    <row r="79" spans="3:22" ht="20.399999999999999" x14ac:dyDescent="0.45">
      <c r="C79" s="48"/>
      <c r="D79" s="277" t="s">
        <v>88</v>
      </c>
      <c r="E79" s="277"/>
      <c r="F79" s="17"/>
      <c r="G79" s="17"/>
      <c r="H79" s="17"/>
      <c r="I79" s="17"/>
      <c r="J79" s="17"/>
      <c r="K79" s="17"/>
      <c r="L79" s="17"/>
      <c r="M79" s="17"/>
      <c r="N79" s="17"/>
      <c r="O79" s="17"/>
      <c r="P79" s="17"/>
      <c r="Q79" s="17"/>
      <c r="R79" s="131">
        <f>IFERROR(SUM(F79:Q79),"-")</f>
        <v>0</v>
      </c>
      <c r="S79" s="264" t="e">
        <f>Caculate!P48</f>
        <v>#N/A</v>
      </c>
      <c r="T79" s="248" t="str">
        <f>IFERROR(R79/S79,"-")</f>
        <v>-</v>
      </c>
      <c r="U79" s="49"/>
      <c r="V79" s="50"/>
    </row>
    <row r="80" spans="3:22" ht="20.399999999999999" x14ac:dyDescent="0.45">
      <c r="C80" s="48"/>
      <c r="D80" s="277" t="s">
        <v>27</v>
      </c>
      <c r="E80" s="277"/>
      <c r="F80" s="247">
        <f>IF('TRANG CHU'!$G$24="CIF",Caculate!B49,INDEX(Data_2!$D:$D, MATCH($N$11,Data_2!$A:$A, 0)))</f>
        <v>0</v>
      </c>
      <c r="G80" s="247">
        <f>IF('TRANG CHU'!$G$24="CIF",Caculate!C49,INDEX(Data_2!$D:$D, MATCH($N$11,Data_2!$A:$A, 0)))</f>
        <v>0</v>
      </c>
      <c r="H80" s="247">
        <f>IF('TRANG CHU'!$G$24="CIF",Caculate!D49,INDEX(Data_2!$D:$D, MATCH($N$11,Data_2!$A:$A, 0)))</f>
        <v>0</v>
      </c>
      <c r="I80" s="247">
        <f>IF('TRANG CHU'!$G$24="CIF",Caculate!E49,INDEX(Data_2!$D:$D, MATCH($N$11,Data_2!$A:$A, 0)))</f>
        <v>0</v>
      </c>
      <c r="J80" s="247">
        <f>IF('TRANG CHU'!$G$24="CIF",Caculate!F49,INDEX(Data_2!$D:$D, MATCH($N$11,Data_2!$A:$A, 0)))</f>
        <v>0</v>
      </c>
      <c r="K80" s="247">
        <f>IF('TRANG CHU'!$G$24="CIF",Caculate!G49,INDEX(Data_2!$D:$D, MATCH($N$11,Data_2!$A:$A, 0)))</f>
        <v>0</v>
      </c>
      <c r="L80" s="247">
        <f>IF('TRANG CHU'!$G$24="CIF",Caculate!H49,INDEX(Data_2!$D:$D, MATCH($N$11,Data_2!$A:$A, 0)))</f>
        <v>0</v>
      </c>
      <c r="M80" s="247">
        <f>IF('TRANG CHU'!$G$24="CIF",Caculate!I49,INDEX(Data_2!$D:$D, MATCH($N$11,Data_2!$A:$A, 0)))</f>
        <v>0</v>
      </c>
      <c r="N80" s="247">
        <f>IF('TRANG CHU'!$G$24="CIF",Caculate!J49,INDEX(Data_2!$D:$D, MATCH($N$11,Data_2!$A:$A, 0)))</f>
        <v>0</v>
      </c>
      <c r="O80" s="247">
        <f>IF('TRANG CHU'!$G$24="CIF",Caculate!K49,INDEX(Data_2!$D:$D, MATCH($N$11,Data_2!$A:$A, 0)))</f>
        <v>0</v>
      </c>
      <c r="P80" s="247">
        <f>IF('TRANG CHU'!$G$24="CIF",Caculate!L49,INDEX(Data_2!$D:$D, MATCH($N$11,Data_2!$A:$A, 0)))</f>
        <v>0</v>
      </c>
      <c r="Q80" s="247">
        <f>IF('TRANG CHU'!$G$24="CIF",Caculate!M49,INDEX(Data_2!$D:$D, MATCH($N$11,Data_2!$A:$A, 0)))</f>
        <v>0</v>
      </c>
      <c r="R80" s="259">
        <f>IFERROR(SUM(F80:Q80)/12,"-")</f>
        <v>0</v>
      </c>
      <c r="S80" s="247">
        <f>Caculate!P49</f>
        <v>0</v>
      </c>
      <c r="T80" s="98"/>
      <c r="U80" s="49"/>
      <c r="V80" s="50"/>
    </row>
    <row r="81" spans="3:25" ht="20.399999999999999" x14ac:dyDescent="0.45">
      <c r="C81" s="48"/>
      <c r="D81" s="278" t="s">
        <v>148</v>
      </c>
      <c r="E81" s="278"/>
      <c r="F81" s="16"/>
      <c r="G81" s="16"/>
      <c r="H81" s="16"/>
      <c r="I81" s="16"/>
      <c r="J81" s="16"/>
      <c r="K81" s="16"/>
      <c r="L81" s="16"/>
      <c r="M81" s="16"/>
      <c r="N81" s="16"/>
      <c r="O81" s="16"/>
      <c r="P81" s="16"/>
      <c r="Q81" s="16"/>
      <c r="R81" s="17"/>
      <c r="S81" s="16"/>
      <c r="T81" s="98"/>
      <c r="U81" s="49"/>
      <c r="V81" s="50"/>
    </row>
    <row r="82" spans="3:25" ht="20.399999999999999" x14ac:dyDescent="0.45">
      <c r="C82" s="48"/>
      <c r="D82" s="322"/>
      <c r="E82" s="322"/>
      <c r="F82" s="99"/>
      <c r="G82" s="99"/>
      <c r="H82" s="99"/>
      <c r="I82" s="99"/>
      <c r="J82" s="99"/>
      <c r="K82" s="99"/>
      <c r="L82" s="99"/>
      <c r="M82" s="99"/>
      <c r="N82" s="99"/>
      <c r="O82" s="99"/>
      <c r="P82" s="99"/>
      <c r="Q82" s="99"/>
      <c r="R82" s="66"/>
      <c r="S82" s="66"/>
      <c r="T82" s="98"/>
      <c r="U82" s="49"/>
      <c r="V82" s="50"/>
    </row>
    <row r="83" spans="3:25" ht="20.25" customHeight="1" x14ac:dyDescent="0.45">
      <c r="C83" s="48"/>
      <c r="D83" s="277" t="s">
        <v>90</v>
      </c>
      <c r="E83" s="277"/>
      <c r="F83" s="16"/>
      <c r="G83" s="16"/>
      <c r="H83" s="16"/>
      <c r="I83" s="16"/>
      <c r="J83" s="16"/>
      <c r="K83" s="16"/>
      <c r="L83" s="16"/>
      <c r="M83" s="16"/>
      <c r="N83" s="16"/>
      <c r="O83" s="16"/>
      <c r="P83" s="16"/>
      <c r="Q83" s="16"/>
      <c r="R83" s="251">
        <f>IFERROR(SUM(F83:Q83),"-")</f>
        <v>0</v>
      </c>
      <c r="S83" s="16"/>
      <c r="T83" s="248" t="str">
        <f>IFERROR(R83/S83,"-")</f>
        <v>-</v>
      </c>
      <c r="U83" s="49"/>
      <c r="V83" s="50"/>
    </row>
    <row r="84" spans="3:25" ht="20.399999999999999" x14ac:dyDescent="0.45">
      <c r="C84" s="48"/>
      <c r="D84" s="277" t="s">
        <v>27</v>
      </c>
      <c r="E84" s="277"/>
      <c r="F84" s="247"/>
      <c r="G84" s="247"/>
      <c r="H84" s="247"/>
      <c r="I84" s="247"/>
      <c r="J84" s="247"/>
      <c r="K84" s="247"/>
      <c r="L84" s="247"/>
      <c r="M84" s="247"/>
      <c r="N84" s="247"/>
      <c r="O84" s="247"/>
      <c r="P84" s="247"/>
      <c r="Q84" s="247"/>
      <c r="R84" s="247">
        <f>IFERROR(SUM(F84:Q84)/12,"-")</f>
        <v>0</v>
      </c>
      <c r="S84" s="14"/>
      <c r="T84" s="98"/>
      <c r="U84" s="49"/>
      <c r="V84" s="50"/>
    </row>
    <row r="85" spans="3:25" ht="20.399999999999999" x14ac:dyDescent="0.45">
      <c r="C85" s="48"/>
      <c r="D85" s="283"/>
      <c r="E85" s="283"/>
      <c r="F85" s="14"/>
      <c r="G85" s="14"/>
      <c r="H85" s="14"/>
      <c r="I85" s="14"/>
      <c r="J85" s="14"/>
      <c r="K85" s="14"/>
      <c r="L85" s="14"/>
      <c r="M85" s="14"/>
      <c r="N85" s="14"/>
      <c r="O85" s="14"/>
      <c r="P85" s="14"/>
      <c r="Q85" s="14"/>
      <c r="R85" s="14"/>
      <c r="S85" s="14"/>
      <c r="T85" s="14"/>
      <c r="U85" s="49"/>
      <c r="V85" s="50"/>
    </row>
    <row r="86" spans="3:25" ht="20.399999999999999" x14ac:dyDescent="0.45">
      <c r="C86" s="48"/>
      <c r="D86" s="277" t="s">
        <v>90</v>
      </c>
      <c r="E86" s="277"/>
      <c r="F86" s="14"/>
      <c r="G86" s="14"/>
      <c r="H86" s="14"/>
      <c r="I86" s="14"/>
      <c r="J86" s="14"/>
      <c r="K86" s="14"/>
      <c r="L86" s="14"/>
      <c r="M86" s="14"/>
      <c r="N86" s="14"/>
      <c r="O86" s="14"/>
      <c r="P86" s="14"/>
      <c r="Q86" s="14"/>
      <c r="R86" s="15">
        <f>IFERROR(SUM(F86:Q86),"-")</f>
        <v>0</v>
      </c>
      <c r="S86" s="14"/>
      <c r="T86" s="248" t="str">
        <f>IFERROR(R86/S86,"-")</f>
        <v>-</v>
      </c>
      <c r="U86" s="49"/>
      <c r="V86" s="50"/>
    </row>
    <row r="87" spans="3:25" ht="20.399999999999999" x14ac:dyDescent="0.45">
      <c r="C87" s="48"/>
      <c r="D87" s="277" t="s">
        <v>27</v>
      </c>
      <c r="E87" s="277"/>
      <c r="F87" s="247"/>
      <c r="G87" s="247"/>
      <c r="H87" s="247"/>
      <c r="I87" s="247"/>
      <c r="J87" s="247"/>
      <c r="K87" s="247"/>
      <c r="L87" s="247"/>
      <c r="M87" s="247"/>
      <c r="N87" s="247"/>
      <c r="O87" s="247"/>
      <c r="P87" s="247"/>
      <c r="Q87" s="247"/>
      <c r="R87" s="247">
        <f>IFERROR(SUM(F87:Q87)/12,"-")</f>
        <v>0</v>
      </c>
      <c r="S87" s="14"/>
      <c r="T87" s="14"/>
      <c r="U87" s="49"/>
      <c r="V87" s="50"/>
    </row>
    <row r="88" spans="3:25" ht="20.399999999999999" x14ac:dyDescent="0.45">
      <c r="C88" s="48"/>
      <c r="D88" s="283"/>
      <c r="E88" s="283"/>
      <c r="F88" s="14"/>
      <c r="G88" s="14"/>
      <c r="H88" s="14"/>
      <c r="I88" s="14"/>
      <c r="J88" s="14"/>
      <c r="K88" s="14"/>
      <c r="L88" s="14"/>
      <c r="M88" s="14"/>
      <c r="N88" s="14"/>
      <c r="O88" s="14"/>
      <c r="P88" s="14"/>
      <c r="Q88" s="14"/>
      <c r="R88" s="14"/>
      <c r="S88" s="14"/>
      <c r="T88" s="14"/>
      <c r="U88" s="49"/>
      <c r="V88" s="50"/>
    </row>
    <row r="89" spans="3:25" ht="20.399999999999999" x14ac:dyDescent="0.45">
      <c r="C89" s="48"/>
      <c r="D89" s="277" t="s">
        <v>90</v>
      </c>
      <c r="E89" s="277"/>
      <c r="F89" s="14"/>
      <c r="G89" s="14"/>
      <c r="H89" s="14"/>
      <c r="I89" s="14"/>
      <c r="J89" s="14"/>
      <c r="K89" s="14"/>
      <c r="L89" s="14"/>
      <c r="M89" s="14"/>
      <c r="N89" s="14"/>
      <c r="O89" s="14"/>
      <c r="P89" s="14"/>
      <c r="Q89" s="14"/>
      <c r="R89" s="15">
        <f>IFERROR(SUM(F89:Q89),"-")</f>
        <v>0</v>
      </c>
      <c r="S89" s="14"/>
      <c r="T89" s="248" t="str">
        <f>IFERROR(R89/S89,"-")</f>
        <v>-</v>
      </c>
      <c r="U89" s="49"/>
      <c r="V89" s="50"/>
    </row>
    <row r="90" spans="3:25" ht="20.399999999999999" x14ac:dyDescent="0.45">
      <c r="C90" s="48"/>
      <c r="D90" s="277" t="s">
        <v>27</v>
      </c>
      <c r="E90" s="277"/>
      <c r="F90" s="247"/>
      <c r="G90" s="247"/>
      <c r="H90" s="247"/>
      <c r="I90" s="247"/>
      <c r="J90" s="247"/>
      <c r="K90" s="247"/>
      <c r="L90" s="247"/>
      <c r="M90" s="247"/>
      <c r="N90" s="247"/>
      <c r="O90" s="247"/>
      <c r="P90" s="247"/>
      <c r="Q90" s="247"/>
      <c r="R90" s="247">
        <f>IFERROR(SUM(F90:Q90)/12,"-")</f>
        <v>0</v>
      </c>
      <c r="S90" s="14"/>
      <c r="T90" s="14"/>
      <c r="U90" s="49"/>
      <c r="V90" s="50"/>
    </row>
    <row r="91" spans="3:25" ht="20.399999999999999" x14ac:dyDescent="0.45">
      <c r="C91" s="48"/>
      <c r="D91" s="14"/>
      <c r="E91" s="14"/>
      <c r="F91" s="14"/>
      <c r="G91" s="14"/>
      <c r="H91" s="14"/>
      <c r="I91" s="14"/>
      <c r="J91" s="14"/>
      <c r="K91" s="14"/>
      <c r="L91" s="14"/>
      <c r="M91" s="14"/>
      <c r="N91" s="14"/>
      <c r="O91" s="14"/>
      <c r="P91" s="14"/>
      <c r="Q91" s="14"/>
      <c r="R91" s="14"/>
      <c r="S91" s="14"/>
      <c r="T91" s="14"/>
      <c r="U91" s="49"/>
      <c r="V91" s="50"/>
    </row>
    <row r="92" spans="3:25" ht="17.399999999999999" thickBot="1" x14ac:dyDescent="0.45">
      <c r="C92" s="48"/>
      <c r="D92" s="49"/>
      <c r="E92" s="49"/>
      <c r="F92" s="49"/>
      <c r="G92" s="49"/>
      <c r="H92" s="49"/>
      <c r="I92" s="49"/>
      <c r="J92" s="49"/>
      <c r="K92" s="49"/>
      <c r="L92" s="49"/>
      <c r="M92" s="49"/>
      <c r="N92" s="49"/>
      <c r="O92" s="49"/>
      <c r="P92" s="49"/>
      <c r="Q92" s="49"/>
      <c r="R92" s="49"/>
      <c r="S92" s="49"/>
      <c r="T92" s="49"/>
      <c r="U92" s="49"/>
      <c r="V92" s="50"/>
    </row>
    <row r="93" spans="3:25" ht="28.2" thickTop="1" thickBot="1" x14ac:dyDescent="0.45">
      <c r="C93" s="272" t="s">
        <v>212</v>
      </c>
      <c r="D93" s="273"/>
      <c r="E93" s="273"/>
      <c r="F93" s="273"/>
      <c r="G93" s="273"/>
      <c r="H93" s="273"/>
      <c r="I93" s="273"/>
      <c r="J93" s="273"/>
      <c r="K93" s="273"/>
      <c r="L93" s="273"/>
      <c r="M93" s="273"/>
      <c r="N93" s="273"/>
      <c r="O93" s="273"/>
      <c r="P93" s="273"/>
      <c r="Q93" s="273"/>
      <c r="R93" s="273"/>
      <c r="S93" s="273"/>
      <c r="T93" s="273"/>
      <c r="U93" s="273"/>
      <c r="V93" s="295"/>
    </row>
    <row r="94" spans="3:25" ht="19.8" thickTop="1" x14ac:dyDescent="0.4">
      <c r="C94" s="19"/>
      <c r="D94" s="49"/>
      <c r="E94" s="49"/>
      <c r="F94" s="49"/>
      <c r="G94" s="49"/>
      <c r="H94" s="49"/>
      <c r="I94" s="49"/>
      <c r="J94" s="49"/>
      <c r="K94" s="49"/>
      <c r="L94" s="49"/>
      <c r="M94" s="49"/>
      <c r="N94" s="49"/>
      <c r="O94" s="49"/>
      <c r="P94" s="49"/>
      <c r="Q94" s="49"/>
      <c r="R94" s="49"/>
      <c r="S94" s="49"/>
      <c r="T94" s="49"/>
      <c r="U94" s="49"/>
      <c r="V94" s="50"/>
    </row>
    <row r="95" spans="3:25" ht="19.2" x14ac:dyDescent="0.4">
      <c r="C95" s="19"/>
      <c r="D95" s="49"/>
      <c r="E95" s="49"/>
      <c r="F95" s="220" t="str">
        <f>'TRANG CHU'!I18</f>
        <v>Mar-25</v>
      </c>
      <c r="G95" s="221">
        <f t="shared" ref="G95:Q95" si="2">DATE(YEAR(EDATE(F95, 1)), MONTH(EDATE(F95, 1)), 1)</f>
        <v>45748</v>
      </c>
      <c r="H95" s="221">
        <f t="shared" si="2"/>
        <v>45778</v>
      </c>
      <c r="I95" s="221">
        <f t="shared" si="2"/>
        <v>45809</v>
      </c>
      <c r="J95" s="221">
        <f t="shared" si="2"/>
        <v>45839</v>
      </c>
      <c r="K95" s="221">
        <f t="shared" si="2"/>
        <v>45870</v>
      </c>
      <c r="L95" s="221">
        <f t="shared" si="2"/>
        <v>45901</v>
      </c>
      <c r="M95" s="221">
        <f t="shared" si="2"/>
        <v>45931</v>
      </c>
      <c r="N95" s="221">
        <f t="shared" si="2"/>
        <v>45962</v>
      </c>
      <c r="O95" s="221">
        <f t="shared" si="2"/>
        <v>45992</v>
      </c>
      <c r="P95" s="221">
        <f t="shared" si="2"/>
        <v>46023</v>
      </c>
      <c r="Q95" s="221">
        <f t="shared" si="2"/>
        <v>46054</v>
      </c>
      <c r="R95" s="222" t="s">
        <v>20</v>
      </c>
      <c r="S95" s="13" t="s">
        <v>57</v>
      </c>
      <c r="T95" s="13" t="s">
        <v>28</v>
      </c>
      <c r="U95" s="49"/>
      <c r="V95" s="50"/>
    </row>
    <row r="96" spans="3:25" ht="20.399999999999999" x14ac:dyDescent="0.45">
      <c r="C96" s="19"/>
      <c r="D96" s="20" t="s">
        <v>14</v>
      </c>
      <c r="E96" s="20"/>
      <c r="F96" s="249">
        <f>SUM(F97+F101+F105+F106)</f>
        <v>0</v>
      </c>
      <c r="G96" s="249">
        <f t="shared" ref="G96:Q96" si="3">SUM(G97+G101+G105+G106)</f>
        <v>0</v>
      </c>
      <c r="H96" s="249">
        <f t="shared" si="3"/>
        <v>0</v>
      </c>
      <c r="I96" s="249">
        <f t="shared" si="3"/>
        <v>0</v>
      </c>
      <c r="J96" s="249">
        <f t="shared" si="3"/>
        <v>0</v>
      </c>
      <c r="K96" s="249">
        <f t="shared" si="3"/>
        <v>0</v>
      </c>
      <c r="L96" s="249">
        <f t="shared" si="3"/>
        <v>0</v>
      </c>
      <c r="M96" s="249">
        <f t="shared" si="3"/>
        <v>0</v>
      </c>
      <c r="N96" s="249">
        <f t="shared" si="3"/>
        <v>0</v>
      </c>
      <c r="O96" s="249">
        <f t="shared" si="3"/>
        <v>0</v>
      </c>
      <c r="P96" s="249">
        <f t="shared" si="3"/>
        <v>0</v>
      </c>
      <c r="Q96" s="249">
        <f t="shared" si="3"/>
        <v>0</v>
      </c>
      <c r="R96" s="249">
        <f>IFERROR(SUM(R97+R101+R105+R106),"-")</f>
        <v>0</v>
      </c>
      <c r="S96" s="253" t="e">
        <f>SUM(S97+S101+S105+S106)</f>
        <v>#N/A</v>
      </c>
      <c r="T96" s="248" t="str">
        <f>IFERROR(R96/S96,"-")</f>
        <v>-</v>
      </c>
      <c r="U96" s="49"/>
      <c r="V96" s="50"/>
      <c r="X96" s="280"/>
      <c r="Y96" s="280"/>
    </row>
    <row r="97" spans="3:25" ht="20.399999999999999" x14ac:dyDescent="0.45">
      <c r="C97" s="19"/>
      <c r="D97" s="21" t="s">
        <v>17</v>
      </c>
      <c r="E97" s="21"/>
      <c r="F97" s="249">
        <f>SUM(F98:F100)</f>
        <v>0</v>
      </c>
      <c r="G97" s="249">
        <f t="shared" ref="G97:Q97" si="4">SUM(G98:G100)</f>
        <v>0</v>
      </c>
      <c r="H97" s="249">
        <f t="shared" si="4"/>
        <v>0</v>
      </c>
      <c r="I97" s="249">
        <f t="shared" si="4"/>
        <v>0</v>
      </c>
      <c r="J97" s="249">
        <f t="shared" si="4"/>
        <v>0</v>
      </c>
      <c r="K97" s="249">
        <f t="shared" si="4"/>
        <v>0</v>
      </c>
      <c r="L97" s="249">
        <f t="shared" si="4"/>
        <v>0</v>
      </c>
      <c r="M97" s="249">
        <f t="shared" si="4"/>
        <v>0</v>
      </c>
      <c r="N97" s="249">
        <f t="shared" si="4"/>
        <v>0</v>
      </c>
      <c r="O97" s="249">
        <f t="shared" si="4"/>
        <v>0</v>
      </c>
      <c r="P97" s="249">
        <f t="shared" si="4"/>
        <v>0</v>
      </c>
      <c r="Q97" s="249">
        <f t="shared" si="4"/>
        <v>0</v>
      </c>
      <c r="R97" s="249">
        <f>SUM(R98:R100)</f>
        <v>0</v>
      </c>
      <c r="S97" s="253" t="e">
        <f>SUM(S98:S100)</f>
        <v>#N/A</v>
      </c>
      <c r="T97" s="248" t="str">
        <f t="shared" ref="T97:T106" si="5">IFERROR(R97/S97,"-")</f>
        <v>-</v>
      </c>
      <c r="U97" s="49"/>
      <c r="V97" s="50"/>
      <c r="X97" s="280"/>
      <c r="Y97" s="280"/>
    </row>
    <row r="98" spans="3:25" ht="20.25" customHeight="1" x14ac:dyDescent="0.45">
      <c r="C98" s="19"/>
      <c r="D98" s="281" t="s">
        <v>52</v>
      </c>
      <c r="E98" s="281"/>
      <c r="F98" s="219">
        <f>F55*F56/12</f>
        <v>0</v>
      </c>
      <c r="G98" s="219">
        <f t="shared" ref="G98:Q98" si="6">G55*G56/12</f>
        <v>0</v>
      </c>
      <c r="H98" s="219">
        <f t="shared" si="6"/>
        <v>0</v>
      </c>
      <c r="I98" s="219">
        <f t="shared" si="6"/>
        <v>0</v>
      </c>
      <c r="J98" s="219">
        <f t="shared" si="6"/>
        <v>0</v>
      </c>
      <c r="K98" s="219">
        <f t="shared" si="6"/>
        <v>0</v>
      </c>
      <c r="L98" s="219">
        <f t="shared" si="6"/>
        <v>0</v>
      </c>
      <c r="M98" s="219">
        <f t="shared" si="6"/>
        <v>0</v>
      </c>
      <c r="N98" s="219">
        <f t="shared" si="6"/>
        <v>0</v>
      </c>
      <c r="O98" s="219">
        <f t="shared" si="6"/>
        <v>0</v>
      </c>
      <c r="P98" s="219">
        <f t="shared" si="6"/>
        <v>0</v>
      </c>
      <c r="Q98" s="219">
        <f t="shared" si="6"/>
        <v>0</v>
      </c>
      <c r="R98" s="219">
        <f>SUM(F98:Q98)</f>
        <v>0</v>
      </c>
      <c r="S98" s="254" t="e">
        <f>S55*S56</f>
        <v>#N/A</v>
      </c>
      <c r="T98" s="248" t="str">
        <f t="shared" si="5"/>
        <v>-</v>
      </c>
      <c r="U98" s="49"/>
      <c r="V98" s="50"/>
      <c r="X98" s="280"/>
      <c r="Y98" s="280"/>
    </row>
    <row r="99" spans="3:25" ht="20.25" customHeight="1" x14ac:dyDescent="0.45">
      <c r="C99" s="19"/>
      <c r="D99" s="281" t="s">
        <v>51</v>
      </c>
      <c r="E99" s="281"/>
      <c r="F99" s="219">
        <f>F59*F60/12</f>
        <v>0</v>
      </c>
      <c r="G99" s="219">
        <f t="shared" ref="G99:Q99" si="7">G59*G60/12</f>
        <v>0</v>
      </c>
      <c r="H99" s="219">
        <f t="shared" si="7"/>
        <v>0</v>
      </c>
      <c r="I99" s="219">
        <f t="shared" si="7"/>
        <v>0</v>
      </c>
      <c r="J99" s="219">
        <f t="shared" si="7"/>
        <v>0</v>
      </c>
      <c r="K99" s="219">
        <f t="shared" si="7"/>
        <v>0</v>
      </c>
      <c r="L99" s="219">
        <f t="shared" si="7"/>
        <v>0</v>
      </c>
      <c r="M99" s="219">
        <f t="shared" si="7"/>
        <v>0</v>
      </c>
      <c r="N99" s="219">
        <f t="shared" si="7"/>
        <v>0</v>
      </c>
      <c r="O99" s="219">
        <f t="shared" si="7"/>
        <v>0</v>
      </c>
      <c r="P99" s="219">
        <f t="shared" si="7"/>
        <v>0</v>
      </c>
      <c r="Q99" s="219">
        <f t="shared" si="7"/>
        <v>0</v>
      </c>
      <c r="R99" s="219">
        <f>SUM(F99:Q99)</f>
        <v>0</v>
      </c>
      <c r="S99" s="254" t="e">
        <f>S59*S60</f>
        <v>#N/A</v>
      </c>
      <c r="T99" s="248" t="str">
        <f t="shared" si="5"/>
        <v>-</v>
      </c>
      <c r="U99" s="49"/>
      <c r="V99" s="50"/>
    </row>
    <row r="100" spans="3:25" ht="20.25" customHeight="1" x14ac:dyDescent="0.45">
      <c r="C100" s="19"/>
      <c r="D100" s="281" t="s">
        <v>53</v>
      </c>
      <c r="E100" s="281"/>
      <c r="F100" s="219">
        <f>F63*F64/12</f>
        <v>0</v>
      </c>
      <c r="G100" s="219">
        <f t="shared" ref="G100:Q100" si="8">G63*G64/12</f>
        <v>0</v>
      </c>
      <c r="H100" s="219">
        <f t="shared" si="8"/>
        <v>0</v>
      </c>
      <c r="I100" s="219">
        <f t="shared" si="8"/>
        <v>0</v>
      </c>
      <c r="J100" s="219">
        <f t="shared" si="8"/>
        <v>0</v>
      </c>
      <c r="K100" s="219">
        <f t="shared" si="8"/>
        <v>0</v>
      </c>
      <c r="L100" s="219">
        <f t="shared" si="8"/>
        <v>0</v>
      </c>
      <c r="M100" s="219">
        <f t="shared" si="8"/>
        <v>0</v>
      </c>
      <c r="N100" s="219">
        <f t="shared" si="8"/>
        <v>0</v>
      </c>
      <c r="O100" s="219">
        <f t="shared" si="8"/>
        <v>0</v>
      </c>
      <c r="P100" s="219">
        <f t="shared" si="8"/>
        <v>0</v>
      </c>
      <c r="Q100" s="219">
        <f t="shared" si="8"/>
        <v>0</v>
      </c>
      <c r="R100" s="219">
        <f>SUM(F100:Q100)</f>
        <v>0</v>
      </c>
      <c r="S100" s="219" t="e">
        <f>S63*S64</f>
        <v>#N/A</v>
      </c>
      <c r="T100" s="248" t="str">
        <f t="shared" si="5"/>
        <v>-</v>
      </c>
      <c r="U100" s="49"/>
      <c r="V100" s="50"/>
    </row>
    <row r="101" spans="3:25" ht="20.399999999999999" x14ac:dyDescent="0.45">
      <c r="C101" s="19"/>
      <c r="D101" s="21" t="s">
        <v>15</v>
      </c>
      <c r="E101" s="250"/>
      <c r="F101" s="249">
        <f>F102+F103+F104</f>
        <v>0</v>
      </c>
      <c r="G101" s="249">
        <f t="shared" ref="G101:Q101" si="9">G102+G103+G104</f>
        <v>0</v>
      </c>
      <c r="H101" s="249">
        <f t="shared" si="9"/>
        <v>0</v>
      </c>
      <c r="I101" s="249">
        <f t="shared" si="9"/>
        <v>0</v>
      </c>
      <c r="J101" s="249">
        <f t="shared" si="9"/>
        <v>0</v>
      </c>
      <c r="K101" s="249">
        <f t="shared" si="9"/>
        <v>0</v>
      </c>
      <c r="L101" s="249">
        <f t="shared" si="9"/>
        <v>0</v>
      </c>
      <c r="M101" s="249">
        <f t="shared" si="9"/>
        <v>0</v>
      </c>
      <c r="N101" s="249">
        <f t="shared" si="9"/>
        <v>0</v>
      </c>
      <c r="O101" s="249">
        <f t="shared" si="9"/>
        <v>0</v>
      </c>
      <c r="P101" s="249">
        <f t="shared" si="9"/>
        <v>0</v>
      </c>
      <c r="Q101" s="249">
        <f t="shared" si="9"/>
        <v>0</v>
      </c>
      <c r="R101" s="249">
        <f>R102+R103+R104</f>
        <v>0</v>
      </c>
      <c r="S101" s="249" t="e">
        <f>S102+S103+S104</f>
        <v>#N/A</v>
      </c>
      <c r="T101" s="248" t="str">
        <f t="shared" si="5"/>
        <v>-</v>
      </c>
      <c r="U101" s="49"/>
      <c r="V101" s="50"/>
      <c r="X101" s="280"/>
      <c r="Y101" s="280"/>
    </row>
    <row r="102" spans="3:25" ht="24" customHeight="1" x14ac:dyDescent="0.45">
      <c r="C102" s="19"/>
      <c r="D102" s="282" t="s">
        <v>54</v>
      </c>
      <c r="E102" s="282"/>
      <c r="F102" s="219">
        <f>F67*F68</f>
        <v>0</v>
      </c>
      <c r="G102" s="219">
        <f t="shared" ref="G102:Q102" si="10">G67*G68</f>
        <v>0</v>
      </c>
      <c r="H102" s="219">
        <f t="shared" si="10"/>
        <v>0</v>
      </c>
      <c r="I102" s="219">
        <f t="shared" si="10"/>
        <v>0</v>
      </c>
      <c r="J102" s="219">
        <f t="shared" si="10"/>
        <v>0</v>
      </c>
      <c r="K102" s="219">
        <f t="shared" si="10"/>
        <v>0</v>
      </c>
      <c r="L102" s="219">
        <f t="shared" si="10"/>
        <v>0</v>
      </c>
      <c r="M102" s="219">
        <f t="shared" si="10"/>
        <v>0</v>
      </c>
      <c r="N102" s="219">
        <f t="shared" si="10"/>
        <v>0</v>
      </c>
      <c r="O102" s="219">
        <f t="shared" si="10"/>
        <v>0</v>
      </c>
      <c r="P102" s="219">
        <f t="shared" si="10"/>
        <v>0</v>
      </c>
      <c r="Q102" s="219">
        <f t="shared" si="10"/>
        <v>0</v>
      </c>
      <c r="R102" s="219">
        <f>SUM(F102:Q102)</f>
        <v>0</v>
      </c>
      <c r="S102" s="219" t="e">
        <f>S67*S68</f>
        <v>#N/A</v>
      </c>
      <c r="T102" s="248" t="str">
        <f t="shared" si="5"/>
        <v>-</v>
      </c>
      <c r="U102" s="49"/>
      <c r="V102" s="50"/>
      <c r="X102" s="280"/>
      <c r="Y102" s="280"/>
    </row>
    <row r="103" spans="3:25" ht="30.75" customHeight="1" x14ac:dyDescent="0.45">
      <c r="C103" s="19"/>
      <c r="D103" s="282" t="s">
        <v>55</v>
      </c>
      <c r="E103" s="282"/>
      <c r="F103" s="219">
        <f>F71*F72</f>
        <v>0</v>
      </c>
      <c r="G103" s="219">
        <f t="shared" ref="G103:Q103" si="11">G71*G72</f>
        <v>0</v>
      </c>
      <c r="H103" s="219">
        <f t="shared" si="11"/>
        <v>0</v>
      </c>
      <c r="I103" s="219">
        <f>I71*I72</f>
        <v>0</v>
      </c>
      <c r="J103" s="219">
        <f t="shared" si="11"/>
        <v>0</v>
      </c>
      <c r="K103" s="219">
        <f t="shared" si="11"/>
        <v>0</v>
      </c>
      <c r="L103" s="219">
        <f t="shared" si="11"/>
        <v>0</v>
      </c>
      <c r="M103" s="219">
        <f t="shared" si="11"/>
        <v>0</v>
      </c>
      <c r="N103" s="219">
        <f t="shared" si="11"/>
        <v>0</v>
      </c>
      <c r="O103" s="219">
        <f t="shared" si="11"/>
        <v>0</v>
      </c>
      <c r="P103" s="219">
        <f t="shared" si="11"/>
        <v>0</v>
      </c>
      <c r="Q103" s="219">
        <f t="shared" si="11"/>
        <v>0</v>
      </c>
      <c r="R103" s="219">
        <f>SUM(F103:Q103)</f>
        <v>0</v>
      </c>
      <c r="S103" s="219" t="e">
        <f>S71*S72</f>
        <v>#N/A</v>
      </c>
      <c r="T103" s="248" t="str">
        <f t="shared" si="5"/>
        <v>-</v>
      </c>
      <c r="U103" s="49"/>
      <c r="V103" s="50"/>
      <c r="X103" s="280"/>
      <c r="Y103" s="280"/>
    </row>
    <row r="104" spans="3:25" ht="33.75" customHeight="1" x14ac:dyDescent="0.45">
      <c r="C104" s="19"/>
      <c r="D104" s="282" t="s">
        <v>56</v>
      </c>
      <c r="E104" s="282"/>
      <c r="F104" s="219">
        <f>F75*F76</f>
        <v>0</v>
      </c>
      <c r="G104" s="219">
        <f t="shared" ref="G104:Q104" si="12">G75*G76</f>
        <v>0</v>
      </c>
      <c r="H104" s="219">
        <f t="shared" si="12"/>
        <v>0</v>
      </c>
      <c r="I104" s="219">
        <f t="shared" si="12"/>
        <v>0</v>
      </c>
      <c r="J104" s="219">
        <f t="shared" si="12"/>
        <v>0</v>
      </c>
      <c r="K104" s="219">
        <f t="shared" si="12"/>
        <v>0</v>
      </c>
      <c r="L104" s="219">
        <f t="shared" si="12"/>
        <v>0</v>
      </c>
      <c r="M104" s="219">
        <f t="shared" si="12"/>
        <v>0</v>
      </c>
      <c r="N104" s="219">
        <f t="shared" si="12"/>
        <v>0</v>
      </c>
      <c r="O104" s="219">
        <f t="shared" si="12"/>
        <v>0</v>
      </c>
      <c r="P104" s="219">
        <f t="shared" si="12"/>
        <v>0</v>
      </c>
      <c r="Q104" s="219">
        <f t="shared" si="12"/>
        <v>0</v>
      </c>
      <c r="R104" s="219">
        <f>SUM(F104:Q104)</f>
        <v>0</v>
      </c>
      <c r="S104" s="219" t="e">
        <f>S75*S76</f>
        <v>#N/A</v>
      </c>
      <c r="T104" s="248" t="str">
        <f t="shared" si="5"/>
        <v>-</v>
      </c>
      <c r="U104" s="49"/>
      <c r="V104" s="50"/>
    </row>
    <row r="105" spans="3:25" ht="20.399999999999999" x14ac:dyDescent="0.45">
      <c r="C105" s="19"/>
      <c r="D105" s="21" t="s">
        <v>16</v>
      </c>
      <c r="E105" s="16"/>
      <c r="F105" s="249">
        <f>F79*F80</f>
        <v>0</v>
      </c>
      <c r="G105" s="249">
        <f t="shared" ref="G105:Q105" si="13">G79*G80</f>
        <v>0</v>
      </c>
      <c r="H105" s="249">
        <f t="shared" si="13"/>
        <v>0</v>
      </c>
      <c r="I105" s="249">
        <f t="shared" si="13"/>
        <v>0</v>
      </c>
      <c r="J105" s="249">
        <f t="shared" si="13"/>
        <v>0</v>
      </c>
      <c r="K105" s="249">
        <f t="shared" si="13"/>
        <v>0</v>
      </c>
      <c r="L105" s="249">
        <f t="shared" si="13"/>
        <v>0</v>
      </c>
      <c r="M105" s="249">
        <f t="shared" si="13"/>
        <v>0</v>
      </c>
      <c r="N105" s="249">
        <f t="shared" si="13"/>
        <v>0</v>
      </c>
      <c r="O105" s="249">
        <f t="shared" si="13"/>
        <v>0</v>
      </c>
      <c r="P105" s="249">
        <f t="shared" si="13"/>
        <v>0</v>
      </c>
      <c r="Q105" s="249">
        <f t="shared" si="13"/>
        <v>0</v>
      </c>
      <c r="R105" s="249">
        <f>SUM(F105:Q105)</f>
        <v>0</v>
      </c>
      <c r="S105" s="249" t="e">
        <f>S79*S80</f>
        <v>#N/A</v>
      </c>
      <c r="T105" s="248" t="str">
        <f>IFERROR(R105/S105,"-")</f>
        <v>-</v>
      </c>
      <c r="U105" s="49"/>
      <c r="V105" s="50"/>
    </row>
    <row r="106" spans="3:25" ht="20.399999999999999" x14ac:dyDescent="0.45">
      <c r="C106" s="19"/>
      <c r="D106" s="22" t="s">
        <v>46</v>
      </c>
      <c r="E106" s="16"/>
      <c r="F106" s="219">
        <f>F83*F84+F86*F87+F89*F90</f>
        <v>0</v>
      </c>
      <c r="G106" s="219">
        <f t="shared" ref="G106:Q106" si="14">G83*G84+G86*G87+G89*G90</f>
        <v>0</v>
      </c>
      <c r="H106" s="219">
        <f t="shared" si="14"/>
        <v>0</v>
      </c>
      <c r="I106" s="219">
        <f t="shared" si="14"/>
        <v>0</v>
      </c>
      <c r="J106" s="219">
        <f t="shared" si="14"/>
        <v>0</v>
      </c>
      <c r="K106" s="219">
        <f t="shared" si="14"/>
        <v>0</v>
      </c>
      <c r="L106" s="219">
        <f t="shared" si="14"/>
        <v>0</v>
      </c>
      <c r="M106" s="219">
        <f t="shared" si="14"/>
        <v>0</v>
      </c>
      <c r="N106" s="219">
        <f t="shared" si="14"/>
        <v>0</v>
      </c>
      <c r="O106" s="219">
        <f t="shared" si="14"/>
        <v>0</v>
      </c>
      <c r="P106" s="219">
        <f t="shared" si="14"/>
        <v>0</v>
      </c>
      <c r="Q106" s="219">
        <f t="shared" si="14"/>
        <v>0</v>
      </c>
      <c r="R106" s="266">
        <f>R83*R84+R86*R87+R89*R90</f>
        <v>0</v>
      </c>
      <c r="S106" s="255">
        <f>S83*S84+S86*S87+S89*S90</f>
        <v>0</v>
      </c>
      <c r="T106" s="248" t="str">
        <f t="shared" si="5"/>
        <v>-</v>
      </c>
      <c r="U106" s="49"/>
      <c r="V106" s="50"/>
    </row>
    <row r="107" spans="3:25" ht="20.399999999999999" x14ac:dyDescent="0.45">
      <c r="C107" s="19"/>
      <c r="D107" s="23"/>
      <c r="E107" s="24"/>
      <c r="F107" s="25"/>
      <c r="G107" s="12"/>
      <c r="H107" s="12"/>
      <c r="I107" s="12"/>
      <c r="J107" s="12"/>
      <c r="K107" s="12"/>
      <c r="L107" s="12"/>
      <c r="M107" s="12"/>
      <c r="N107" s="12"/>
      <c r="O107" s="12"/>
      <c r="P107" s="12"/>
      <c r="Q107" s="12"/>
      <c r="R107" s="12"/>
      <c r="S107" s="26"/>
      <c r="T107" s="49"/>
      <c r="U107" s="49"/>
      <c r="V107" s="50"/>
    </row>
    <row r="108" spans="3:25" ht="20.399999999999999" x14ac:dyDescent="0.45">
      <c r="C108" s="19"/>
      <c r="D108" s="23"/>
      <c r="E108" s="24"/>
      <c r="F108" s="25"/>
      <c r="G108" s="12"/>
      <c r="H108" s="12"/>
      <c r="I108" s="12"/>
      <c r="J108" s="12"/>
      <c r="K108" s="12"/>
      <c r="L108" s="12"/>
      <c r="M108" s="12"/>
      <c r="N108" s="12"/>
      <c r="O108" s="12"/>
      <c r="P108" s="12"/>
      <c r="Q108" s="12"/>
      <c r="R108" s="12"/>
      <c r="S108" s="26"/>
      <c r="T108" s="49"/>
      <c r="U108" s="49"/>
      <c r="V108" s="50"/>
    </row>
    <row r="109" spans="3:25" ht="36.75" customHeight="1" x14ac:dyDescent="0.4">
      <c r="C109" s="314" t="s">
        <v>29</v>
      </c>
      <c r="D109" s="315"/>
      <c r="E109" s="315"/>
      <c r="F109" s="315"/>
      <c r="G109" s="315"/>
      <c r="H109" s="315"/>
      <c r="I109" s="315"/>
      <c r="J109" s="315"/>
      <c r="K109" s="315"/>
      <c r="L109" s="315"/>
      <c r="M109" s="315"/>
      <c r="N109" s="315"/>
      <c r="O109" s="315"/>
      <c r="P109" s="315"/>
      <c r="Q109" s="315"/>
      <c r="R109" s="315"/>
      <c r="S109" s="315"/>
      <c r="T109" s="315"/>
      <c r="U109" s="315"/>
      <c r="V109" s="316"/>
    </row>
    <row r="110" spans="3:25" x14ac:dyDescent="0.4">
      <c r="C110" s="48"/>
      <c r="D110" s="49"/>
      <c r="E110" s="49"/>
      <c r="F110" s="49"/>
      <c r="G110" s="49"/>
      <c r="H110" s="49"/>
      <c r="I110" s="49"/>
      <c r="J110" s="49"/>
      <c r="K110" s="49"/>
      <c r="L110" s="49"/>
      <c r="M110" s="49"/>
      <c r="N110" s="49"/>
      <c r="O110" s="49"/>
      <c r="P110" s="49"/>
      <c r="Q110" s="49"/>
      <c r="R110" s="49"/>
      <c r="S110" s="49"/>
      <c r="T110" s="49"/>
      <c r="U110" s="49"/>
      <c r="V110" s="50"/>
    </row>
    <row r="111" spans="3:25" ht="19.2" x14ac:dyDescent="0.45">
      <c r="C111" s="48"/>
      <c r="D111" s="49"/>
      <c r="E111" s="49"/>
      <c r="F111" s="49"/>
      <c r="G111" s="49"/>
      <c r="H111" s="49"/>
      <c r="I111" s="311"/>
      <c r="J111" s="312"/>
      <c r="K111" s="312"/>
      <c r="L111" s="312"/>
      <c r="M111" s="312"/>
      <c r="N111" s="312"/>
      <c r="O111" s="313"/>
      <c r="P111" s="313"/>
      <c r="Q111" s="313"/>
      <c r="R111" s="313"/>
      <c r="S111" s="313"/>
      <c r="T111" s="313"/>
      <c r="U111" s="313"/>
      <c r="V111" s="27"/>
    </row>
    <row r="112" spans="3:25" ht="19.2" x14ac:dyDescent="0.4">
      <c r="C112" s="48"/>
      <c r="D112" s="49"/>
      <c r="E112" s="49"/>
      <c r="F112" s="49"/>
      <c r="G112" s="49"/>
      <c r="H112" s="49"/>
      <c r="I112" s="49"/>
      <c r="J112" s="49"/>
      <c r="K112" s="49"/>
      <c r="L112" s="49"/>
      <c r="M112" s="49"/>
      <c r="N112" s="49"/>
      <c r="O112" s="28"/>
      <c r="P112" s="29"/>
      <c r="Q112" s="29"/>
      <c r="R112" s="29"/>
      <c r="S112" s="29"/>
      <c r="T112" s="29"/>
      <c r="U112" s="30"/>
      <c r="V112" s="31"/>
    </row>
    <row r="113" spans="3:29" ht="20.25" customHeight="1" x14ac:dyDescent="0.45">
      <c r="C113" s="48"/>
      <c r="D113" s="324" t="s">
        <v>30</v>
      </c>
      <c r="E113" s="318"/>
      <c r="F113" s="317" t="s">
        <v>1073</v>
      </c>
      <c r="G113" s="318"/>
      <c r="H113" s="317" t="s">
        <v>1074</v>
      </c>
      <c r="I113" s="324"/>
      <c r="J113" s="324"/>
      <c r="K113" s="318"/>
      <c r="L113" s="317" t="s">
        <v>1075</v>
      </c>
      <c r="M113" s="318"/>
      <c r="N113" s="317" t="s">
        <v>1076</v>
      </c>
      <c r="O113" s="318"/>
      <c r="P113" s="317" t="s">
        <v>1077</v>
      </c>
      <c r="Q113" s="318"/>
      <c r="R113" s="317" t="s">
        <v>1078</v>
      </c>
      <c r="S113" s="318"/>
      <c r="T113" s="32"/>
      <c r="U113" s="32"/>
      <c r="V113" s="33"/>
      <c r="X113" s="57" t="s">
        <v>21</v>
      </c>
    </row>
    <row r="114" spans="3:29" ht="20.399999999999999" x14ac:dyDescent="0.4">
      <c r="C114" s="48"/>
      <c r="D114" s="325"/>
      <c r="E114" s="320"/>
      <c r="F114" s="319"/>
      <c r="G114" s="320"/>
      <c r="H114" s="319"/>
      <c r="I114" s="325"/>
      <c r="J114" s="325"/>
      <c r="K114" s="320"/>
      <c r="L114" s="319"/>
      <c r="M114" s="320"/>
      <c r="N114" s="319"/>
      <c r="O114" s="320"/>
      <c r="P114" s="319"/>
      <c r="Q114" s="320"/>
      <c r="R114" s="319"/>
      <c r="S114" s="320"/>
      <c r="T114" s="34"/>
      <c r="U114" s="34"/>
      <c r="V114" s="35"/>
      <c r="X114" s="310"/>
      <c r="Y114" s="310"/>
      <c r="Z114" s="323"/>
      <c r="AA114" s="323"/>
      <c r="AB114" s="310"/>
      <c r="AC114" s="310"/>
    </row>
    <row r="115" spans="3:29" ht="42" customHeight="1" x14ac:dyDescent="0.4">
      <c r="C115" s="48"/>
      <c r="D115" s="285" t="str">
        <f t="array" ref="D115">IFERROR(INDEX($U$53:$U$63, SMALL(IF($V$53:$V$63=1, ROW($U$53:$U$63)-ROW($U$53)+1), ROW(C1))), "")</f>
        <v/>
      </c>
      <c r="E115" s="285"/>
      <c r="F115" s="321"/>
      <c r="G115" s="321"/>
      <c r="H115" s="284"/>
      <c r="I115" s="284"/>
      <c r="J115" s="284"/>
      <c r="K115" s="284"/>
      <c r="L115" s="284"/>
      <c r="M115" s="284"/>
      <c r="N115" s="284"/>
      <c r="O115" s="284"/>
      <c r="P115" s="284"/>
      <c r="Q115" s="284"/>
      <c r="R115" s="284"/>
      <c r="S115" s="284"/>
      <c r="T115" s="34"/>
      <c r="U115" s="34"/>
      <c r="V115" s="35"/>
      <c r="X115" s="310"/>
      <c r="Y115" s="310"/>
      <c r="Z115" s="323"/>
      <c r="AA115" s="323"/>
      <c r="AB115" s="310"/>
      <c r="AC115" s="310"/>
    </row>
    <row r="116" spans="3:29" ht="20.25" customHeight="1" x14ac:dyDescent="0.4">
      <c r="C116" s="48"/>
      <c r="D116" s="285" t="str">
        <f t="array" ref="D116">IFERROR(INDEX($U$53:$U$63, SMALL(IF($V$53:$V$63=1, ROW($U$53:$U$63)-ROW($U$53)+1), ROW(C2))), "")</f>
        <v/>
      </c>
      <c r="E116" s="285"/>
      <c r="F116" s="284"/>
      <c r="G116" s="284"/>
      <c r="H116" s="284"/>
      <c r="I116" s="284"/>
      <c r="J116" s="284"/>
      <c r="K116" s="284"/>
      <c r="L116" s="284"/>
      <c r="M116" s="284"/>
      <c r="N116" s="284"/>
      <c r="O116" s="284"/>
      <c r="P116" s="284"/>
      <c r="Q116" s="284"/>
      <c r="R116" s="284"/>
      <c r="S116" s="284"/>
      <c r="T116" s="34"/>
      <c r="U116" s="34"/>
      <c r="V116" s="35"/>
      <c r="X116" s="57" t="s">
        <v>31</v>
      </c>
    </row>
    <row r="117" spans="3:29" ht="20.399999999999999" x14ac:dyDescent="0.4">
      <c r="C117" s="48"/>
      <c r="D117" s="285" t="str">
        <f t="array" ref="D117">IFERROR(INDEX($U$53:$U$63, SMALL(IF($V$53:$V$63=1, ROW($U$53:$U$63)-ROW($U$53)+1), ROW(C3))), "")</f>
        <v/>
      </c>
      <c r="E117" s="285"/>
      <c r="F117" s="284"/>
      <c r="G117" s="284"/>
      <c r="H117" s="284"/>
      <c r="I117" s="284"/>
      <c r="J117" s="284"/>
      <c r="K117" s="284"/>
      <c r="L117" s="284"/>
      <c r="M117" s="284"/>
      <c r="N117" s="284"/>
      <c r="O117" s="284"/>
      <c r="P117" s="284"/>
      <c r="Q117" s="284"/>
      <c r="R117" s="284"/>
      <c r="S117" s="284"/>
      <c r="T117" s="34"/>
      <c r="U117" s="34"/>
      <c r="V117" s="35"/>
      <c r="X117" s="57" t="s">
        <v>33</v>
      </c>
    </row>
    <row r="118" spans="3:29" ht="20.399999999999999" x14ac:dyDescent="0.4">
      <c r="C118" s="48"/>
      <c r="D118" s="285" t="str">
        <f t="array" ref="D118">IFERROR(INDEX($U$53:$U$63, SMALL(IF($V$53:$V$63=1, ROW($U$53:$U$63)-ROW($U$53)+1), ROW(C4))), "")</f>
        <v/>
      </c>
      <c r="E118" s="285"/>
      <c r="F118" s="284"/>
      <c r="G118" s="284"/>
      <c r="H118" s="284"/>
      <c r="I118" s="284"/>
      <c r="J118" s="284"/>
      <c r="K118" s="284"/>
      <c r="L118" s="284"/>
      <c r="M118" s="284"/>
      <c r="N118" s="284"/>
      <c r="O118" s="284"/>
      <c r="P118" s="284"/>
      <c r="Q118" s="284"/>
      <c r="R118" s="284"/>
      <c r="S118" s="284"/>
      <c r="T118" s="34"/>
      <c r="U118" s="34"/>
      <c r="V118" s="35"/>
      <c r="X118" s="57" t="s">
        <v>34</v>
      </c>
    </row>
    <row r="119" spans="3:29" ht="20.399999999999999" x14ac:dyDescent="0.4">
      <c r="C119" s="48"/>
      <c r="D119" s="285" t="str">
        <f t="array" ref="D119">IFERROR(INDEX($U$53:$U$63, SMALL(IF($V$53:$V$63=1, ROW($U$53:$U$63)-ROW($U$53)+1), ROW(C5))), "")</f>
        <v/>
      </c>
      <c r="E119" s="285"/>
      <c r="F119" s="284"/>
      <c r="G119" s="284"/>
      <c r="H119" s="284"/>
      <c r="I119" s="284"/>
      <c r="J119" s="284"/>
      <c r="K119" s="284"/>
      <c r="L119" s="284"/>
      <c r="M119" s="284"/>
      <c r="N119" s="284"/>
      <c r="O119" s="284"/>
      <c r="P119" s="284"/>
      <c r="Q119" s="284"/>
      <c r="R119" s="284"/>
      <c r="S119" s="284"/>
      <c r="T119" s="34"/>
      <c r="U119" s="34"/>
      <c r="V119" s="35"/>
      <c r="X119" s="57" t="s">
        <v>32</v>
      </c>
    </row>
    <row r="120" spans="3:29" ht="20.399999999999999" x14ac:dyDescent="0.4">
      <c r="C120" s="48"/>
      <c r="D120" s="285" t="str">
        <f t="array" ref="D120">IFERROR(INDEX($U$53:$U$63, SMALL(IF($V$53:$V$63=1, ROW($U$53:$U$63)-ROW($U$53)+1), ROW(C6))), "")</f>
        <v/>
      </c>
      <c r="E120" s="285"/>
      <c r="F120" s="284"/>
      <c r="G120" s="284"/>
      <c r="H120" s="284"/>
      <c r="I120" s="284"/>
      <c r="J120" s="284"/>
      <c r="K120" s="284"/>
      <c r="L120" s="284"/>
      <c r="M120" s="284"/>
      <c r="N120" s="284"/>
      <c r="O120" s="284"/>
      <c r="P120" s="284"/>
      <c r="Q120" s="284"/>
      <c r="R120" s="284"/>
      <c r="S120" s="284"/>
      <c r="T120" s="34"/>
      <c r="U120" s="34"/>
      <c r="V120" s="35"/>
      <c r="X120" s="57" t="s">
        <v>35</v>
      </c>
    </row>
    <row r="121" spans="3:29" ht="20.399999999999999" x14ac:dyDescent="0.4">
      <c r="C121" s="48"/>
      <c r="D121" s="285" t="str">
        <f t="array" ref="D121">IFERROR(INDEX($U$53:$U$63, SMALL(IF($V$53:$V$63=1, ROW($U$53:$U$63)-ROW($U$53)+1), ROW(C7))), "")</f>
        <v/>
      </c>
      <c r="E121" s="285"/>
      <c r="F121" s="284"/>
      <c r="G121" s="284"/>
      <c r="H121" s="284"/>
      <c r="I121" s="284"/>
      <c r="J121" s="284"/>
      <c r="K121" s="284"/>
      <c r="L121" s="284"/>
      <c r="M121" s="284"/>
      <c r="N121" s="284"/>
      <c r="O121" s="284"/>
      <c r="P121" s="284"/>
      <c r="Q121" s="284"/>
      <c r="R121" s="284"/>
      <c r="S121" s="284"/>
      <c r="T121" s="49"/>
      <c r="U121" s="49"/>
      <c r="V121" s="50"/>
      <c r="X121" s="57" t="s">
        <v>36</v>
      </c>
    </row>
    <row r="122" spans="3:29" ht="20.399999999999999" x14ac:dyDescent="0.4">
      <c r="C122" s="48"/>
      <c r="D122" s="285" t="str">
        <f t="array" ref="D122">IFERROR(INDEX($U$53:$U$63, SMALL(IF($V$53:$V$63=1, ROW($U$53:$U$63)-ROW($U$53)+1), ROW(C8))), "")</f>
        <v/>
      </c>
      <c r="E122" s="285"/>
      <c r="F122" s="284"/>
      <c r="G122" s="284"/>
      <c r="H122" s="284"/>
      <c r="I122" s="284"/>
      <c r="J122" s="284"/>
      <c r="K122" s="284"/>
      <c r="L122" s="284"/>
      <c r="M122" s="284"/>
      <c r="N122" s="284"/>
      <c r="O122" s="284"/>
      <c r="P122" s="284"/>
      <c r="Q122" s="284"/>
      <c r="R122" s="284"/>
      <c r="S122" s="284"/>
      <c r="T122" s="49"/>
      <c r="U122" s="49"/>
      <c r="V122" s="50"/>
      <c r="X122" s="57" t="s">
        <v>37</v>
      </c>
    </row>
    <row r="123" spans="3:29" ht="20.399999999999999" x14ac:dyDescent="0.4">
      <c r="C123" s="48"/>
      <c r="D123" s="285" t="str">
        <f t="array" ref="D123">IFERROR(INDEX($U$53:$U$63, SMALL(IF($V$53:$V$63=1, ROW($U$53:$U$63)-ROW($U$53)+1), ROW(C9))), "")</f>
        <v/>
      </c>
      <c r="E123" s="285"/>
      <c r="F123" s="284"/>
      <c r="G123" s="284"/>
      <c r="H123" s="284"/>
      <c r="I123" s="284"/>
      <c r="J123" s="284"/>
      <c r="K123" s="284"/>
      <c r="L123" s="284"/>
      <c r="M123" s="284"/>
      <c r="N123" s="284"/>
      <c r="O123" s="284"/>
      <c r="P123" s="284"/>
      <c r="Q123" s="284"/>
      <c r="R123" s="284"/>
      <c r="S123" s="284"/>
      <c r="T123" s="49"/>
      <c r="U123" s="49"/>
      <c r="V123" s="50"/>
      <c r="X123" s="57" t="s">
        <v>38</v>
      </c>
    </row>
    <row r="124" spans="3:29" ht="20.399999999999999" x14ac:dyDescent="0.4">
      <c r="C124" s="48"/>
      <c r="D124" s="285" t="str">
        <f t="array" ref="D124">IFERROR(INDEX($U$53:$U$63, SMALL(IF($V$53:$V$63=1, ROW($U$53:$U$63)-ROW($U$53)+1), ROW(C10))), "")</f>
        <v/>
      </c>
      <c r="E124" s="285"/>
      <c r="F124" s="284"/>
      <c r="G124" s="284"/>
      <c r="H124" s="284"/>
      <c r="I124" s="284"/>
      <c r="J124" s="284"/>
      <c r="K124" s="284"/>
      <c r="L124" s="284"/>
      <c r="M124" s="284"/>
      <c r="N124" s="284"/>
      <c r="O124" s="284"/>
      <c r="P124" s="284"/>
      <c r="Q124" s="284"/>
      <c r="R124" s="284"/>
      <c r="S124" s="284"/>
      <c r="T124" s="49"/>
      <c r="U124" s="49"/>
      <c r="V124" s="50"/>
      <c r="X124" s="57" t="s">
        <v>39</v>
      </c>
    </row>
    <row r="125" spans="3:29" ht="20.399999999999999" x14ac:dyDescent="0.4">
      <c r="C125" s="48"/>
      <c r="D125" s="285" t="str">
        <f t="array" ref="D125">IFERROR(INDEX($U$53:$U$63, SMALL(IF($V$53:$V$63=1, ROW($U$53:$U$63)-ROW($U$53)+1), ROW(C11))), "")</f>
        <v/>
      </c>
      <c r="E125" s="285"/>
      <c r="F125" s="284"/>
      <c r="G125" s="284"/>
      <c r="H125" s="284"/>
      <c r="I125" s="284"/>
      <c r="J125" s="284"/>
      <c r="K125" s="284"/>
      <c r="L125" s="284"/>
      <c r="M125" s="284"/>
      <c r="N125" s="284"/>
      <c r="O125" s="284"/>
      <c r="P125" s="284"/>
      <c r="Q125" s="284"/>
      <c r="R125" s="284"/>
      <c r="S125" s="284"/>
      <c r="T125" s="49"/>
      <c r="U125" s="49"/>
      <c r="V125" s="50"/>
      <c r="X125" s="57" t="s">
        <v>40</v>
      </c>
    </row>
    <row r="126" spans="3:29" ht="20.399999999999999" x14ac:dyDescent="0.4">
      <c r="C126" s="48"/>
      <c r="D126" s="285" t="str">
        <f t="array" ref="D126">IFERROR(INDEX($U$53:$U$63, SMALL(IF($V$53:$V$63=1, ROW($U$53:$U$63)-ROW($U$53)+1), ROW(C12))), "")</f>
        <v/>
      </c>
      <c r="E126" s="285"/>
      <c r="F126" s="284"/>
      <c r="G126" s="284"/>
      <c r="H126" s="284"/>
      <c r="I126" s="284"/>
      <c r="J126" s="284"/>
      <c r="K126" s="284"/>
      <c r="L126" s="284"/>
      <c r="M126" s="284"/>
      <c r="N126" s="284"/>
      <c r="O126" s="284"/>
      <c r="P126" s="284"/>
      <c r="Q126" s="284"/>
      <c r="R126" s="284"/>
      <c r="S126" s="284"/>
      <c r="T126" s="49"/>
      <c r="U126" s="49"/>
      <c r="V126" s="50"/>
      <c r="X126" s="57" t="s">
        <v>41</v>
      </c>
    </row>
    <row r="127" spans="3:29" ht="20.399999999999999" x14ac:dyDescent="0.4">
      <c r="C127" s="48"/>
      <c r="D127" s="285" t="str">
        <f t="array" ref="D127">IFERROR(INDEX($U$53:$U$63, SMALL(IF($V$53:$V$63=1, ROW($U$53:$U$63)-ROW($U$53)+1), ROW(C13))), "")</f>
        <v/>
      </c>
      <c r="E127" s="285"/>
      <c r="F127" s="284"/>
      <c r="G127" s="284"/>
      <c r="H127" s="284"/>
      <c r="I127" s="284"/>
      <c r="J127" s="284"/>
      <c r="K127" s="284"/>
      <c r="L127" s="284"/>
      <c r="M127" s="284"/>
      <c r="N127" s="284"/>
      <c r="O127" s="284"/>
      <c r="P127" s="284"/>
      <c r="Q127" s="284"/>
      <c r="R127" s="284"/>
      <c r="S127" s="284"/>
      <c r="T127" s="49"/>
      <c r="U127" s="49"/>
      <c r="V127" s="50"/>
      <c r="X127" s="57" t="s">
        <v>42</v>
      </c>
    </row>
    <row r="128" spans="3:29" ht="20.399999999999999" x14ac:dyDescent="0.4">
      <c r="C128" s="48"/>
      <c r="D128" s="285" t="str">
        <f t="array" ref="D128">IFERROR(INDEX($U$53:$U$63, SMALL(IF($V$53:$V$63=1, ROW($U$53:$U$63)-ROW($U$53)+1), ROW(C14))), "")</f>
        <v/>
      </c>
      <c r="E128" s="285"/>
      <c r="F128" s="284"/>
      <c r="G128" s="284"/>
      <c r="H128" s="284"/>
      <c r="I128" s="284"/>
      <c r="J128" s="284"/>
      <c r="K128" s="284"/>
      <c r="L128" s="284"/>
      <c r="M128" s="284"/>
      <c r="N128" s="284"/>
      <c r="O128" s="284"/>
      <c r="P128" s="284"/>
      <c r="Q128" s="284"/>
      <c r="R128" s="284"/>
      <c r="S128" s="284"/>
      <c r="T128" s="49"/>
      <c r="U128" s="49"/>
      <c r="V128" s="50"/>
      <c r="X128" s="57" t="s">
        <v>43</v>
      </c>
    </row>
    <row r="129" spans="3:24" ht="20.399999999999999" x14ac:dyDescent="0.4">
      <c r="C129" s="48"/>
      <c r="D129" s="285" t="str">
        <f t="array" ref="D129">IFERROR(INDEX($U$53:$U$63, SMALL(IF($V$53:$V$63=1, ROW($U$53:$U$63)-ROW($U$53)+1), ROW(C15))), "")</f>
        <v/>
      </c>
      <c r="E129" s="285"/>
      <c r="F129" s="284"/>
      <c r="G129" s="284"/>
      <c r="H129" s="284"/>
      <c r="I129" s="284"/>
      <c r="J129" s="284"/>
      <c r="K129" s="284"/>
      <c r="L129" s="284"/>
      <c r="M129" s="284"/>
      <c r="N129" s="284"/>
      <c r="O129" s="284"/>
      <c r="P129" s="284"/>
      <c r="Q129" s="284"/>
      <c r="R129" s="284"/>
      <c r="S129" s="284"/>
      <c r="T129" s="49"/>
      <c r="U129" s="49"/>
      <c r="V129" s="50"/>
      <c r="X129" s="57" t="s">
        <v>44</v>
      </c>
    </row>
    <row r="130" spans="3:24" ht="20.399999999999999" x14ac:dyDescent="0.4">
      <c r="C130" s="48"/>
      <c r="D130" s="285" t="str">
        <f t="array" ref="D130">IFERROR(INDEX($U$53:$U$63, SMALL(IF($V$53:$V$63=1, ROW($U$53:$U$63)-ROW($U$53)+1), ROW(C16))), "")</f>
        <v/>
      </c>
      <c r="E130" s="285"/>
      <c r="F130" s="284"/>
      <c r="G130" s="284"/>
      <c r="H130" s="284"/>
      <c r="I130" s="284"/>
      <c r="J130" s="284"/>
      <c r="K130" s="284"/>
      <c r="L130" s="284"/>
      <c r="M130" s="284"/>
      <c r="N130" s="284"/>
      <c r="O130" s="284"/>
      <c r="P130" s="284"/>
      <c r="Q130" s="284"/>
      <c r="R130" s="284"/>
      <c r="S130" s="284"/>
      <c r="T130" s="49"/>
      <c r="U130" s="49"/>
      <c r="V130" s="50"/>
      <c r="X130" s="57" t="s">
        <v>45</v>
      </c>
    </row>
    <row r="131" spans="3:24" ht="20.399999999999999" x14ac:dyDescent="0.4">
      <c r="C131" s="48"/>
      <c r="D131" s="285" t="str">
        <f t="array" ref="D131">IFERROR(INDEX($U$53:$U$63, SMALL(IF($V$53:$V$63=1, ROW($U$53:$U$63)-ROW($U$53)+1), ROW(C17))), "")</f>
        <v/>
      </c>
      <c r="E131" s="285"/>
      <c r="F131" s="284"/>
      <c r="G131" s="284"/>
      <c r="H131" s="284"/>
      <c r="I131" s="284"/>
      <c r="J131" s="284"/>
      <c r="K131" s="284"/>
      <c r="L131" s="284"/>
      <c r="M131" s="284"/>
      <c r="N131" s="284"/>
      <c r="O131" s="284"/>
      <c r="P131" s="284"/>
      <c r="Q131" s="284"/>
      <c r="R131" s="284"/>
      <c r="S131" s="284"/>
      <c r="T131" s="49"/>
      <c r="U131" s="49"/>
      <c r="V131" s="50"/>
      <c r="X131" s="57" t="s">
        <v>46</v>
      </c>
    </row>
    <row r="132" spans="3:24" ht="20.399999999999999" x14ac:dyDescent="0.4">
      <c r="C132" s="48"/>
      <c r="D132" s="285" t="str">
        <f t="array" ref="D132">IFERROR(INDEX($U$53:$U$63, SMALL(IF($V$53:$V$63=1, ROW($U$53:$U$63)-ROW($U$53)+1), ROW(C18))), "")</f>
        <v/>
      </c>
      <c r="E132" s="285"/>
      <c r="F132" s="284"/>
      <c r="G132" s="284"/>
      <c r="H132" s="284"/>
      <c r="I132" s="284"/>
      <c r="J132" s="284"/>
      <c r="K132" s="284"/>
      <c r="L132" s="284"/>
      <c r="M132" s="284"/>
      <c r="N132" s="284"/>
      <c r="O132" s="284"/>
      <c r="P132" s="284"/>
      <c r="Q132" s="284"/>
      <c r="R132" s="284"/>
      <c r="S132" s="284"/>
      <c r="T132" s="49"/>
      <c r="U132" s="49"/>
      <c r="V132" s="50"/>
    </row>
    <row r="133" spans="3:24" ht="20.399999999999999" x14ac:dyDescent="0.4">
      <c r="C133" s="48"/>
      <c r="D133" s="285" t="str">
        <f t="array" ref="D133">IFERROR(INDEX($U$53:$U$63, SMALL(IF($V$53:$V$63=1, ROW($U$53:$U$63)-ROW($U$53)+1), ROW(C19))), "")</f>
        <v/>
      </c>
      <c r="E133" s="285"/>
      <c r="F133" s="284"/>
      <c r="G133" s="284"/>
      <c r="H133" s="284"/>
      <c r="I133" s="284"/>
      <c r="J133" s="284"/>
      <c r="K133" s="284"/>
      <c r="L133" s="284"/>
      <c r="M133" s="284"/>
      <c r="N133" s="284"/>
      <c r="O133" s="284"/>
      <c r="P133" s="284"/>
      <c r="Q133" s="284"/>
      <c r="R133" s="284"/>
      <c r="S133" s="284"/>
      <c r="T133" s="49"/>
      <c r="U133" s="49"/>
      <c r="V133" s="50"/>
    </row>
    <row r="134" spans="3:24" ht="20.399999999999999" x14ac:dyDescent="0.4">
      <c r="C134" s="48"/>
      <c r="D134" s="285" t="str">
        <f t="array" ref="D134">IFERROR(INDEX($U$53:$U$63, SMALL(IF($V$53:$V$63=1, ROW($U$53:$U$63)-ROW($U$53)+1), ROW(C20))), "")</f>
        <v/>
      </c>
      <c r="E134" s="285"/>
      <c r="F134" s="284"/>
      <c r="G134" s="284"/>
      <c r="H134" s="284"/>
      <c r="I134" s="284"/>
      <c r="J134" s="284"/>
      <c r="K134" s="284"/>
      <c r="L134" s="284"/>
      <c r="M134" s="284"/>
      <c r="N134" s="284"/>
      <c r="O134" s="284"/>
      <c r="P134" s="284"/>
      <c r="Q134" s="284"/>
      <c r="R134" s="284"/>
      <c r="S134" s="284"/>
      <c r="T134" s="49"/>
      <c r="U134" s="49"/>
      <c r="V134" s="50"/>
    </row>
    <row r="135" spans="3:24" ht="20.399999999999999" x14ac:dyDescent="0.4">
      <c r="C135" s="48"/>
      <c r="D135" s="285" t="str">
        <f t="array" ref="D135">IFERROR(INDEX($U$53:$U$63, SMALL(IF($V$53:$V$63=1, ROW($U$53:$U$63)-ROW($U$53)+1), ROW(C21))), "")</f>
        <v/>
      </c>
      <c r="E135" s="285"/>
      <c r="F135" s="284"/>
      <c r="G135" s="284"/>
      <c r="H135" s="284"/>
      <c r="I135" s="284"/>
      <c r="J135" s="284"/>
      <c r="K135" s="284"/>
      <c r="L135" s="284"/>
      <c r="M135" s="284"/>
      <c r="N135" s="284"/>
      <c r="O135" s="284"/>
      <c r="P135" s="284"/>
      <c r="Q135" s="284"/>
      <c r="R135" s="284"/>
      <c r="S135" s="284"/>
      <c r="T135" s="49"/>
      <c r="U135" s="49"/>
      <c r="V135" s="50"/>
    </row>
    <row r="136" spans="3:24" ht="20.399999999999999" x14ac:dyDescent="0.4">
      <c r="C136" s="48"/>
      <c r="D136" s="285" t="str">
        <f t="array" ref="D136">IFERROR(INDEX($U$53:$U$63, SMALL(IF($V$53:$V$63=1, ROW($U$53:$U$63)-ROW($U$53)+1), ROW(C22))), "")</f>
        <v/>
      </c>
      <c r="E136" s="285"/>
      <c r="F136" s="284"/>
      <c r="G136" s="284"/>
      <c r="H136" s="284"/>
      <c r="I136" s="284"/>
      <c r="J136" s="284"/>
      <c r="K136" s="284"/>
      <c r="L136" s="284"/>
      <c r="M136" s="284"/>
      <c r="N136" s="284"/>
      <c r="O136" s="284"/>
      <c r="P136" s="284"/>
      <c r="Q136" s="284"/>
      <c r="R136" s="284"/>
      <c r="S136" s="284"/>
      <c r="T136" s="49"/>
      <c r="U136" s="49"/>
      <c r="V136" s="50"/>
    </row>
    <row r="137" spans="3:24" ht="20.399999999999999" x14ac:dyDescent="0.4">
      <c r="C137" s="48"/>
      <c r="D137" s="285" t="str">
        <f t="array" ref="D137">IFERROR(INDEX($U$53:$U$63, SMALL(IF($V$53:$V$63=1, ROW($U$53:$U$63)-ROW($U$53)+1), ROW(C23))), "")</f>
        <v/>
      </c>
      <c r="E137" s="285"/>
      <c r="F137" s="284"/>
      <c r="G137" s="284"/>
      <c r="H137" s="284"/>
      <c r="I137" s="284"/>
      <c r="J137" s="284"/>
      <c r="K137" s="284"/>
      <c r="L137" s="284"/>
      <c r="M137" s="284"/>
      <c r="N137" s="284"/>
      <c r="O137" s="284"/>
      <c r="P137" s="284"/>
      <c r="Q137" s="284"/>
      <c r="R137" s="284"/>
      <c r="S137" s="284"/>
      <c r="T137" s="49"/>
      <c r="U137" s="49"/>
      <c r="V137" s="50"/>
    </row>
    <row r="138" spans="3:24" x14ac:dyDescent="0.4">
      <c r="C138" s="48"/>
      <c r="D138" s="49"/>
      <c r="E138" s="49"/>
      <c r="F138" s="49"/>
      <c r="G138" s="49"/>
      <c r="H138" s="49"/>
      <c r="I138" s="49"/>
      <c r="J138" s="49"/>
      <c r="K138" s="49"/>
      <c r="L138" s="49"/>
      <c r="M138" s="49"/>
      <c r="N138" s="49"/>
      <c r="O138" s="49"/>
      <c r="P138" s="49"/>
      <c r="Q138" s="49"/>
      <c r="R138" s="49"/>
      <c r="S138" s="49"/>
      <c r="T138" s="49"/>
      <c r="U138" s="49"/>
      <c r="V138" s="50"/>
    </row>
    <row r="139" spans="3:24" x14ac:dyDescent="0.4">
      <c r="C139" s="48"/>
      <c r="D139" s="49"/>
      <c r="E139" s="49"/>
      <c r="F139" s="49"/>
      <c r="G139" s="49"/>
      <c r="H139" s="49"/>
      <c r="I139" s="49"/>
      <c r="J139" s="49"/>
      <c r="K139" s="49"/>
      <c r="L139" s="49"/>
      <c r="M139" s="49"/>
      <c r="N139" s="49"/>
      <c r="O139" s="49"/>
      <c r="P139" s="49"/>
      <c r="Q139" s="49"/>
      <c r="R139" s="49"/>
      <c r="S139" s="49"/>
      <c r="T139" s="49"/>
      <c r="U139" s="49"/>
      <c r="V139" s="50"/>
    </row>
    <row r="140" spans="3:24" x14ac:dyDescent="0.4">
      <c r="C140" s="48"/>
      <c r="D140" s="49"/>
      <c r="E140" s="49"/>
      <c r="F140" s="49"/>
      <c r="G140" s="49"/>
      <c r="H140" s="49"/>
      <c r="I140" s="49"/>
      <c r="J140" s="49"/>
      <c r="K140" s="49"/>
      <c r="L140" s="49"/>
      <c r="M140" s="49"/>
      <c r="N140" s="49"/>
      <c r="O140" s="49"/>
      <c r="P140" s="49"/>
      <c r="Q140" s="49"/>
      <c r="R140" s="49"/>
      <c r="S140" s="49"/>
      <c r="T140" s="49"/>
      <c r="U140" s="49"/>
      <c r="V140" s="50"/>
    </row>
    <row r="141" spans="3:24" x14ac:dyDescent="0.4">
      <c r="C141" s="48"/>
      <c r="D141" s="49"/>
      <c r="E141" s="49"/>
      <c r="F141" s="49"/>
      <c r="G141" s="49"/>
      <c r="H141" s="49"/>
      <c r="I141" s="49"/>
      <c r="J141" s="49"/>
      <c r="K141" s="49"/>
      <c r="L141" s="49"/>
      <c r="M141" s="49"/>
      <c r="N141" s="49"/>
      <c r="O141" s="49"/>
      <c r="P141" s="49"/>
      <c r="Q141" s="49"/>
      <c r="R141" s="49"/>
      <c r="S141" s="49"/>
      <c r="T141" s="49"/>
      <c r="U141" s="49"/>
      <c r="V141" s="50"/>
    </row>
    <row r="142" spans="3:24" x14ac:dyDescent="0.4">
      <c r="C142" s="48"/>
      <c r="D142" s="49"/>
      <c r="E142" s="49"/>
      <c r="F142" s="49"/>
      <c r="G142" s="49"/>
      <c r="H142" s="49"/>
      <c r="I142" s="49"/>
      <c r="J142" s="49"/>
      <c r="K142" s="49"/>
      <c r="L142" s="49"/>
      <c r="M142" s="49"/>
      <c r="N142" s="49"/>
      <c r="O142" s="49"/>
      <c r="P142" s="49"/>
      <c r="Q142" s="49"/>
      <c r="R142" s="49"/>
      <c r="S142" s="49"/>
      <c r="T142" s="49"/>
      <c r="U142" s="49"/>
      <c r="V142" s="50"/>
    </row>
    <row r="143" spans="3:24" x14ac:dyDescent="0.4">
      <c r="C143" s="48"/>
      <c r="D143" s="49"/>
      <c r="E143" s="49"/>
      <c r="F143" s="49"/>
      <c r="G143" s="49"/>
      <c r="H143" s="49"/>
      <c r="I143" s="49"/>
      <c r="J143" s="49"/>
      <c r="K143" s="49"/>
      <c r="L143" s="49"/>
      <c r="M143" s="49"/>
      <c r="N143" s="49"/>
      <c r="O143" s="49"/>
      <c r="P143" s="49"/>
      <c r="Q143" s="49"/>
      <c r="R143" s="49"/>
      <c r="S143" s="49"/>
      <c r="T143" s="49"/>
      <c r="U143" s="49"/>
      <c r="V143" s="50"/>
    </row>
    <row r="144" spans="3:24" x14ac:dyDescent="0.4">
      <c r="C144" s="48"/>
      <c r="D144" s="49"/>
      <c r="E144" s="49"/>
      <c r="F144" s="49"/>
      <c r="G144" s="49"/>
      <c r="H144" s="49"/>
      <c r="I144" s="49"/>
      <c r="J144" s="49"/>
      <c r="K144" s="49"/>
      <c r="L144" s="49"/>
      <c r="M144" s="49"/>
      <c r="N144" s="49"/>
      <c r="O144" s="49"/>
      <c r="P144" s="49"/>
      <c r="Q144" s="49"/>
      <c r="R144" s="49"/>
      <c r="S144" s="49"/>
      <c r="T144" s="49"/>
      <c r="U144" s="49"/>
      <c r="V144" s="50"/>
    </row>
    <row r="145" spans="3:22" x14ac:dyDescent="0.4">
      <c r="C145" s="48"/>
      <c r="D145" s="49"/>
      <c r="E145" s="49"/>
      <c r="F145" s="49"/>
      <c r="G145" s="49"/>
      <c r="H145" s="49"/>
      <c r="I145" s="49"/>
      <c r="J145" s="49"/>
      <c r="K145" s="49"/>
      <c r="L145" s="49"/>
      <c r="M145" s="49"/>
      <c r="N145" s="49"/>
      <c r="O145" s="49"/>
      <c r="P145" s="49"/>
      <c r="Q145" s="49"/>
      <c r="R145" s="49"/>
      <c r="S145" s="49"/>
      <c r="T145" s="49"/>
      <c r="U145" s="49"/>
      <c r="V145" s="50"/>
    </row>
    <row r="146" spans="3:22" x14ac:dyDescent="0.4">
      <c r="C146" s="48"/>
      <c r="D146" s="49"/>
      <c r="E146" s="49"/>
      <c r="F146" s="49"/>
      <c r="G146" s="49"/>
      <c r="H146" s="49"/>
      <c r="I146" s="49"/>
      <c r="J146" s="49"/>
      <c r="K146" s="49"/>
      <c r="L146" s="49"/>
      <c r="M146" s="49"/>
      <c r="N146" s="49"/>
      <c r="O146" s="49"/>
      <c r="P146" s="49"/>
      <c r="Q146" s="49"/>
      <c r="R146" s="49"/>
      <c r="S146" s="49"/>
      <c r="T146" s="49"/>
      <c r="U146" s="49"/>
      <c r="V146" s="50"/>
    </row>
    <row r="147" spans="3:22" x14ac:dyDescent="0.4">
      <c r="C147" s="48"/>
      <c r="D147" s="49"/>
      <c r="E147" s="49"/>
      <c r="F147" s="49"/>
      <c r="G147" s="49"/>
      <c r="H147" s="49"/>
      <c r="I147" s="49"/>
      <c r="J147" s="49"/>
      <c r="K147" s="49"/>
      <c r="L147" s="49"/>
      <c r="M147" s="49"/>
      <c r="N147" s="49"/>
      <c r="O147" s="49"/>
      <c r="P147" s="49"/>
      <c r="Q147" s="49"/>
      <c r="R147" s="49"/>
      <c r="S147" s="49"/>
      <c r="T147" s="49"/>
      <c r="U147" s="49"/>
      <c r="V147" s="50"/>
    </row>
    <row r="148" spans="3:22" x14ac:dyDescent="0.4">
      <c r="C148" s="48"/>
      <c r="D148" s="49"/>
      <c r="E148" s="49"/>
      <c r="F148" s="49"/>
      <c r="G148" s="49"/>
      <c r="H148" s="49"/>
      <c r="I148" s="49"/>
      <c r="J148" s="49"/>
      <c r="K148" s="49"/>
      <c r="L148" s="49"/>
      <c r="M148" s="49"/>
      <c r="N148" s="49"/>
      <c r="O148" s="49"/>
      <c r="P148" s="49"/>
      <c r="Q148" s="49"/>
      <c r="R148" s="49"/>
      <c r="S148" s="49"/>
      <c r="T148" s="49"/>
      <c r="U148" s="49"/>
      <c r="V148" s="50"/>
    </row>
    <row r="149" spans="3:22" x14ac:dyDescent="0.4">
      <c r="C149" s="48"/>
      <c r="D149" s="49"/>
      <c r="E149" s="49"/>
      <c r="F149" s="49"/>
      <c r="G149" s="49"/>
      <c r="H149" s="49"/>
      <c r="I149" s="49"/>
      <c r="J149" s="49"/>
      <c r="K149" s="49"/>
      <c r="L149" s="49"/>
      <c r="M149" s="49"/>
      <c r="N149" s="49"/>
      <c r="O149" s="49"/>
      <c r="P149" s="49"/>
      <c r="Q149" s="49"/>
      <c r="R149" s="49"/>
      <c r="S149" s="49"/>
      <c r="T149" s="49"/>
      <c r="U149" s="49"/>
      <c r="V149" s="50"/>
    </row>
    <row r="150" spans="3:22" x14ac:dyDescent="0.4">
      <c r="C150" s="48"/>
      <c r="D150" s="49"/>
      <c r="E150" s="49"/>
      <c r="F150" s="49"/>
      <c r="G150" s="49"/>
      <c r="H150" s="49"/>
      <c r="I150" s="49"/>
      <c r="J150" s="49"/>
      <c r="K150" s="49"/>
      <c r="L150" s="49"/>
      <c r="M150" s="49"/>
      <c r="N150" s="49"/>
      <c r="O150" s="49"/>
      <c r="P150" s="49"/>
      <c r="Q150" s="49"/>
      <c r="R150" s="49"/>
      <c r="S150" s="49"/>
      <c r="T150" s="49"/>
      <c r="U150" s="49"/>
      <c r="V150" s="50"/>
    </row>
    <row r="151" spans="3:22" x14ac:dyDescent="0.4">
      <c r="C151" s="48"/>
      <c r="D151" s="49"/>
      <c r="E151" s="49"/>
      <c r="F151" s="49"/>
      <c r="G151" s="49"/>
      <c r="H151" s="49"/>
      <c r="I151" s="49"/>
      <c r="J151" s="49"/>
      <c r="K151" s="49"/>
      <c r="L151" s="49"/>
      <c r="M151" s="49"/>
      <c r="N151" s="49"/>
      <c r="O151" s="49"/>
      <c r="P151" s="49"/>
      <c r="Q151" s="49"/>
      <c r="R151" s="49"/>
      <c r="S151" s="49"/>
      <c r="T151" s="49"/>
      <c r="U151" s="49"/>
      <c r="V151" s="50"/>
    </row>
    <row r="152" spans="3:22" x14ac:dyDescent="0.4">
      <c r="C152" s="48"/>
      <c r="D152" s="49"/>
      <c r="E152" s="49"/>
      <c r="F152" s="49"/>
      <c r="G152" s="49"/>
      <c r="H152" s="49"/>
      <c r="I152" s="49"/>
      <c r="J152" s="49"/>
      <c r="K152" s="49"/>
      <c r="L152" s="49"/>
      <c r="M152" s="49"/>
      <c r="N152" s="49"/>
      <c r="O152" s="49"/>
      <c r="P152" s="49"/>
      <c r="Q152" s="49"/>
      <c r="R152" s="49"/>
      <c r="S152" s="49"/>
      <c r="T152" s="49"/>
      <c r="U152" s="49"/>
      <c r="V152" s="50"/>
    </row>
    <row r="153" spans="3:22" x14ac:dyDescent="0.4">
      <c r="C153" s="48"/>
      <c r="D153" s="49"/>
      <c r="E153" s="49"/>
      <c r="F153" s="49"/>
      <c r="G153" s="49"/>
      <c r="H153" s="49"/>
      <c r="I153" s="49"/>
      <c r="J153" s="49"/>
      <c r="K153" s="49"/>
      <c r="L153" s="49"/>
      <c r="M153" s="49"/>
      <c r="N153" s="49"/>
      <c r="O153" s="49"/>
      <c r="P153" s="49"/>
      <c r="Q153" s="49"/>
      <c r="R153" s="49"/>
      <c r="S153" s="49"/>
      <c r="T153" s="49"/>
      <c r="U153" s="49"/>
      <c r="V153" s="50"/>
    </row>
    <row r="154" spans="3:22" x14ac:dyDescent="0.4">
      <c r="C154" s="48"/>
      <c r="D154" s="49"/>
      <c r="E154" s="49"/>
      <c r="F154" s="49"/>
      <c r="G154" s="49"/>
      <c r="H154" s="49"/>
      <c r="I154" s="49"/>
      <c r="J154" s="49"/>
      <c r="K154" s="49"/>
      <c r="L154" s="49"/>
      <c r="M154" s="49"/>
      <c r="N154" s="49"/>
      <c r="O154" s="49"/>
      <c r="P154" s="49"/>
      <c r="Q154" s="49"/>
      <c r="R154" s="49"/>
      <c r="S154" s="49"/>
      <c r="T154" s="49"/>
      <c r="U154" s="49"/>
      <c r="V154" s="50"/>
    </row>
    <row r="155" spans="3:22" x14ac:dyDescent="0.4">
      <c r="C155" s="48"/>
      <c r="D155" s="49"/>
      <c r="E155" s="49"/>
      <c r="F155" s="49"/>
      <c r="G155" s="49"/>
      <c r="H155" s="49"/>
      <c r="I155" s="49"/>
      <c r="J155" s="49"/>
      <c r="K155" s="49"/>
      <c r="L155" s="49"/>
      <c r="M155" s="49"/>
      <c r="N155" s="49"/>
      <c r="O155" s="49"/>
      <c r="P155" s="49"/>
      <c r="Q155" s="49"/>
      <c r="R155" s="49"/>
      <c r="S155" s="49"/>
      <c r="T155" s="49"/>
      <c r="U155" s="49"/>
      <c r="V155" s="50"/>
    </row>
    <row r="156" spans="3:22" x14ac:dyDescent="0.4">
      <c r="C156" s="48"/>
      <c r="D156" s="49"/>
      <c r="E156" s="49"/>
      <c r="F156" s="49"/>
      <c r="G156" s="49"/>
      <c r="H156" s="49"/>
      <c r="I156" s="49"/>
      <c r="J156" s="49"/>
      <c r="K156" s="49"/>
      <c r="L156" s="49"/>
      <c r="M156" s="49"/>
      <c r="N156" s="49"/>
      <c r="O156" s="49"/>
      <c r="P156" s="49"/>
      <c r="Q156" s="49"/>
      <c r="R156" s="49"/>
      <c r="S156" s="49"/>
      <c r="T156" s="49"/>
      <c r="U156" s="49"/>
      <c r="V156" s="50"/>
    </row>
    <row r="157" spans="3:22" x14ac:dyDescent="0.4">
      <c r="C157" s="48"/>
      <c r="D157" s="49"/>
      <c r="E157" s="49"/>
      <c r="F157" s="49"/>
      <c r="G157" s="49"/>
      <c r="H157" s="49"/>
      <c r="I157" s="49"/>
      <c r="J157" s="49"/>
      <c r="K157" s="49"/>
      <c r="L157" s="49"/>
      <c r="M157" s="49"/>
      <c r="N157" s="49"/>
      <c r="O157" s="49"/>
      <c r="P157" s="49"/>
      <c r="Q157" s="49"/>
      <c r="R157" s="49"/>
      <c r="S157" s="49"/>
      <c r="T157" s="49"/>
      <c r="U157" s="49"/>
      <c r="V157" s="50"/>
    </row>
    <row r="158" spans="3:22" ht="17.399999999999999" thickBot="1" x14ac:dyDescent="0.45">
      <c r="C158" s="58"/>
      <c r="D158" s="59"/>
      <c r="E158" s="59"/>
      <c r="F158" s="59"/>
      <c r="G158" s="59"/>
      <c r="H158" s="59"/>
      <c r="I158" s="59"/>
      <c r="J158" s="59"/>
      <c r="K158" s="59"/>
      <c r="L158" s="59"/>
      <c r="M158" s="59"/>
      <c r="N158" s="59"/>
      <c r="O158" s="59"/>
      <c r="P158" s="59"/>
      <c r="Q158" s="59"/>
      <c r="R158" s="59"/>
      <c r="S158" s="59"/>
      <c r="T158" s="59"/>
      <c r="U158" s="59"/>
      <c r="V158" s="60"/>
    </row>
  </sheetData>
  <sheetProtection algorithmName="SHA-512" hashValue="KkkoE276vHyoDrvx6jHxpNSmo1yyuuiTZgxWLTws1AxIc/SfsJs3ByM1vPC/eXj64f1+tKnOZnX8HaA4vq2Waw==" saltValue="xcJ4GQU3FyPKSYDiq7pOzQ==" spinCount="100000" sheet="1" objects="1" scenarios="1"/>
  <mergeCells count="314">
    <mergeCell ref="H132:K132"/>
    <mergeCell ref="H133:K133"/>
    <mergeCell ref="P33:Q33"/>
    <mergeCell ref="R33:S33"/>
    <mergeCell ref="C36:D36"/>
    <mergeCell ref="D52:E52"/>
    <mergeCell ref="C47:V47"/>
    <mergeCell ref="F36:H36"/>
    <mergeCell ref="R39:S39"/>
    <mergeCell ref="P39:Q39"/>
    <mergeCell ref="N39:O39"/>
    <mergeCell ref="R38:S38"/>
    <mergeCell ref="P38:Q38"/>
    <mergeCell ref="N38:O38"/>
    <mergeCell ref="N36:O36"/>
    <mergeCell ref="P36:Q36"/>
    <mergeCell ref="R36:S36"/>
    <mergeCell ref="D83:E83"/>
    <mergeCell ref="D53:E53"/>
    <mergeCell ref="D57:E57"/>
    <mergeCell ref="D61:E61"/>
    <mergeCell ref="D81:E81"/>
    <mergeCell ref="D67:E67"/>
    <mergeCell ref="D66:E66"/>
    <mergeCell ref="H134:K134"/>
    <mergeCell ref="F116:G116"/>
    <mergeCell ref="D124:E124"/>
    <mergeCell ref="D125:E125"/>
    <mergeCell ref="D119:E119"/>
    <mergeCell ref="D120:E120"/>
    <mergeCell ref="D121:E121"/>
    <mergeCell ref="D122:E122"/>
    <mergeCell ref="D123:E123"/>
    <mergeCell ref="D116:E116"/>
    <mergeCell ref="F120:G120"/>
    <mergeCell ref="F121:G121"/>
    <mergeCell ref="F122:G122"/>
    <mergeCell ref="F123:G123"/>
    <mergeCell ref="F124:G124"/>
    <mergeCell ref="D117:E117"/>
    <mergeCell ref="F117:G117"/>
    <mergeCell ref="D118:E118"/>
    <mergeCell ref="F118:G118"/>
    <mergeCell ref="F119:G119"/>
    <mergeCell ref="H119:K119"/>
    <mergeCell ref="D131:E131"/>
    <mergeCell ref="F131:G131"/>
    <mergeCell ref="D132:E132"/>
    <mergeCell ref="H135:K135"/>
    <mergeCell ref="H136:K136"/>
    <mergeCell ref="H137:K137"/>
    <mergeCell ref="H115:K115"/>
    <mergeCell ref="H116:K116"/>
    <mergeCell ref="H117:K117"/>
    <mergeCell ref="H118:K118"/>
    <mergeCell ref="L33:M33"/>
    <mergeCell ref="N33:O33"/>
    <mergeCell ref="L113:M114"/>
    <mergeCell ref="H113:K114"/>
    <mergeCell ref="L115:M115"/>
    <mergeCell ref="L116:M116"/>
    <mergeCell ref="N116:O116"/>
    <mergeCell ref="L121:M121"/>
    <mergeCell ref="N121:O121"/>
    <mergeCell ref="L125:M125"/>
    <mergeCell ref="N125:O125"/>
    <mergeCell ref="F34:H34"/>
    <mergeCell ref="F35:H35"/>
    <mergeCell ref="L35:M35"/>
    <mergeCell ref="L36:M36"/>
    <mergeCell ref="L37:M37"/>
    <mergeCell ref="C46:V46"/>
    <mergeCell ref="C5:V5"/>
    <mergeCell ref="C15:V15"/>
    <mergeCell ref="C29:V29"/>
    <mergeCell ref="C35:D35"/>
    <mergeCell ref="C34:D34"/>
    <mergeCell ref="I7:J7"/>
    <mergeCell ref="I9:J9"/>
    <mergeCell ref="I11:J11"/>
    <mergeCell ref="N7:O7"/>
    <mergeCell ref="N9:O9"/>
    <mergeCell ref="N11:O11"/>
    <mergeCell ref="C16:J16"/>
    <mergeCell ref="D11:E11"/>
    <mergeCell ref="E25:F25"/>
    <mergeCell ref="H25:I25"/>
    <mergeCell ref="E26:F26"/>
    <mergeCell ref="H26:I26"/>
    <mergeCell ref="R34:S34"/>
    <mergeCell ref="N35:O35"/>
    <mergeCell ref="P35:Q35"/>
    <mergeCell ref="R35:S35"/>
    <mergeCell ref="N34:O34"/>
    <mergeCell ref="P34:Q34"/>
    <mergeCell ref="L34:M34"/>
    <mergeCell ref="AB114:AB115"/>
    <mergeCell ref="AC114:AC115"/>
    <mergeCell ref="I111:U111"/>
    <mergeCell ref="C109:V109"/>
    <mergeCell ref="D115:E115"/>
    <mergeCell ref="F113:G114"/>
    <mergeCell ref="F115:G115"/>
    <mergeCell ref="N113:O114"/>
    <mergeCell ref="D82:E82"/>
    <mergeCell ref="X114:X115"/>
    <mergeCell ref="Y114:Y115"/>
    <mergeCell ref="Z114:Z115"/>
    <mergeCell ref="AA114:AA115"/>
    <mergeCell ref="P113:Q114"/>
    <mergeCell ref="R113:S114"/>
    <mergeCell ref="N115:O115"/>
    <mergeCell ref="P115:Q115"/>
    <mergeCell ref="R115:S115"/>
    <mergeCell ref="C93:V93"/>
    <mergeCell ref="D113:E114"/>
    <mergeCell ref="D104:E104"/>
    <mergeCell ref="X96:Y96"/>
    <mergeCell ref="X97:Y97"/>
    <mergeCell ref="X98:Y98"/>
    <mergeCell ref="N37:O37"/>
    <mergeCell ref="P37:Q37"/>
    <mergeCell ref="R37:S37"/>
    <mergeCell ref="L38:M38"/>
    <mergeCell ref="L39:M39"/>
    <mergeCell ref="K16:V16"/>
    <mergeCell ref="R7:S7"/>
    <mergeCell ref="T7:U7"/>
    <mergeCell ref="C18:I18"/>
    <mergeCell ref="D7:E7"/>
    <mergeCell ref="D9:E9"/>
    <mergeCell ref="K30:V30"/>
    <mergeCell ref="T9:U9"/>
    <mergeCell ref="M18:S18"/>
    <mergeCell ref="H24:I24"/>
    <mergeCell ref="E19:F19"/>
    <mergeCell ref="H19:I19"/>
    <mergeCell ref="E20:F20"/>
    <mergeCell ref="H20:I20"/>
    <mergeCell ref="E21:F21"/>
    <mergeCell ref="H21:I21"/>
    <mergeCell ref="Q20:R20"/>
    <mergeCell ref="Q22:R22"/>
    <mergeCell ref="C19:D19"/>
    <mergeCell ref="F132:G132"/>
    <mergeCell ref="F125:G125"/>
    <mergeCell ref="F126:G126"/>
    <mergeCell ref="F127:G127"/>
    <mergeCell ref="F128:G128"/>
    <mergeCell ref="D129:E129"/>
    <mergeCell ref="F129:G129"/>
    <mergeCell ref="D126:E126"/>
    <mergeCell ref="D127:E127"/>
    <mergeCell ref="D128:E128"/>
    <mergeCell ref="D130:E130"/>
    <mergeCell ref="F130:G130"/>
    <mergeCell ref="D136:E136"/>
    <mergeCell ref="F136:G136"/>
    <mergeCell ref="D137:E137"/>
    <mergeCell ref="F137:G137"/>
    <mergeCell ref="D133:E133"/>
    <mergeCell ref="F133:G133"/>
    <mergeCell ref="D134:E134"/>
    <mergeCell ref="F134:G134"/>
    <mergeCell ref="D135:E135"/>
    <mergeCell ref="F135:G135"/>
    <mergeCell ref="P116:Q116"/>
    <mergeCell ref="R116:S116"/>
    <mergeCell ref="L117:M117"/>
    <mergeCell ref="N117:O117"/>
    <mergeCell ref="P117:Q117"/>
    <mergeCell ref="R117:S117"/>
    <mergeCell ref="L119:M119"/>
    <mergeCell ref="N119:O119"/>
    <mergeCell ref="P119:Q119"/>
    <mergeCell ref="R119:S119"/>
    <mergeCell ref="L118:M118"/>
    <mergeCell ref="N118:O118"/>
    <mergeCell ref="P118:Q118"/>
    <mergeCell ref="R118:S118"/>
    <mergeCell ref="P121:Q121"/>
    <mergeCell ref="R121:S121"/>
    <mergeCell ref="L120:M120"/>
    <mergeCell ref="N120:O120"/>
    <mergeCell ref="P120:Q120"/>
    <mergeCell ref="R120:S120"/>
    <mergeCell ref="H120:K120"/>
    <mergeCell ref="H121:K121"/>
    <mergeCell ref="L123:M123"/>
    <mergeCell ref="N123:O123"/>
    <mergeCell ref="P123:Q123"/>
    <mergeCell ref="R123:S123"/>
    <mergeCell ref="L122:M122"/>
    <mergeCell ref="N122:O122"/>
    <mergeCell ref="P122:Q122"/>
    <mergeCell ref="R122:S122"/>
    <mergeCell ref="H122:K122"/>
    <mergeCell ref="H123:K123"/>
    <mergeCell ref="P125:Q125"/>
    <mergeCell ref="R125:S125"/>
    <mergeCell ref="L124:M124"/>
    <mergeCell ref="N124:O124"/>
    <mergeCell ref="P124:Q124"/>
    <mergeCell ref="R124:S124"/>
    <mergeCell ref="H124:K124"/>
    <mergeCell ref="H125:K125"/>
    <mergeCell ref="L127:M127"/>
    <mergeCell ref="N127:O127"/>
    <mergeCell ref="P127:Q127"/>
    <mergeCell ref="R127:S127"/>
    <mergeCell ref="L126:M126"/>
    <mergeCell ref="N126:O126"/>
    <mergeCell ref="P126:Q126"/>
    <mergeCell ref="R126:S126"/>
    <mergeCell ref="H126:K126"/>
    <mergeCell ref="H127:K127"/>
    <mergeCell ref="R128:S128"/>
    <mergeCell ref="L129:M129"/>
    <mergeCell ref="N129:O129"/>
    <mergeCell ref="P129:Q129"/>
    <mergeCell ref="R129:S129"/>
    <mergeCell ref="L128:M128"/>
    <mergeCell ref="N128:O128"/>
    <mergeCell ref="P128:Q128"/>
    <mergeCell ref="H128:K128"/>
    <mergeCell ref="H129:K129"/>
    <mergeCell ref="R130:S130"/>
    <mergeCell ref="L131:M131"/>
    <mergeCell ref="N131:O131"/>
    <mergeCell ref="P131:Q131"/>
    <mergeCell ref="R131:S131"/>
    <mergeCell ref="L130:M130"/>
    <mergeCell ref="N130:O130"/>
    <mergeCell ref="P130:Q130"/>
    <mergeCell ref="H130:K130"/>
    <mergeCell ref="H131:K131"/>
    <mergeCell ref="R132:S132"/>
    <mergeCell ref="L133:M133"/>
    <mergeCell ref="N133:O133"/>
    <mergeCell ref="R136:S136"/>
    <mergeCell ref="L137:M137"/>
    <mergeCell ref="N137:O137"/>
    <mergeCell ref="P137:Q137"/>
    <mergeCell ref="R137:S137"/>
    <mergeCell ref="L136:M136"/>
    <mergeCell ref="N136:O136"/>
    <mergeCell ref="P136:Q136"/>
    <mergeCell ref="P133:Q133"/>
    <mergeCell ref="R133:S133"/>
    <mergeCell ref="L132:M132"/>
    <mergeCell ref="N132:O132"/>
    <mergeCell ref="P132:Q132"/>
    <mergeCell ref="L135:M135"/>
    <mergeCell ref="N135:O135"/>
    <mergeCell ref="P135:Q135"/>
    <mergeCell ref="R135:S135"/>
    <mergeCell ref="L134:M134"/>
    <mergeCell ref="N134:O134"/>
    <mergeCell ref="P134:Q134"/>
    <mergeCell ref="R134:S134"/>
    <mergeCell ref="X101:Y101"/>
    <mergeCell ref="X102:Y102"/>
    <mergeCell ref="X103:Y103"/>
    <mergeCell ref="D98:E98"/>
    <mergeCell ref="D99:E99"/>
    <mergeCell ref="D100:E100"/>
    <mergeCell ref="D102:E102"/>
    <mergeCell ref="D103:E103"/>
    <mergeCell ref="D84:E84"/>
    <mergeCell ref="D86:E86"/>
    <mergeCell ref="D87:E87"/>
    <mergeCell ref="D89:E89"/>
    <mergeCell ref="D90:E90"/>
    <mergeCell ref="D85:E85"/>
    <mergeCell ref="D88:E88"/>
    <mergeCell ref="D80:E80"/>
    <mergeCell ref="D62:E62"/>
    <mergeCell ref="D69:E69"/>
    <mergeCell ref="D55:E55"/>
    <mergeCell ref="D54:E54"/>
    <mergeCell ref="D59:E59"/>
    <mergeCell ref="D58:E58"/>
    <mergeCell ref="D63:E63"/>
    <mergeCell ref="D65:E65"/>
    <mergeCell ref="D73:E73"/>
    <mergeCell ref="D77:E77"/>
    <mergeCell ref="D68:E68"/>
    <mergeCell ref="D76:E76"/>
    <mergeCell ref="D71:E71"/>
    <mergeCell ref="D70:E70"/>
    <mergeCell ref="D75:E75"/>
    <mergeCell ref="D74:E74"/>
    <mergeCell ref="D79:E79"/>
    <mergeCell ref="D78:E78"/>
    <mergeCell ref="D56:E56"/>
    <mergeCell ref="D60:E60"/>
    <mergeCell ref="D64:E64"/>
    <mergeCell ref="D72:E72"/>
    <mergeCell ref="C24:D24"/>
    <mergeCell ref="C23:D23"/>
    <mergeCell ref="C22:D22"/>
    <mergeCell ref="C21:D21"/>
    <mergeCell ref="C20:D20"/>
    <mergeCell ref="C30:J30"/>
    <mergeCell ref="E22:F22"/>
    <mergeCell ref="H22:I22"/>
    <mergeCell ref="E23:F23"/>
    <mergeCell ref="H23:I23"/>
    <mergeCell ref="E24:F24"/>
    <mergeCell ref="E27:F27"/>
    <mergeCell ref="H27:I27"/>
    <mergeCell ref="C27:D27"/>
    <mergeCell ref="C26:D26"/>
    <mergeCell ref="C25:D25"/>
  </mergeCells>
  <dataValidations count="1">
    <dataValidation type="list" allowBlank="1" showInputMessage="1" showErrorMessage="1" sqref="F115:F116">
      <formula1>"Review &amp; trình điều chỉnh hạn mức tín dụng, Trình giá phí, Tập trung cải thiện mối quan hệ, Đề xuất HO hỗ trợ, Khác"</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42" id="{5A2B4947-1733-4A75-92D0-CB2576A3CACE}">
            <xm:f>'TRANG CHU'!$G$24="MST"</xm:f>
            <x14:dxf>
              <fill>
                <patternFill>
                  <bgColor theme="3" tint="-4.9989318521683403E-2"/>
                </patternFill>
              </fill>
            </x14:dxf>
          </x14:cfRule>
          <x14:cfRule type="expression" priority="43" id="{D14053F1-5A73-4573-A17D-6C2021B0497D}">
            <xm:f>'TRANG CHU'!$G$24="CIF"</xm:f>
            <x14:dxf>
              <fill>
                <patternFill>
                  <bgColor theme="7" tint="0.79998168889431442"/>
                </patternFill>
              </fill>
            </x14:dxf>
          </x14:cfRule>
          <xm:sqref>D7:E7</xm:sqref>
        </x14:conditionalFormatting>
        <x14:conditionalFormatting xmlns:xm="http://schemas.microsoft.com/office/excel/2006/main">
          <x14:cfRule type="expression" priority="40" id="{650BF570-EFA9-437C-AFA0-7751ED9DC76D}">
            <xm:f>'TRANG CHU'!$G$24="MST"</xm:f>
            <x14:dxf>
              <fill>
                <patternFill>
                  <bgColor theme="2" tint="-4.9989318521683403E-2"/>
                </patternFill>
              </fill>
            </x14:dxf>
          </x14:cfRule>
          <x14:cfRule type="expression" priority="41" id="{309185BD-6A03-4264-A822-7C9336BF8D8F}">
            <xm:f>'TRANG CHU'!$G$24="CIF"</xm:f>
            <x14:dxf>
              <fill>
                <patternFill>
                  <bgColor theme="7" tint="0.79998168889431442"/>
                </patternFill>
              </fill>
            </x14:dxf>
          </x14:cfRule>
          <xm:sqref>D9:E9</xm:sqref>
        </x14:conditionalFormatting>
        <x14:conditionalFormatting xmlns:xm="http://schemas.microsoft.com/office/excel/2006/main">
          <x14:cfRule type="expression" priority="37" id="{575BFAF9-AADA-4A11-8186-204443ADB9E5}">
            <xm:f>'TRANG CHU'!$G$24="MST"</xm:f>
            <x14:dxf>
              <fill>
                <patternFill>
                  <bgColor theme="3" tint="-4.9989318521683403E-2"/>
                </patternFill>
              </fill>
            </x14:dxf>
          </x14:cfRule>
          <x14:cfRule type="expression" priority="38" id="{71B12249-853B-45E6-BBEF-508B6A673923}">
            <xm:f>'TRANG CHU'!$G$24="CIF"</xm:f>
            <x14:dxf>
              <fill>
                <patternFill>
                  <bgColor theme="7" tint="0.79998168889431442"/>
                </patternFill>
              </fill>
            </x14:dxf>
          </x14:cfRule>
          <x14:cfRule type="expression" priority="39" id="{1371CA24-04DA-4385-99AA-10EB947A09FA}">
            <xm:f>'TRANG CHU'!$G$24="CIF"</xm:f>
            <x14:dxf>
              <fill>
                <patternFill>
                  <bgColor theme="7" tint="0.79998168889431442"/>
                </patternFill>
              </fill>
            </x14:dxf>
          </x14:cfRule>
          <xm:sqref>D11:E11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AI40"/>
  <sheetViews>
    <sheetView showGridLines="0" zoomScale="102" zoomScaleNormal="40" workbookViewId="0"/>
  </sheetViews>
  <sheetFormatPr defaultColWidth="9" defaultRowHeight="16.8" x14ac:dyDescent="0.4"/>
  <cols>
    <col min="1" max="4" width="9" style="47"/>
    <col min="5" max="5" width="9.109375" style="47" customWidth="1"/>
    <col min="6" max="16384" width="9" style="47"/>
  </cols>
  <sheetData>
    <row r="2" spans="3:35" ht="12" customHeight="1" x14ac:dyDescent="0.4"/>
    <row r="3" spans="3:35" ht="17.399999999999999" thickBot="1" x14ac:dyDescent="0.45">
      <c r="AI3" s="100" t="e">
        <f>"KẾ HOẠCH KINH DOANH " &amp; ACP!$D$11 &amp; " THỜI ĐIỂM " &amp; TEXT('TRANG CHU'!$H$18, "dd/mm/yyyy")</f>
        <v>#N/A</v>
      </c>
    </row>
    <row r="4" spans="3:35" x14ac:dyDescent="0.4">
      <c r="C4" s="106"/>
      <c r="D4" s="107"/>
      <c r="E4" s="107"/>
      <c r="F4" s="107"/>
      <c r="G4" s="107"/>
      <c r="H4" s="107"/>
      <c r="I4" s="107"/>
      <c r="J4" s="107"/>
      <c r="K4" s="107"/>
      <c r="L4" s="107"/>
      <c r="M4" s="107"/>
      <c r="N4" s="107"/>
      <c r="O4" s="107"/>
      <c r="P4" s="107"/>
      <c r="Q4" s="107"/>
      <c r="R4" s="108"/>
      <c r="AI4" s="100" t="e">
        <f>"KẾ HOẠCH KINH DOANH "&amp;ACP!$D$11</f>
        <v>#N/A</v>
      </c>
    </row>
    <row r="5" spans="3:35" ht="32.4" x14ac:dyDescent="0.4">
      <c r="C5" s="109"/>
      <c r="D5" s="258" t="e">
        <f>$AI$4</f>
        <v>#N/A</v>
      </c>
      <c r="E5" s="110"/>
      <c r="F5" s="110"/>
      <c r="G5" s="111"/>
      <c r="H5" s="111"/>
      <c r="I5" s="111"/>
      <c r="J5" s="111"/>
      <c r="K5" s="111"/>
      <c r="L5" s="111"/>
      <c r="M5" s="111"/>
      <c r="N5" s="111"/>
      <c r="O5" s="111"/>
      <c r="P5" s="111"/>
      <c r="Q5" s="111"/>
      <c r="R5" s="112"/>
    </row>
    <row r="6" spans="3:35" x14ac:dyDescent="0.4">
      <c r="C6" s="113"/>
      <c r="D6" s="3"/>
      <c r="E6" s="3"/>
      <c r="F6" s="3"/>
      <c r="G6" s="3"/>
      <c r="H6" s="3"/>
      <c r="I6" s="3"/>
      <c r="J6" s="3"/>
      <c r="K6" s="3"/>
      <c r="L6" s="3"/>
      <c r="M6" s="3"/>
      <c r="N6" s="3"/>
      <c r="O6" s="3"/>
      <c r="P6" s="3"/>
      <c r="Q6" s="3"/>
      <c r="R6" s="114"/>
    </row>
    <row r="7" spans="3:35" x14ac:dyDescent="0.4">
      <c r="C7" s="113"/>
      <c r="D7" s="115" t="s">
        <v>58</v>
      </c>
      <c r="E7" s="116"/>
      <c r="F7" s="116"/>
      <c r="G7" s="116"/>
      <c r="H7" s="116"/>
      <c r="I7" s="116"/>
      <c r="J7" s="116"/>
      <c r="K7" s="116"/>
      <c r="L7" s="116"/>
      <c r="M7" s="116"/>
      <c r="N7" s="116"/>
      <c r="O7" s="116"/>
      <c r="P7" s="116"/>
      <c r="Q7" s="116"/>
      <c r="R7" s="114"/>
    </row>
    <row r="8" spans="3:35" x14ac:dyDescent="0.4">
      <c r="C8" s="117"/>
      <c r="D8" s="118"/>
      <c r="E8" s="119"/>
      <c r="F8" s="119"/>
      <c r="G8" s="119"/>
      <c r="H8" s="119"/>
      <c r="I8" s="119"/>
      <c r="J8" s="119"/>
      <c r="K8" s="119"/>
      <c r="L8" s="119"/>
      <c r="M8" s="119"/>
      <c r="N8" s="119"/>
      <c r="O8" s="119"/>
      <c r="P8" s="119"/>
      <c r="Q8" s="119"/>
      <c r="R8" s="120"/>
    </row>
    <row r="9" spans="3:35" x14ac:dyDescent="0.4">
      <c r="C9" s="113"/>
      <c r="D9" s="121" t="s">
        <v>59</v>
      </c>
      <c r="E9" s="3"/>
      <c r="F9" s="3"/>
      <c r="G9" s="3"/>
      <c r="H9" s="3"/>
      <c r="I9" s="3"/>
      <c r="J9" s="3"/>
      <c r="K9" s="3"/>
      <c r="L9" s="3"/>
      <c r="M9" s="3"/>
      <c r="N9" s="3"/>
      <c r="O9" s="3"/>
      <c r="P9" s="3"/>
      <c r="Q9" s="3"/>
      <c r="R9" s="114"/>
    </row>
    <row r="10" spans="3:35" x14ac:dyDescent="0.4">
      <c r="C10" s="113"/>
      <c r="D10" s="364"/>
      <c r="E10" s="364"/>
      <c r="F10" s="364"/>
      <c r="G10" s="364"/>
      <c r="H10" s="364"/>
      <c r="I10" s="364"/>
      <c r="J10" s="364"/>
      <c r="K10" s="364"/>
      <c r="L10" s="364"/>
      <c r="M10" s="364"/>
      <c r="N10" s="364"/>
      <c r="O10" s="364"/>
      <c r="P10" s="364"/>
      <c r="Q10" s="364"/>
      <c r="R10" s="114"/>
    </row>
    <row r="11" spans="3:35" x14ac:dyDescent="0.4">
      <c r="C11" s="113"/>
      <c r="D11" s="365"/>
      <c r="E11" s="365"/>
      <c r="F11" s="365"/>
      <c r="G11" s="365"/>
      <c r="H11" s="365"/>
      <c r="I11" s="365"/>
      <c r="J11" s="365"/>
      <c r="K11" s="365"/>
      <c r="L11" s="365"/>
      <c r="M11" s="365"/>
      <c r="N11" s="365"/>
      <c r="O11" s="365"/>
      <c r="P11" s="365"/>
      <c r="Q11" s="365"/>
      <c r="R11" s="114"/>
    </row>
    <row r="12" spans="3:35" x14ac:dyDescent="0.4">
      <c r="C12" s="113"/>
      <c r="D12" s="365"/>
      <c r="E12" s="365"/>
      <c r="F12" s="365"/>
      <c r="G12" s="365"/>
      <c r="H12" s="365"/>
      <c r="I12" s="365"/>
      <c r="J12" s="365"/>
      <c r="K12" s="365"/>
      <c r="L12" s="365"/>
      <c r="M12" s="365"/>
      <c r="N12" s="365"/>
      <c r="O12" s="365"/>
      <c r="P12" s="365"/>
      <c r="Q12" s="365"/>
      <c r="R12" s="114"/>
    </row>
    <row r="13" spans="3:35" x14ac:dyDescent="0.4">
      <c r="C13" s="113"/>
      <c r="D13" s="365"/>
      <c r="E13" s="365"/>
      <c r="F13" s="365"/>
      <c r="G13" s="365"/>
      <c r="H13" s="365"/>
      <c r="I13" s="365"/>
      <c r="J13" s="365"/>
      <c r="K13" s="365"/>
      <c r="L13" s="365"/>
      <c r="M13" s="365"/>
      <c r="N13" s="365"/>
      <c r="O13" s="365"/>
      <c r="P13" s="365"/>
      <c r="Q13" s="365"/>
      <c r="R13" s="114"/>
    </row>
    <row r="14" spans="3:35" x14ac:dyDescent="0.4">
      <c r="C14" s="113"/>
      <c r="D14" s="123"/>
      <c r="E14" s="123"/>
      <c r="F14" s="123"/>
      <c r="G14" s="123"/>
      <c r="H14" s="123"/>
      <c r="I14" s="123"/>
      <c r="J14" s="123"/>
      <c r="K14" s="123"/>
      <c r="L14" s="123"/>
      <c r="M14" s="123"/>
      <c r="N14" s="123"/>
      <c r="O14" s="123"/>
      <c r="P14" s="123"/>
      <c r="Q14" s="123"/>
      <c r="R14" s="114"/>
    </row>
    <row r="15" spans="3:35" x14ac:dyDescent="0.4">
      <c r="C15" s="113"/>
      <c r="D15" s="121" t="s">
        <v>60</v>
      </c>
      <c r="E15" s="3"/>
      <c r="F15" s="3"/>
      <c r="G15" s="3"/>
      <c r="H15" s="3"/>
      <c r="I15" s="3"/>
      <c r="J15" s="3"/>
      <c r="K15" s="3"/>
      <c r="L15" s="3"/>
      <c r="M15" s="3"/>
      <c r="N15" s="3"/>
      <c r="O15" s="3"/>
      <c r="P15" s="3"/>
      <c r="Q15" s="3"/>
      <c r="R15" s="114"/>
    </row>
    <row r="16" spans="3:35" x14ac:dyDescent="0.4">
      <c r="C16" s="113"/>
      <c r="D16" s="366"/>
      <c r="E16" s="366"/>
      <c r="F16" s="366"/>
      <c r="G16" s="366"/>
      <c r="H16" s="366"/>
      <c r="I16" s="366"/>
      <c r="J16" s="366"/>
      <c r="K16" s="366"/>
      <c r="L16" s="366"/>
      <c r="M16" s="366"/>
      <c r="N16" s="366"/>
      <c r="O16" s="366"/>
      <c r="P16" s="366"/>
      <c r="Q16" s="366"/>
      <c r="R16" s="114"/>
    </row>
    <row r="17" spans="3:18" x14ac:dyDescent="0.4">
      <c r="C17" s="113"/>
      <c r="D17" s="368"/>
      <c r="E17" s="368"/>
      <c r="F17" s="368"/>
      <c r="G17" s="368"/>
      <c r="H17" s="368"/>
      <c r="I17" s="368"/>
      <c r="J17" s="368"/>
      <c r="K17" s="368"/>
      <c r="L17" s="368"/>
      <c r="M17" s="368"/>
      <c r="N17" s="368"/>
      <c r="O17" s="368"/>
      <c r="P17" s="368"/>
      <c r="Q17" s="368"/>
      <c r="R17" s="114"/>
    </row>
    <row r="18" spans="3:18" x14ac:dyDescent="0.4">
      <c r="C18" s="113"/>
      <c r="D18" s="368"/>
      <c r="E18" s="368"/>
      <c r="F18" s="368"/>
      <c r="G18" s="368"/>
      <c r="H18" s="368"/>
      <c r="I18" s="368"/>
      <c r="J18" s="368"/>
      <c r="K18" s="368"/>
      <c r="L18" s="368"/>
      <c r="M18" s="368"/>
      <c r="N18" s="368"/>
      <c r="O18" s="368"/>
      <c r="P18" s="368"/>
      <c r="Q18" s="368"/>
      <c r="R18" s="114"/>
    </row>
    <row r="19" spans="3:18" x14ac:dyDescent="0.4">
      <c r="C19" s="113"/>
      <c r="D19" s="368"/>
      <c r="E19" s="368"/>
      <c r="F19" s="368"/>
      <c r="G19" s="368"/>
      <c r="H19" s="368"/>
      <c r="I19" s="368"/>
      <c r="J19" s="368"/>
      <c r="K19" s="368"/>
      <c r="L19" s="368"/>
      <c r="M19" s="368"/>
      <c r="N19" s="368"/>
      <c r="O19" s="368"/>
      <c r="P19" s="368"/>
      <c r="Q19" s="368"/>
      <c r="R19" s="114"/>
    </row>
    <row r="20" spans="3:18" x14ac:dyDescent="0.4">
      <c r="C20" s="113"/>
      <c r="D20" s="122"/>
      <c r="E20" s="123"/>
      <c r="F20" s="123"/>
      <c r="G20" s="123"/>
      <c r="H20" s="123"/>
      <c r="I20" s="123"/>
      <c r="J20" s="123"/>
      <c r="K20" s="123"/>
      <c r="L20" s="123"/>
      <c r="M20" s="123"/>
      <c r="N20" s="123"/>
      <c r="O20" s="123"/>
      <c r="P20" s="123"/>
      <c r="Q20" s="123"/>
      <c r="R20" s="114"/>
    </row>
    <row r="21" spans="3:18" x14ac:dyDescent="0.4">
      <c r="C21" s="113"/>
      <c r="D21" s="121" t="s">
        <v>61</v>
      </c>
      <c r="E21" s="3"/>
      <c r="F21" s="3"/>
      <c r="G21" s="3"/>
      <c r="H21" s="3"/>
      <c r="I21" s="3"/>
      <c r="J21" s="3"/>
      <c r="K21" s="3"/>
      <c r="L21" s="3"/>
      <c r="M21" s="3"/>
      <c r="N21" s="3"/>
      <c r="O21" s="3"/>
      <c r="P21" s="3"/>
      <c r="Q21" s="3"/>
      <c r="R21" s="114"/>
    </row>
    <row r="22" spans="3:18" x14ac:dyDescent="0.4">
      <c r="C22" s="113"/>
      <c r="D22" s="369"/>
      <c r="E22" s="369"/>
      <c r="F22" s="369"/>
      <c r="G22" s="369"/>
      <c r="H22" s="369"/>
      <c r="I22" s="369"/>
      <c r="J22" s="369"/>
      <c r="K22" s="369"/>
      <c r="L22" s="369"/>
      <c r="M22" s="369"/>
      <c r="N22" s="369"/>
      <c r="O22" s="369"/>
      <c r="P22" s="369"/>
      <c r="Q22" s="369"/>
      <c r="R22" s="114"/>
    </row>
    <row r="23" spans="3:18" x14ac:dyDescent="0.4">
      <c r="C23" s="113"/>
      <c r="D23" s="367"/>
      <c r="E23" s="367"/>
      <c r="F23" s="367"/>
      <c r="G23" s="367"/>
      <c r="H23" s="367"/>
      <c r="I23" s="367"/>
      <c r="J23" s="367"/>
      <c r="K23" s="367"/>
      <c r="L23" s="367"/>
      <c r="M23" s="367"/>
      <c r="N23" s="367"/>
      <c r="O23" s="367"/>
      <c r="P23" s="367"/>
      <c r="Q23" s="367"/>
      <c r="R23" s="114"/>
    </row>
    <row r="24" spans="3:18" x14ac:dyDescent="0.4">
      <c r="C24" s="113"/>
      <c r="D24" s="367"/>
      <c r="E24" s="367"/>
      <c r="F24" s="367"/>
      <c r="G24" s="367"/>
      <c r="H24" s="367"/>
      <c r="I24" s="367"/>
      <c r="J24" s="367"/>
      <c r="K24" s="367"/>
      <c r="L24" s="367"/>
      <c r="M24" s="367"/>
      <c r="N24" s="367"/>
      <c r="O24" s="367"/>
      <c r="P24" s="367"/>
      <c r="Q24" s="367"/>
      <c r="R24" s="114"/>
    </row>
    <row r="25" spans="3:18" x14ac:dyDescent="0.4">
      <c r="C25" s="113"/>
      <c r="D25" s="367"/>
      <c r="E25" s="367"/>
      <c r="F25" s="367"/>
      <c r="G25" s="367"/>
      <c r="H25" s="367"/>
      <c r="I25" s="367"/>
      <c r="J25" s="367"/>
      <c r="K25" s="367"/>
      <c r="L25" s="367"/>
      <c r="M25" s="367"/>
      <c r="N25" s="367"/>
      <c r="O25" s="367"/>
      <c r="P25" s="367"/>
      <c r="Q25" s="367"/>
      <c r="R25" s="114"/>
    </row>
    <row r="26" spans="3:18" x14ac:dyDescent="0.4">
      <c r="C26" s="113"/>
      <c r="D26" s="123"/>
      <c r="E26" s="123"/>
      <c r="F26" s="123"/>
      <c r="G26" s="123"/>
      <c r="H26" s="123"/>
      <c r="I26" s="123"/>
      <c r="J26" s="123"/>
      <c r="K26" s="123"/>
      <c r="L26" s="123"/>
      <c r="M26" s="123"/>
      <c r="N26" s="123"/>
      <c r="O26" s="123"/>
      <c r="P26" s="123"/>
      <c r="Q26" s="123"/>
      <c r="R26" s="114"/>
    </row>
    <row r="27" spans="3:18" x14ac:dyDescent="0.4">
      <c r="C27" s="113"/>
      <c r="D27" s="115" t="s">
        <v>62</v>
      </c>
      <c r="E27" s="116"/>
      <c r="F27" s="116"/>
      <c r="G27" s="116"/>
      <c r="H27" s="116"/>
      <c r="I27" s="116"/>
      <c r="J27" s="116"/>
      <c r="K27" s="116"/>
      <c r="L27" s="116"/>
      <c r="M27" s="116"/>
      <c r="N27" s="116"/>
      <c r="O27" s="116"/>
      <c r="P27" s="116"/>
      <c r="Q27" s="116"/>
      <c r="R27" s="114"/>
    </row>
    <row r="28" spans="3:18" x14ac:dyDescent="0.4">
      <c r="C28" s="117"/>
      <c r="D28" s="118"/>
      <c r="E28" s="119"/>
      <c r="F28" s="119"/>
      <c r="G28" s="119"/>
      <c r="H28" s="119"/>
      <c r="I28" s="119"/>
      <c r="J28" s="119"/>
      <c r="K28" s="119"/>
      <c r="L28" s="119"/>
      <c r="M28" s="119"/>
      <c r="N28" s="119"/>
      <c r="O28" s="119"/>
      <c r="P28" s="119"/>
      <c r="Q28" s="119"/>
      <c r="R28" s="120"/>
    </row>
    <row r="29" spans="3:18" x14ac:dyDescent="0.4">
      <c r="C29" s="113"/>
      <c r="D29" s="124" t="s">
        <v>63</v>
      </c>
      <c r="E29" s="3"/>
      <c r="F29" s="3"/>
      <c r="G29" s="3"/>
      <c r="H29" s="3"/>
      <c r="I29" s="3"/>
      <c r="J29" s="3"/>
      <c r="K29" s="3"/>
      <c r="L29" s="3"/>
      <c r="M29" s="3"/>
      <c r="N29" s="3"/>
      <c r="O29" s="3"/>
      <c r="P29" s="3"/>
      <c r="Q29" s="3"/>
      <c r="R29" s="114"/>
    </row>
    <row r="30" spans="3:18" x14ac:dyDescent="0.4">
      <c r="C30" s="113"/>
      <c r="D30" s="361"/>
      <c r="E30" s="361"/>
      <c r="F30" s="361"/>
      <c r="G30" s="361"/>
      <c r="H30" s="361"/>
      <c r="I30" s="361"/>
      <c r="J30" s="361"/>
      <c r="K30" s="361"/>
      <c r="L30" s="361"/>
      <c r="M30" s="361"/>
      <c r="N30" s="361"/>
      <c r="O30" s="361"/>
      <c r="P30" s="361"/>
      <c r="Q30" s="361"/>
      <c r="R30" s="114"/>
    </row>
    <row r="31" spans="3:18" x14ac:dyDescent="0.4">
      <c r="C31" s="113"/>
      <c r="D31" s="362"/>
      <c r="E31" s="362"/>
      <c r="F31" s="362"/>
      <c r="G31" s="362"/>
      <c r="H31" s="362"/>
      <c r="I31" s="362"/>
      <c r="J31" s="362"/>
      <c r="K31" s="362"/>
      <c r="L31" s="362"/>
      <c r="M31" s="362"/>
      <c r="N31" s="362"/>
      <c r="O31" s="362"/>
      <c r="P31" s="362"/>
      <c r="Q31" s="362"/>
      <c r="R31" s="114"/>
    </row>
    <row r="32" spans="3:18" x14ac:dyDescent="0.4">
      <c r="C32" s="113"/>
      <c r="D32" s="362"/>
      <c r="E32" s="362"/>
      <c r="F32" s="362"/>
      <c r="G32" s="362"/>
      <c r="H32" s="362"/>
      <c r="I32" s="362"/>
      <c r="J32" s="362"/>
      <c r="K32" s="362"/>
      <c r="L32" s="362"/>
      <c r="M32" s="362"/>
      <c r="N32" s="362"/>
      <c r="O32" s="362"/>
      <c r="P32" s="362"/>
      <c r="Q32" s="362"/>
      <c r="R32" s="114"/>
    </row>
    <row r="33" spans="3:18" x14ac:dyDescent="0.4">
      <c r="C33" s="113"/>
      <c r="D33" s="362"/>
      <c r="E33" s="362"/>
      <c r="F33" s="362"/>
      <c r="G33" s="362"/>
      <c r="H33" s="362"/>
      <c r="I33" s="362"/>
      <c r="J33" s="362"/>
      <c r="K33" s="362"/>
      <c r="L33" s="362"/>
      <c r="M33" s="362"/>
      <c r="N33" s="362"/>
      <c r="O33" s="362"/>
      <c r="P33" s="362"/>
      <c r="Q33" s="362"/>
      <c r="R33" s="114"/>
    </row>
    <row r="34" spans="3:18" x14ac:dyDescent="0.4">
      <c r="C34" s="113"/>
      <c r="D34" s="123"/>
      <c r="E34" s="123"/>
      <c r="F34" s="123"/>
      <c r="G34" s="123"/>
      <c r="H34" s="123"/>
      <c r="I34" s="123"/>
      <c r="J34" s="123"/>
      <c r="K34" s="123"/>
      <c r="L34" s="123"/>
      <c r="M34" s="123"/>
      <c r="N34" s="123"/>
      <c r="O34" s="123"/>
      <c r="P34" s="123"/>
      <c r="Q34" s="123"/>
      <c r="R34" s="114"/>
    </row>
    <row r="35" spans="3:18" x14ac:dyDescent="0.4">
      <c r="C35" s="113"/>
      <c r="D35" s="121" t="s">
        <v>64</v>
      </c>
      <c r="E35" s="3"/>
      <c r="F35" s="3"/>
      <c r="G35" s="3"/>
      <c r="H35" s="3"/>
      <c r="I35" s="3"/>
      <c r="J35" s="3"/>
      <c r="K35" s="3"/>
      <c r="L35" s="3"/>
      <c r="M35" s="3"/>
      <c r="N35" s="3"/>
      <c r="O35" s="3"/>
      <c r="P35" s="3"/>
      <c r="Q35" s="3"/>
      <c r="R35" s="114"/>
    </row>
    <row r="36" spans="3:18" x14ac:dyDescent="0.4">
      <c r="C36" s="113"/>
      <c r="D36" s="3"/>
      <c r="E36" s="3"/>
      <c r="F36" s="3"/>
      <c r="G36" s="3"/>
      <c r="H36" s="3"/>
      <c r="I36" s="3"/>
      <c r="J36" s="3"/>
      <c r="K36" s="3"/>
      <c r="L36" s="3"/>
      <c r="M36" s="3"/>
      <c r="N36" s="125"/>
      <c r="O36" s="125"/>
      <c r="P36" s="3"/>
      <c r="Q36" s="3"/>
      <c r="R36" s="114"/>
    </row>
    <row r="37" spans="3:18" ht="38.25" customHeight="1" x14ac:dyDescent="0.4">
      <c r="C37" s="113"/>
      <c r="D37" s="3"/>
      <c r="E37" s="3"/>
      <c r="F37" s="363" t="s">
        <v>65</v>
      </c>
      <c r="G37" s="363"/>
      <c r="H37" s="3"/>
      <c r="I37" s="110"/>
      <c r="J37" s="110"/>
      <c r="K37" s="3"/>
      <c r="L37" s="3"/>
      <c r="M37" s="3"/>
      <c r="N37" s="3"/>
      <c r="O37" s="3"/>
      <c r="P37" s="3"/>
      <c r="Q37" s="3"/>
      <c r="R37" s="114"/>
    </row>
    <row r="38" spans="3:18" ht="21.75" customHeight="1" x14ac:dyDescent="0.4">
      <c r="C38" s="113"/>
      <c r="D38" s="126" t="s">
        <v>10</v>
      </c>
      <c r="E38" s="126"/>
      <c r="F38" s="61">
        <f>ACP!Q20</f>
        <v>0</v>
      </c>
      <c r="G38" s="62"/>
      <c r="H38" s="3"/>
      <c r="I38" s="110"/>
      <c r="J38" s="110"/>
      <c r="K38" s="3"/>
      <c r="L38" s="3"/>
      <c r="M38" s="3"/>
      <c r="N38" s="3"/>
      <c r="O38" s="3"/>
      <c r="P38" s="3"/>
      <c r="Q38" s="3"/>
      <c r="R38" s="114"/>
    </row>
    <row r="39" spans="3:18" x14ac:dyDescent="0.4">
      <c r="C39" s="113"/>
      <c r="D39" s="126" t="s">
        <v>9</v>
      </c>
      <c r="E39" s="126"/>
      <c r="F39" s="61">
        <f>ACP!Q22</f>
        <v>0</v>
      </c>
      <c r="G39" s="62"/>
      <c r="H39" s="3"/>
      <c r="I39" s="110"/>
      <c r="J39" s="110"/>
      <c r="K39" s="3"/>
      <c r="L39" s="3"/>
      <c r="M39" s="3"/>
      <c r="N39" s="3"/>
      <c r="O39" s="3"/>
      <c r="P39" s="3"/>
      <c r="Q39" s="3"/>
      <c r="R39" s="114"/>
    </row>
    <row r="40" spans="3:18" ht="17.399999999999999" thickBot="1" x14ac:dyDescent="0.45">
      <c r="C40" s="127"/>
      <c r="D40" s="128"/>
      <c r="E40" s="128"/>
      <c r="F40" s="128"/>
      <c r="G40" s="128"/>
      <c r="H40" s="128"/>
      <c r="I40" s="128"/>
      <c r="J40" s="128"/>
      <c r="K40" s="128"/>
      <c r="L40" s="128"/>
      <c r="M40" s="128"/>
      <c r="N40" s="128"/>
      <c r="O40" s="128"/>
      <c r="P40" s="128"/>
      <c r="Q40" s="128"/>
      <c r="R40" s="129"/>
    </row>
  </sheetData>
  <mergeCells count="17">
    <mergeCell ref="D24:Q24"/>
    <mergeCell ref="D25:Q25"/>
    <mergeCell ref="D17:Q17"/>
    <mergeCell ref="D18:Q18"/>
    <mergeCell ref="D19:Q19"/>
    <mergeCell ref="D22:Q22"/>
    <mergeCell ref="D23:Q23"/>
    <mergeCell ref="D10:Q10"/>
    <mergeCell ref="D11:Q11"/>
    <mergeCell ref="D12:Q12"/>
    <mergeCell ref="D13:Q13"/>
    <mergeCell ref="D16:Q16"/>
    <mergeCell ref="D30:Q30"/>
    <mergeCell ref="D31:Q31"/>
    <mergeCell ref="D32:Q32"/>
    <mergeCell ref="D33:Q33"/>
    <mergeCell ref="F37:G3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AM75"/>
  <sheetViews>
    <sheetView showGridLines="0" zoomScale="80" workbookViewId="0"/>
  </sheetViews>
  <sheetFormatPr defaultColWidth="9" defaultRowHeight="14.4" x14ac:dyDescent="0.3"/>
  <cols>
    <col min="1" max="3" width="9" style="133"/>
    <col min="4" max="4" width="10.6640625" style="133" customWidth="1"/>
    <col min="5" max="5" width="7.77734375" style="133" customWidth="1"/>
    <col min="6" max="6" width="12.6640625" style="133" customWidth="1"/>
    <col min="7" max="7" width="17" style="133" customWidth="1"/>
    <col min="8" max="8" width="9" style="133"/>
    <col min="9" max="9" width="16.21875" style="133" customWidth="1"/>
    <col min="10" max="10" width="14" style="133" customWidth="1"/>
    <col min="11" max="11" width="9" style="133"/>
    <col min="12" max="12" width="9.44140625" style="133" customWidth="1"/>
    <col min="13" max="13" width="13.21875" style="133" customWidth="1"/>
    <col min="14" max="14" width="10.88671875" style="133" customWidth="1"/>
    <col min="15" max="15" width="10.21875" style="133" customWidth="1"/>
    <col min="16" max="16" width="10.88671875" style="133" customWidth="1"/>
    <col min="17" max="18" width="9" style="133" customWidth="1"/>
    <col min="19" max="16384" width="9" style="133"/>
  </cols>
  <sheetData>
    <row r="1" spans="3:34" x14ac:dyDescent="0.3">
      <c r="C1" s="132"/>
      <c r="D1" s="132"/>
      <c r="E1" s="132"/>
      <c r="F1" s="132"/>
      <c r="G1" s="132"/>
      <c r="H1" s="132"/>
      <c r="I1" s="132"/>
      <c r="J1" s="132"/>
      <c r="K1" s="132"/>
      <c r="L1" s="132"/>
      <c r="M1" s="132"/>
      <c r="N1" s="132"/>
      <c r="O1" s="132"/>
      <c r="P1" s="132"/>
      <c r="Q1" s="132"/>
      <c r="R1" s="132"/>
      <c r="S1" s="132"/>
    </row>
    <row r="2" spans="3:34" x14ac:dyDescent="0.3">
      <c r="C2" s="132"/>
      <c r="D2" s="132"/>
      <c r="E2" s="132"/>
      <c r="F2" s="132"/>
      <c r="G2" s="132"/>
      <c r="H2" s="132"/>
      <c r="I2" s="132"/>
      <c r="J2" s="132"/>
      <c r="K2" s="132"/>
      <c r="L2" s="132"/>
      <c r="M2" s="132"/>
      <c r="N2" s="132"/>
      <c r="O2" s="132"/>
      <c r="P2" s="132"/>
      <c r="Q2" s="132"/>
      <c r="R2" s="132"/>
      <c r="S2" s="132"/>
    </row>
    <row r="3" spans="3:34" ht="15" thickBot="1" x14ac:dyDescent="0.35">
      <c r="C3" s="132"/>
      <c r="D3" s="132"/>
      <c r="E3" s="132"/>
      <c r="F3" s="132"/>
      <c r="G3" s="132"/>
      <c r="H3" s="132"/>
      <c r="I3" s="132"/>
      <c r="J3" s="132"/>
      <c r="K3" s="132"/>
      <c r="L3" s="132"/>
      <c r="M3" s="132"/>
      <c r="N3" s="132"/>
      <c r="O3" s="132"/>
      <c r="P3" s="132"/>
      <c r="Q3" s="132"/>
      <c r="R3" s="132"/>
      <c r="S3" s="132"/>
    </row>
    <row r="4" spans="3:34" ht="16.8" x14ac:dyDescent="0.4">
      <c r="C4" s="134"/>
      <c r="D4" s="135"/>
      <c r="E4" s="135"/>
      <c r="F4" s="135"/>
      <c r="G4" s="135"/>
      <c r="H4" s="135"/>
      <c r="I4" s="135"/>
      <c r="J4" s="135"/>
      <c r="K4" s="135"/>
      <c r="L4" s="135"/>
      <c r="M4" s="135"/>
      <c r="N4" s="135"/>
      <c r="O4" s="135"/>
      <c r="P4" s="135"/>
      <c r="Q4" s="135"/>
      <c r="R4" s="135"/>
      <c r="S4" s="136"/>
    </row>
    <row r="5" spans="3:34" ht="32.4" x14ac:dyDescent="0.3">
      <c r="C5" s="137"/>
      <c r="D5" s="370" t="e">
        <f>AH10</f>
        <v>#N/A</v>
      </c>
      <c r="E5" s="370"/>
      <c r="F5" s="370"/>
      <c r="G5" s="370"/>
      <c r="H5" s="370"/>
      <c r="I5" s="370"/>
      <c r="J5" s="370"/>
      <c r="K5" s="370"/>
      <c r="L5" s="370"/>
      <c r="M5" s="370"/>
      <c r="N5" s="370"/>
      <c r="O5" s="370"/>
      <c r="P5" s="370"/>
      <c r="Q5" s="370"/>
      <c r="R5" s="138"/>
      <c r="S5" s="139"/>
    </row>
    <row r="6" spans="3:34" ht="21" customHeight="1" x14ac:dyDescent="0.3">
      <c r="C6" s="137"/>
      <c r="D6" s="140" t="s">
        <v>92</v>
      </c>
      <c r="E6" s="141"/>
      <c r="F6" s="142" t="e">
        <f>ACP!I9</f>
        <v>#N/A</v>
      </c>
      <c r="G6" s="138"/>
      <c r="H6" s="138"/>
      <c r="I6" s="138"/>
      <c r="J6" s="138"/>
      <c r="K6" s="138"/>
      <c r="L6" s="138"/>
      <c r="M6" s="138"/>
      <c r="N6" s="138"/>
      <c r="O6" s="138"/>
      <c r="P6" s="138"/>
      <c r="Q6" s="138"/>
      <c r="R6" s="138"/>
      <c r="S6" s="139"/>
    </row>
    <row r="7" spans="3:34" ht="18.75" customHeight="1" x14ac:dyDescent="0.3">
      <c r="C7" s="137"/>
      <c r="D7" s="140" t="s">
        <v>93</v>
      </c>
      <c r="E7" s="373" t="e">
        <f>ACP!I7</f>
        <v>#N/A</v>
      </c>
      <c r="F7" s="373"/>
      <c r="G7" s="373"/>
      <c r="H7" s="138"/>
      <c r="I7" s="138"/>
      <c r="J7" s="138"/>
      <c r="K7" s="138"/>
      <c r="L7" s="138"/>
      <c r="M7" s="138"/>
      <c r="N7" s="138"/>
      <c r="O7" s="138"/>
      <c r="P7" s="138"/>
      <c r="Q7" s="138"/>
      <c r="R7" s="138"/>
      <c r="S7" s="139"/>
    </row>
    <row r="8" spans="3:34" ht="16.8" x14ac:dyDescent="0.4">
      <c r="C8" s="143"/>
      <c r="D8" s="144"/>
      <c r="E8" s="144"/>
      <c r="F8" s="144"/>
      <c r="G8" s="144"/>
      <c r="H8" s="144"/>
      <c r="I8" s="144"/>
      <c r="J8" s="144"/>
      <c r="K8" s="144"/>
      <c r="L8" s="144"/>
      <c r="M8" s="144"/>
      <c r="N8" s="144"/>
      <c r="O8" s="144"/>
      <c r="P8" s="144"/>
      <c r="Q8" s="144"/>
      <c r="R8" s="144"/>
      <c r="S8" s="145"/>
    </row>
    <row r="9" spans="3:34" ht="18.75" customHeight="1" x14ac:dyDescent="0.45">
      <c r="C9" s="143"/>
      <c r="D9" s="146" t="e">
        <f>AH11</f>
        <v>#N/A</v>
      </c>
      <c r="E9" s="147"/>
      <c r="F9" s="147"/>
      <c r="G9" s="147"/>
      <c r="H9" s="147"/>
      <c r="I9" s="147"/>
      <c r="J9" s="147"/>
      <c r="K9" s="147"/>
      <c r="L9" s="147"/>
      <c r="M9" s="147"/>
      <c r="N9" s="147"/>
      <c r="O9" s="147"/>
      <c r="P9" s="147"/>
      <c r="Q9" s="147"/>
      <c r="R9" s="147"/>
      <c r="S9" s="148"/>
      <c r="AH9" s="104" t="e">
        <f>"PHÊ DUYỆT ACP " &amp; ACP!$D$11 &amp; " THỜI ĐIỂM " &amp;TEXT( 'TRANG CHU'!$H$18,"dd/mm/yyyy")</f>
        <v>#N/A</v>
      </c>
    </row>
    <row r="10" spans="3:34" ht="16.8" x14ac:dyDescent="0.4">
      <c r="C10" s="150"/>
      <c r="D10" s="151"/>
      <c r="E10" s="152"/>
      <c r="F10" s="152"/>
      <c r="G10" s="152"/>
      <c r="H10" s="152"/>
      <c r="I10" s="152"/>
      <c r="J10" s="152"/>
      <c r="K10" s="152"/>
      <c r="L10" s="152"/>
      <c r="M10" s="152"/>
      <c r="N10" s="152"/>
      <c r="O10" s="152"/>
      <c r="P10" s="152"/>
      <c r="Q10" s="152"/>
      <c r="R10" s="152"/>
      <c r="S10" s="153"/>
      <c r="AH10" s="104" t="e">
        <f>"TRÌNH PHÊ DUYỆT ACP "&amp;ACP!$D$11</f>
        <v>#N/A</v>
      </c>
    </row>
    <row r="11" spans="3:34" ht="16.8" x14ac:dyDescent="0.4">
      <c r="C11" s="143"/>
      <c r="D11" s="154" t="s">
        <v>76</v>
      </c>
      <c r="E11" s="144"/>
      <c r="F11" s="144"/>
      <c r="G11" s="144"/>
      <c r="H11" s="144"/>
      <c r="I11" s="144"/>
      <c r="J11" s="144"/>
      <c r="K11" s="144"/>
      <c r="L11" s="144"/>
      <c r="M11" s="144"/>
      <c r="N11" s="144"/>
      <c r="O11" s="144"/>
      <c r="P11" s="144"/>
      <c r="Q11" s="144"/>
      <c r="R11" s="144"/>
      <c r="S11" s="145"/>
      <c r="AH11" s="149" t="e">
        <f>"I- NỘI DUNG ĐỀ NGHỊ PHÊ DUYỆT ACP "&amp;ACP!$D$11</f>
        <v>#N/A</v>
      </c>
    </row>
    <row r="12" spans="3:34" ht="16.8" x14ac:dyDescent="0.4">
      <c r="C12" s="143"/>
      <c r="D12" s="155" t="s">
        <v>227</v>
      </c>
      <c r="E12" s="156"/>
      <c r="F12" s="156" t="e">
        <f>ACP!D11</f>
        <v>#N/A</v>
      </c>
      <c r="G12" s="156"/>
      <c r="H12" s="156"/>
      <c r="I12" s="156"/>
      <c r="J12" s="144"/>
      <c r="K12" s="156" t="s">
        <v>225</v>
      </c>
      <c r="L12" s="156"/>
      <c r="M12" s="238" t="e">
        <f>ACP!T7</f>
        <v>#N/A</v>
      </c>
      <c r="N12" s="156"/>
      <c r="O12" s="156"/>
      <c r="P12" s="156"/>
      <c r="Q12" s="156"/>
      <c r="R12" s="144"/>
      <c r="S12" s="145"/>
    </row>
    <row r="13" spans="3:34" ht="16.8" x14ac:dyDescent="0.4">
      <c r="C13" s="143"/>
      <c r="D13" s="156" t="s">
        <v>228</v>
      </c>
      <c r="E13" s="141"/>
      <c r="F13" s="158" t="str">
        <f>'TRANG CHU'!G25</f>
        <v>Khách hàng hiện hữu</v>
      </c>
      <c r="G13" s="158"/>
      <c r="H13" s="158"/>
      <c r="I13" s="158"/>
      <c r="J13" s="144"/>
      <c r="K13" s="156" t="s">
        <v>226</v>
      </c>
      <c r="L13" s="158"/>
      <c r="M13" s="238" t="e">
        <f>ACP!T9</f>
        <v>#N/A</v>
      </c>
      <c r="N13" s="158"/>
      <c r="O13" s="158"/>
      <c r="P13" s="158"/>
      <c r="Q13" s="158"/>
      <c r="R13" s="144"/>
      <c r="S13" s="145"/>
    </row>
    <row r="14" spans="3:34" ht="16.8" x14ac:dyDescent="0.4">
      <c r="C14" s="143"/>
      <c r="D14" s="158" t="s">
        <v>229</v>
      </c>
      <c r="E14" s="158"/>
      <c r="F14" s="158" t="e">
        <f>ACP!N11</f>
        <v>#N/A</v>
      </c>
      <c r="G14" s="158"/>
      <c r="H14" s="158"/>
      <c r="I14" s="158"/>
      <c r="J14" s="144"/>
      <c r="K14" s="156" t="s">
        <v>136</v>
      </c>
      <c r="L14" s="158"/>
      <c r="M14" s="157">
        <f>ACP!D7</f>
        <v>0</v>
      </c>
      <c r="N14" s="158"/>
      <c r="O14" s="158"/>
      <c r="P14" s="158"/>
      <c r="Q14" s="158"/>
      <c r="R14" s="144"/>
      <c r="S14" s="145"/>
    </row>
    <row r="15" spans="3:34" ht="16.8" x14ac:dyDescent="0.4">
      <c r="C15" s="143"/>
      <c r="D15" s="158" t="s">
        <v>230</v>
      </c>
      <c r="E15" s="158"/>
      <c r="F15" s="158" t="e">
        <f>ACP!N9</f>
        <v>#N/A</v>
      </c>
      <c r="G15" s="158"/>
      <c r="H15" s="158"/>
      <c r="I15" s="158"/>
      <c r="J15" s="144"/>
      <c r="K15" s="158" t="s">
        <v>137</v>
      </c>
      <c r="L15" s="158"/>
      <c r="M15" s="158" t="e">
        <f>ACP!D9</f>
        <v>#N/A</v>
      </c>
      <c r="N15" s="158"/>
      <c r="O15" s="158"/>
      <c r="P15" s="158"/>
      <c r="Q15" s="158"/>
      <c r="R15" s="144"/>
      <c r="S15" s="145"/>
    </row>
    <row r="16" spans="3:34" ht="16.8" x14ac:dyDescent="0.4">
      <c r="C16" s="143"/>
      <c r="D16" s="159"/>
      <c r="E16" s="160"/>
      <c r="F16" s="160"/>
      <c r="G16" s="160"/>
      <c r="H16" s="160"/>
      <c r="I16" s="160"/>
      <c r="J16" s="144"/>
      <c r="K16" s="160"/>
      <c r="L16" s="160"/>
      <c r="M16" s="160"/>
      <c r="N16" s="160"/>
      <c r="O16" s="160"/>
      <c r="P16" s="160"/>
      <c r="Q16" s="160"/>
      <c r="R16" s="144"/>
      <c r="S16" s="145"/>
    </row>
    <row r="17" spans="3:19" ht="16.8" x14ac:dyDescent="0.4">
      <c r="C17" s="143"/>
      <c r="D17" s="154" t="s">
        <v>77</v>
      </c>
      <c r="E17" s="144"/>
      <c r="F17" s="144"/>
      <c r="G17" s="144"/>
      <c r="H17" s="144"/>
      <c r="I17" s="144"/>
      <c r="J17" s="144"/>
      <c r="K17" s="144"/>
      <c r="L17" s="144"/>
      <c r="M17" s="144"/>
      <c r="N17" s="144"/>
      <c r="O17" s="144"/>
      <c r="P17" s="144"/>
      <c r="Q17" s="144"/>
      <c r="R17" s="144"/>
      <c r="S17" s="145"/>
    </row>
    <row r="18" spans="3:19" ht="16.8" x14ac:dyDescent="0.4">
      <c r="C18" s="143"/>
      <c r="D18" s="141"/>
      <c r="E18" s="141"/>
      <c r="F18" s="141"/>
      <c r="G18" s="141"/>
      <c r="H18" s="141"/>
      <c r="I18" s="141"/>
      <c r="J18" s="141"/>
      <c r="K18" s="141"/>
      <c r="L18" s="144"/>
      <c r="M18" s="144"/>
      <c r="N18" s="144"/>
      <c r="O18" s="144"/>
      <c r="P18" s="144"/>
      <c r="Q18" s="144"/>
      <c r="R18" s="144"/>
      <c r="S18" s="145"/>
    </row>
    <row r="19" spans="3:19" ht="16.8" x14ac:dyDescent="0.3">
      <c r="C19" s="143"/>
      <c r="D19" s="376" t="s">
        <v>139</v>
      </c>
      <c r="E19" s="376"/>
      <c r="F19" s="374" t="str">
        <f>ACP!E19</f>
        <v>31/12/2023</v>
      </c>
      <c r="G19" s="375"/>
      <c r="H19" s="374" t="str">
        <f>ACP!H19</f>
        <v>31/12/2024</v>
      </c>
      <c r="I19" s="375"/>
      <c r="J19" s="376" t="s">
        <v>142</v>
      </c>
      <c r="K19" s="376"/>
      <c r="L19" s="141"/>
      <c r="M19" s="141"/>
      <c r="N19" s="141"/>
      <c r="O19" s="141"/>
      <c r="P19" s="141"/>
      <c r="Q19" s="141"/>
      <c r="R19" s="141"/>
      <c r="S19" s="161"/>
    </row>
    <row r="20" spans="3:19" ht="16.8" x14ac:dyDescent="0.3">
      <c r="C20" s="143"/>
      <c r="D20" s="376" t="s">
        <v>135</v>
      </c>
      <c r="E20" s="376"/>
      <c r="F20" s="376" t="str">
        <f>TEXT(ACP!E20,0)</f>
        <v>0</v>
      </c>
      <c r="G20" s="376"/>
      <c r="H20" s="376" t="str">
        <f>TEXT(ACP!H20,0)</f>
        <v>0</v>
      </c>
      <c r="I20" s="376"/>
      <c r="J20" s="376" t="str">
        <f>TEXT(ACP!Q20,0)</f>
        <v>0</v>
      </c>
      <c r="K20" s="376"/>
      <c r="L20" s="141"/>
      <c r="M20" s="141"/>
      <c r="N20" s="141"/>
      <c r="O20" s="141"/>
      <c r="P20" s="141"/>
      <c r="Q20" s="141"/>
      <c r="R20" s="141"/>
      <c r="S20" s="161"/>
    </row>
    <row r="21" spans="3:19" ht="16.8" x14ac:dyDescent="0.4">
      <c r="C21" s="143"/>
      <c r="D21" s="141"/>
      <c r="E21" s="144"/>
      <c r="F21" s="144"/>
      <c r="G21" s="144"/>
      <c r="H21" s="144"/>
      <c r="I21" s="144"/>
      <c r="J21" s="144"/>
      <c r="K21" s="144"/>
      <c r="L21" s="144"/>
      <c r="M21" s="144"/>
      <c r="N21" s="144"/>
      <c r="O21" s="144"/>
      <c r="P21" s="144"/>
      <c r="Q21" s="144"/>
      <c r="R21" s="144"/>
      <c r="S21" s="145"/>
    </row>
    <row r="22" spans="3:19" ht="16.8" x14ac:dyDescent="0.4">
      <c r="C22" s="143"/>
      <c r="D22" s="154" t="s">
        <v>89</v>
      </c>
      <c r="E22" s="144"/>
      <c r="F22" s="144"/>
      <c r="G22" s="144"/>
      <c r="H22" s="144"/>
      <c r="I22" s="144"/>
      <c r="J22" s="144"/>
      <c r="K22" s="144"/>
      <c r="L22" s="144"/>
      <c r="M22" s="144"/>
      <c r="N22" s="144"/>
      <c r="O22" s="144"/>
      <c r="P22" s="144"/>
      <c r="Q22" s="144"/>
      <c r="R22" s="144"/>
      <c r="S22" s="145"/>
    </row>
    <row r="23" spans="3:19" ht="16.8" x14ac:dyDescent="0.4">
      <c r="C23" s="143"/>
      <c r="D23" s="162" t="s">
        <v>138</v>
      </c>
      <c r="E23" s="163"/>
      <c r="F23" s="144"/>
      <c r="G23" s="144"/>
      <c r="H23" s="144"/>
      <c r="I23" s="144"/>
      <c r="J23" s="144"/>
      <c r="K23" s="162" t="s">
        <v>143</v>
      </c>
      <c r="L23" s="144"/>
      <c r="M23" s="144"/>
      <c r="N23" s="144"/>
      <c r="O23" s="144"/>
      <c r="P23" s="144"/>
      <c r="Q23" s="144"/>
      <c r="R23" s="144"/>
      <c r="S23" s="145"/>
    </row>
    <row r="24" spans="3:19" ht="16.8" x14ac:dyDescent="0.4">
      <c r="C24" s="143"/>
      <c r="D24" s="141"/>
      <c r="E24" s="141"/>
      <c r="F24" s="141"/>
      <c r="G24" s="141"/>
      <c r="H24" s="141"/>
      <c r="I24" s="141"/>
      <c r="J24" s="144"/>
      <c r="K24" s="144"/>
      <c r="L24" s="144"/>
      <c r="M24" s="144"/>
      <c r="N24" s="144"/>
      <c r="O24" s="144"/>
      <c r="P24" s="144"/>
      <c r="Q24" s="144"/>
      <c r="R24" s="144"/>
      <c r="S24" s="145"/>
    </row>
    <row r="25" spans="3:19" ht="16.8" x14ac:dyDescent="0.4">
      <c r="C25" s="143"/>
      <c r="D25" s="403"/>
      <c r="E25" s="404"/>
      <c r="F25" s="381">
        <f>YEAR('TRANG CHU'!H18) - 1</f>
        <v>2024</v>
      </c>
      <c r="G25" s="381"/>
      <c r="H25" s="385" t="s">
        <v>142</v>
      </c>
      <c r="I25" s="385"/>
      <c r="J25" s="144"/>
      <c r="K25" s="392"/>
      <c r="L25" s="393"/>
      <c r="M25" s="380">
        <f>YEAR('TRANG CHU'!H18) - 1</f>
        <v>2024</v>
      </c>
      <c r="N25" s="381"/>
      <c r="O25" s="381"/>
      <c r="P25" s="385" t="s">
        <v>142</v>
      </c>
      <c r="Q25" s="385"/>
      <c r="R25" s="385"/>
      <c r="S25" s="164"/>
    </row>
    <row r="26" spans="3:19" ht="16.8" x14ac:dyDescent="0.4">
      <c r="C26" s="143"/>
      <c r="D26" s="405"/>
      <c r="E26" s="406"/>
      <c r="F26" s="381"/>
      <c r="G26" s="381"/>
      <c r="H26" s="385"/>
      <c r="I26" s="385"/>
      <c r="J26" s="144"/>
      <c r="K26" s="394"/>
      <c r="L26" s="395"/>
      <c r="M26" s="382"/>
      <c r="N26" s="381"/>
      <c r="O26" s="381"/>
      <c r="P26" s="385"/>
      <c r="Q26" s="385"/>
      <c r="R26" s="385"/>
      <c r="S26" s="164"/>
    </row>
    <row r="27" spans="3:19" ht="16.8" x14ac:dyDescent="0.4">
      <c r="C27" s="143"/>
      <c r="D27" s="399" t="s">
        <v>145</v>
      </c>
      <c r="E27" s="400"/>
      <c r="F27" s="387" t="e">
        <f>ACP!F34</f>
        <v>#N/A</v>
      </c>
      <c r="G27" s="387"/>
      <c r="H27" s="390">
        <f>ACP!R55</f>
        <v>0</v>
      </c>
      <c r="I27" s="390"/>
      <c r="J27" s="144"/>
      <c r="K27" s="396"/>
      <c r="L27" s="397"/>
      <c r="M27" s="165" t="s">
        <v>145</v>
      </c>
      <c r="N27" s="166" t="s">
        <v>147</v>
      </c>
      <c r="O27" s="166" t="s">
        <v>141</v>
      </c>
      <c r="P27" s="166" t="s">
        <v>145</v>
      </c>
      <c r="Q27" s="166" t="s">
        <v>147</v>
      </c>
      <c r="R27" s="166" t="s">
        <v>141</v>
      </c>
      <c r="S27" s="167"/>
    </row>
    <row r="28" spans="3:19" ht="16.8" x14ac:dyDescent="0.4">
      <c r="C28" s="143"/>
      <c r="D28" s="401" t="s">
        <v>147</v>
      </c>
      <c r="E28" s="402"/>
      <c r="F28" s="388" t="e">
        <f>ACP!F35</f>
        <v>#N/A</v>
      </c>
      <c r="G28" s="388"/>
      <c r="H28" s="387" t="e">
        <f>ACP!S55</f>
        <v>#N/A</v>
      </c>
      <c r="I28" s="387"/>
      <c r="J28" s="144"/>
      <c r="K28" s="378" t="s">
        <v>17</v>
      </c>
      <c r="L28" s="379"/>
      <c r="M28" s="168" t="e">
        <f>ACP!N34</f>
        <v>#N/A</v>
      </c>
      <c r="N28" s="169" t="e">
        <f>ACP!P34</f>
        <v>#N/A</v>
      </c>
      <c r="O28" s="240" t="str">
        <f t="shared" ref="O28:O33" si="0">IFERROR(M28/N28:N28,"-")</f>
        <v>-</v>
      </c>
      <c r="P28" s="170">
        <f>ACP!R97</f>
        <v>0</v>
      </c>
      <c r="Q28" s="170" t="e">
        <f>ACP!S97</f>
        <v>#N/A</v>
      </c>
      <c r="R28" s="171" t="str">
        <f t="shared" ref="R28:R33" si="1">IFERROR(P28/Q28,"-")</f>
        <v>-</v>
      </c>
      <c r="S28" s="172"/>
    </row>
    <row r="29" spans="3:19" ht="16.8" x14ac:dyDescent="0.4">
      <c r="C29" s="143"/>
      <c r="D29" s="401" t="s">
        <v>141</v>
      </c>
      <c r="E29" s="402"/>
      <c r="F29" s="389" t="str">
        <f>IFERROR(F27/F28,"-")</f>
        <v>-</v>
      </c>
      <c r="G29" s="389"/>
      <c r="H29" s="391" t="str">
        <f>IFERROR(ACP!T55,"-")</f>
        <v>-</v>
      </c>
      <c r="I29" s="391"/>
      <c r="J29" s="144"/>
      <c r="K29" s="383" t="s">
        <v>107</v>
      </c>
      <c r="L29" s="384"/>
      <c r="M29" s="168" t="e">
        <f>ACP!N35</f>
        <v>#N/A</v>
      </c>
      <c r="N29" s="169" t="e">
        <f>ACP!P35</f>
        <v>#N/A</v>
      </c>
      <c r="O29" s="240" t="str">
        <f t="shared" si="0"/>
        <v>-</v>
      </c>
      <c r="P29" s="170">
        <f>ACP!R98</f>
        <v>0</v>
      </c>
      <c r="Q29" s="170">
        <f>ACP!R98</f>
        <v>0</v>
      </c>
      <c r="R29" s="171" t="str">
        <f t="shared" si="1"/>
        <v>-</v>
      </c>
      <c r="S29" s="172"/>
    </row>
    <row r="30" spans="3:19" ht="16.8" x14ac:dyDescent="0.4">
      <c r="C30" s="143"/>
      <c r="D30" s="141"/>
      <c r="E30" s="141"/>
      <c r="F30" s="141"/>
      <c r="G30" s="141"/>
      <c r="H30" s="141"/>
      <c r="I30" s="141"/>
      <c r="J30" s="144"/>
      <c r="K30" s="383" t="s">
        <v>144</v>
      </c>
      <c r="L30" s="384"/>
      <c r="M30" s="168" t="e">
        <f>ACP!N36</f>
        <v>#N/A</v>
      </c>
      <c r="N30" s="169" t="e">
        <f>ACP!P36</f>
        <v>#N/A</v>
      </c>
      <c r="O30" s="240" t="str">
        <f t="shared" si="0"/>
        <v>-</v>
      </c>
      <c r="P30" s="170">
        <f>ACP!R99+ACP!R100</f>
        <v>0</v>
      </c>
      <c r="Q30" s="170">
        <f>ACP!R99+ACP!R100</f>
        <v>0</v>
      </c>
      <c r="R30" s="171" t="str">
        <f t="shared" si="1"/>
        <v>-</v>
      </c>
      <c r="S30" s="172"/>
    </row>
    <row r="31" spans="3:19" ht="16.8" x14ac:dyDescent="0.4">
      <c r="C31" s="143"/>
      <c r="D31" s="141"/>
      <c r="E31" s="141"/>
      <c r="F31" s="141"/>
      <c r="G31" s="141"/>
      <c r="H31" s="141"/>
      <c r="I31" s="141"/>
      <c r="J31" s="144"/>
      <c r="K31" s="378" t="s">
        <v>15</v>
      </c>
      <c r="L31" s="379"/>
      <c r="M31" s="168" t="e">
        <f>ACP!N37</f>
        <v>#N/A</v>
      </c>
      <c r="N31" s="169" t="e">
        <f>ACP!P37</f>
        <v>#N/A</v>
      </c>
      <c r="O31" s="240" t="str">
        <f t="shared" si="0"/>
        <v>-</v>
      </c>
      <c r="P31" s="170">
        <f>ACP!R101</f>
        <v>0</v>
      </c>
      <c r="Q31" s="170" t="e">
        <f>ACP!S101</f>
        <v>#N/A</v>
      </c>
      <c r="R31" s="171" t="str">
        <f t="shared" si="1"/>
        <v>-</v>
      </c>
      <c r="S31" s="172"/>
    </row>
    <row r="32" spans="3:19" ht="16.8" x14ac:dyDescent="0.4">
      <c r="C32" s="143"/>
      <c r="D32" s="141"/>
      <c r="E32" s="141"/>
      <c r="F32" s="141"/>
      <c r="G32" s="141"/>
      <c r="H32" s="141"/>
      <c r="I32" s="141"/>
      <c r="J32" s="144"/>
      <c r="K32" s="378" t="s">
        <v>16</v>
      </c>
      <c r="L32" s="379"/>
      <c r="M32" s="173" t="e">
        <f>ACP!N38</f>
        <v>#N/A</v>
      </c>
      <c r="N32" s="174" t="e">
        <f>ACP!P38</f>
        <v>#N/A</v>
      </c>
      <c r="O32" s="241" t="str">
        <f t="shared" si="0"/>
        <v>-</v>
      </c>
      <c r="P32" s="175">
        <f>ACP!R105</f>
        <v>0</v>
      </c>
      <c r="Q32" s="175" t="e">
        <f>ACP!S105</f>
        <v>#N/A</v>
      </c>
      <c r="R32" s="176" t="str">
        <f t="shared" si="1"/>
        <v>-</v>
      </c>
      <c r="S32" s="172"/>
    </row>
    <row r="33" spans="3:27" ht="16.8" x14ac:dyDescent="0.4">
      <c r="C33" s="143"/>
      <c r="D33" s="141"/>
      <c r="E33" s="141"/>
      <c r="F33" s="141"/>
      <c r="G33" s="141"/>
      <c r="H33" s="141"/>
      <c r="I33" s="141"/>
      <c r="J33" s="144"/>
      <c r="K33" s="378" t="s">
        <v>14</v>
      </c>
      <c r="L33" s="379"/>
      <c r="M33" s="177" t="e">
        <f>ACP!N39</f>
        <v>#N/A</v>
      </c>
      <c r="N33" s="178" t="e">
        <f>ACP!P39</f>
        <v>#N/A</v>
      </c>
      <c r="O33" s="242" t="str">
        <f t="shared" si="0"/>
        <v>-</v>
      </c>
      <c r="P33" s="179">
        <f>ACP!R96</f>
        <v>0</v>
      </c>
      <c r="Q33" s="179" t="e">
        <f>ACP!S96</f>
        <v>#N/A</v>
      </c>
      <c r="R33" s="180" t="str">
        <f t="shared" si="1"/>
        <v>-</v>
      </c>
      <c r="S33" s="172"/>
    </row>
    <row r="34" spans="3:27" ht="16.8" x14ac:dyDescent="0.4">
      <c r="C34" s="143"/>
      <c r="D34" s="141"/>
      <c r="E34" s="141"/>
      <c r="F34" s="141"/>
      <c r="G34" s="141"/>
      <c r="H34" s="141"/>
      <c r="I34" s="141"/>
      <c r="J34" s="144"/>
      <c r="K34" s="141"/>
      <c r="L34" s="141"/>
      <c r="M34" s="141"/>
      <c r="N34" s="141"/>
      <c r="O34" s="141"/>
      <c r="P34" s="141"/>
      <c r="Q34" s="141"/>
      <c r="R34" s="141"/>
      <c r="S34" s="161"/>
    </row>
    <row r="35" spans="3:27" ht="16.8" x14ac:dyDescent="0.4">
      <c r="C35" s="143"/>
      <c r="D35" s="154" t="s">
        <v>78</v>
      </c>
      <c r="E35" s="163"/>
      <c r="F35" s="144"/>
      <c r="G35" s="144"/>
      <c r="H35" s="144"/>
      <c r="I35" s="144"/>
      <c r="J35" s="144"/>
      <c r="K35" s="141"/>
      <c r="L35" s="141"/>
      <c r="M35" s="141"/>
      <c r="N35" s="141"/>
      <c r="O35" s="141"/>
      <c r="P35" s="141"/>
      <c r="Q35" s="141"/>
      <c r="R35" s="141"/>
      <c r="S35" s="161"/>
    </row>
    <row r="36" spans="3:27" ht="16.8" x14ac:dyDescent="0.4">
      <c r="C36" s="143"/>
      <c r="D36" s="162"/>
      <c r="E36" s="163"/>
      <c r="F36" s="144"/>
      <c r="G36" s="144"/>
      <c r="H36" s="144"/>
      <c r="I36" s="144"/>
      <c r="J36" s="144"/>
      <c r="K36" s="141"/>
      <c r="L36" s="141"/>
      <c r="M36" s="141"/>
      <c r="N36" s="141"/>
      <c r="O36" s="141"/>
      <c r="P36" s="141"/>
      <c r="Q36" s="141"/>
      <c r="R36" s="141"/>
      <c r="S36" s="161"/>
    </row>
    <row r="37" spans="3:27" ht="24.75" customHeight="1" x14ac:dyDescent="0.3">
      <c r="C37" s="181"/>
      <c r="D37" s="398" t="str">
        <f>ACP!D113</f>
        <v>Mục tiêu sản phẩm</v>
      </c>
      <c r="E37" s="398"/>
      <c r="F37" s="398" t="str">
        <f>ACP!F113</f>
        <v>Nhóm hành động</v>
      </c>
      <c r="G37" s="398"/>
      <c r="H37" s="398" t="str">
        <f>ACP!H113</f>
        <v>Hành động cụ thể</v>
      </c>
      <c r="I37" s="398"/>
      <c r="J37" s="398"/>
      <c r="K37" s="398" t="str">
        <f>ACP!L113</f>
        <v>PIC</v>
      </c>
      <c r="L37" s="398"/>
      <c r="M37" s="398" t="str">
        <f>ACP!N113</f>
        <v>Support</v>
      </c>
      <c r="N37" s="398"/>
      <c r="O37" s="398" t="str">
        <f>ACP!P113</f>
        <v>Thời gian bắt đầu</v>
      </c>
      <c r="P37" s="398"/>
      <c r="Q37" s="398" t="str">
        <f>ACP!R113</f>
        <v>Thời gian kết thúc</v>
      </c>
      <c r="R37" s="398"/>
      <c r="S37" s="182"/>
      <c r="U37" s="183"/>
      <c r="V37" s="183"/>
      <c r="W37" s="183"/>
      <c r="X37" s="183"/>
      <c r="Y37" s="183"/>
      <c r="Z37" s="184"/>
      <c r="AA37" s="185"/>
    </row>
    <row r="38" spans="3:27" ht="16.8" x14ac:dyDescent="0.3">
      <c r="C38" s="143"/>
      <c r="D38" s="386">
        <f>ACP!D114</f>
        <v>0</v>
      </c>
      <c r="E38" s="386"/>
      <c r="F38" s="377">
        <f>ACP!F115</f>
        <v>0</v>
      </c>
      <c r="G38" s="377"/>
      <c r="H38" s="377">
        <f>ACP!H115</f>
        <v>0</v>
      </c>
      <c r="I38" s="377"/>
      <c r="J38" s="377"/>
      <c r="K38" s="377">
        <f>ACP!L115</f>
        <v>0</v>
      </c>
      <c r="L38" s="377"/>
      <c r="M38" s="377">
        <f>ACP!N115</f>
        <v>0</v>
      </c>
      <c r="N38" s="377"/>
      <c r="O38" s="377">
        <f>ACP!P115</f>
        <v>0</v>
      </c>
      <c r="P38" s="377"/>
      <c r="Q38" s="377">
        <f>ACP!R115</f>
        <v>0</v>
      </c>
      <c r="R38" s="377"/>
      <c r="S38" s="186"/>
    </row>
    <row r="39" spans="3:27" ht="16.8" x14ac:dyDescent="0.3">
      <c r="C39" s="143"/>
      <c r="D39" s="386" t="str">
        <f>ACP!D115</f>
        <v/>
      </c>
      <c r="E39" s="386"/>
      <c r="F39" s="377">
        <f>ACP!F116</f>
        <v>0</v>
      </c>
      <c r="G39" s="377"/>
      <c r="H39" s="377">
        <f>ACP!H116</f>
        <v>0</v>
      </c>
      <c r="I39" s="377"/>
      <c r="J39" s="377"/>
      <c r="K39" s="377">
        <f>ACP!L116</f>
        <v>0</v>
      </c>
      <c r="L39" s="377"/>
      <c r="M39" s="377">
        <f>ACP!N116</f>
        <v>0</v>
      </c>
      <c r="N39" s="377"/>
      <c r="O39" s="377">
        <f>ACP!P116</f>
        <v>0</v>
      </c>
      <c r="P39" s="377"/>
      <c r="Q39" s="377">
        <f>ACP!R116</f>
        <v>0</v>
      </c>
      <c r="R39" s="377"/>
      <c r="S39" s="186"/>
    </row>
    <row r="40" spans="3:27" ht="16.8" x14ac:dyDescent="0.3">
      <c r="C40" s="143"/>
      <c r="D40" s="386" t="str">
        <f>ACP!D116</f>
        <v/>
      </c>
      <c r="E40" s="386"/>
      <c r="F40" s="377">
        <f>ACP!F117</f>
        <v>0</v>
      </c>
      <c r="G40" s="377"/>
      <c r="H40" s="377">
        <f>ACP!H117</f>
        <v>0</v>
      </c>
      <c r="I40" s="377"/>
      <c r="J40" s="377"/>
      <c r="K40" s="377">
        <f>ACP!L117</f>
        <v>0</v>
      </c>
      <c r="L40" s="377"/>
      <c r="M40" s="377">
        <f>ACP!N117</f>
        <v>0</v>
      </c>
      <c r="N40" s="377"/>
      <c r="O40" s="377">
        <f>ACP!P117</f>
        <v>0</v>
      </c>
      <c r="P40" s="377"/>
      <c r="Q40" s="377">
        <f>ACP!R117</f>
        <v>0</v>
      </c>
      <c r="R40" s="377"/>
      <c r="S40" s="186"/>
    </row>
    <row r="41" spans="3:27" ht="12" customHeight="1" x14ac:dyDescent="0.3">
      <c r="C41" s="143"/>
      <c r="D41" s="386" t="str">
        <f>ACP!D117</f>
        <v/>
      </c>
      <c r="E41" s="386"/>
      <c r="F41" s="377">
        <f>ACP!F118</f>
        <v>0</v>
      </c>
      <c r="G41" s="377"/>
      <c r="H41" s="377">
        <f>ACP!H118</f>
        <v>0</v>
      </c>
      <c r="I41" s="377"/>
      <c r="J41" s="377"/>
      <c r="K41" s="377">
        <f>ACP!L118</f>
        <v>0</v>
      </c>
      <c r="L41" s="377"/>
      <c r="M41" s="377">
        <f>ACP!N118</f>
        <v>0</v>
      </c>
      <c r="N41" s="377"/>
      <c r="O41" s="377">
        <f>ACP!P118</f>
        <v>0</v>
      </c>
      <c r="P41" s="377"/>
      <c r="Q41" s="377">
        <f>ACP!R118</f>
        <v>0</v>
      </c>
      <c r="R41" s="377"/>
      <c r="S41" s="186"/>
    </row>
    <row r="42" spans="3:27" ht="16.8" x14ac:dyDescent="0.3">
      <c r="C42" s="143"/>
      <c r="D42" s="386" t="str">
        <f>ACP!D118</f>
        <v/>
      </c>
      <c r="E42" s="386"/>
      <c r="F42" s="377">
        <f>ACP!F119</f>
        <v>0</v>
      </c>
      <c r="G42" s="377"/>
      <c r="H42" s="377">
        <f>ACP!H119</f>
        <v>0</v>
      </c>
      <c r="I42" s="377"/>
      <c r="J42" s="377"/>
      <c r="K42" s="377">
        <f>ACP!L119</f>
        <v>0</v>
      </c>
      <c r="L42" s="377"/>
      <c r="M42" s="377">
        <f>ACP!N119</f>
        <v>0</v>
      </c>
      <c r="N42" s="377"/>
      <c r="O42" s="377">
        <f>ACP!P119</f>
        <v>0</v>
      </c>
      <c r="P42" s="377"/>
      <c r="Q42" s="377">
        <f>ACP!R119</f>
        <v>0</v>
      </c>
      <c r="R42" s="377"/>
      <c r="S42" s="186"/>
    </row>
    <row r="43" spans="3:27" ht="16.8" x14ac:dyDescent="0.3">
      <c r="C43" s="143"/>
      <c r="D43" s="386" t="str">
        <f>ACP!D119</f>
        <v/>
      </c>
      <c r="E43" s="386"/>
      <c r="F43" s="377">
        <f>ACP!F120</f>
        <v>0</v>
      </c>
      <c r="G43" s="377"/>
      <c r="H43" s="377">
        <f>ACP!H120</f>
        <v>0</v>
      </c>
      <c r="I43" s="377"/>
      <c r="J43" s="377"/>
      <c r="K43" s="377">
        <f>ACP!L120</f>
        <v>0</v>
      </c>
      <c r="L43" s="377"/>
      <c r="M43" s="377">
        <f>ACP!N120</f>
        <v>0</v>
      </c>
      <c r="N43" s="377"/>
      <c r="O43" s="377">
        <f>ACP!P120</f>
        <v>0</v>
      </c>
      <c r="P43" s="377"/>
      <c r="Q43" s="377">
        <f>ACP!R120</f>
        <v>0</v>
      </c>
      <c r="R43" s="377"/>
      <c r="S43" s="186"/>
    </row>
    <row r="44" spans="3:27" ht="16.8" x14ac:dyDescent="0.3">
      <c r="C44" s="143"/>
      <c r="D44" s="386" t="str">
        <f>ACP!D120</f>
        <v/>
      </c>
      <c r="E44" s="386"/>
      <c r="F44" s="377">
        <f>ACP!F121</f>
        <v>0</v>
      </c>
      <c r="G44" s="377"/>
      <c r="H44" s="377">
        <f>ACP!H121</f>
        <v>0</v>
      </c>
      <c r="I44" s="377"/>
      <c r="J44" s="377"/>
      <c r="K44" s="377">
        <f>ACP!L121</f>
        <v>0</v>
      </c>
      <c r="L44" s="377"/>
      <c r="M44" s="377">
        <f>ACP!N121</f>
        <v>0</v>
      </c>
      <c r="N44" s="377"/>
      <c r="O44" s="377">
        <f>ACP!P121</f>
        <v>0</v>
      </c>
      <c r="P44" s="377"/>
      <c r="Q44" s="377">
        <f>ACP!R121</f>
        <v>0</v>
      </c>
      <c r="R44" s="377"/>
      <c r="S44" s="186"/>
    </row>
    <row r="45" spans="3:27" ht="16.8" x14ac:dyDescent="0.3">
      <c r="C45" s="143"/>
      <c r="D45" s="386" t="str">
        <f>ACP!D121</f>
        <v/>
      </c>
      <c r="E45" s="386"/>
      <c r="F45" s="377">
        <f>ACP!F122</f>
        <v>0</v>
      </c>
      <c r="G45" s="377"/>
      <c r="H45" s="377">
        <f>ACP!H122</f>
        <v>0</v>
      </c>
      <c r="I45" s="377"/>
      <c r="J45" s="377"/>
      <c r="K45" s="377">
        <f>ACP!L122</f>
        <v>0</v>
      </c>
      <c r="L45" s="377"/>
      <c r="M45" s="377">
        <f>ACP!N122</f>
        <v>0</v>
      </c>
      <c r="N45" s="377"/>
      <c r="O45" s="377">
        <f>ACP!P122</f>
        <v>0</v>
      </c>
      <c r="P45" s="377"/>
      <c r="Q45" s="377">
        <f>ACP!R122</f>
        <v>0</v>
      </c>
      <c r="R45" s="377"/>
      <c r="S45" s="186"/>
    </row>
    <row r="46" spans="3:27" ht="16.8" x14ac:dyDescent="0.3">
      <c r="C46" s="143"/>
      <c r="D46" s="386" t="str">
        <f>ACP!D122</f>
        <v/>
      </c>
      <c r="E46" s="386"/>
      <c r="F46" s="377">
        <f>ACP!F123</f>
        <v>0</v>
      </c>
      <c r="G46" s="377"/>
      <c r="H46" s="377">
        <f>ACP!H123</f>
        <v>0</v>
      </c>
      <c r="I46" s="377"/>
      <c r="J46" s="377"/>
      <c r="K46" s="377">
        <f>ACP!L123</f>
        <v>0</v>
      </c>
      <c r="L46" s="377"/>
      <c r="M46" s="377">
        <f>ACP!N123</f>
        <v>0</v>
      </c>
      <c r="N46" s="377"/>
      <c r="O46" s="377">
        <f>ACP!P123</f>
        <v>0</v>
      </c>
      <c r="P46" s="377"/>
      <c r="Q46" s="377">
        <f>ACP!R123</f>
        <v>0</v>
      </c>
      <c r="R46" s="377"/>
      <c r="S46" s="186"/>
    </row>
    <row r="47" spans="3:27" ht="16.8" x14ac:dyDescent="0.3">
      <c r="C47" s="143"/>
      <c r="D47" s="386" t="str">
        <f>ACP!D123</f>
        <v/>
      </c>
      <c r="E47" s="386"/>
      <c r="F47" s="377">
        <f>ACP!F124</f>
        <v>0</v>
      </c>
      <c r="G47" s="377"/>
      <c r="H47" s="377">
        <f>ACP!H124</f>
        <v>0</v>
      </c>
      <c r="I47" s="377"/>
      <c r="J47" s="377"/>
      <c r="K47" s="377">
        <f>ACP!L124</f>
        <v>0</v>
      </c>
      <c r="L47" s="377"/>
      <c r="M47" s="377">
        <f>ACP!N124</f>
        <v>0</v>
      </c>
      <c r="N47" s="377"/>
      <c r="O47" s="377">
        <f>ACP!P124</f>
        <v>0</v>
      </c>
      <c r="P47" s="377"/>
      <c r="Q47" s="377">
        <f>ACP!R124</f>
        <v>0</v>
      </c>
      <c r="R47" s="377"/>
      <c r="S47" s="186"/>
    </row>
    <row r="48" spans="3:27" ht="16.8" x14ac:dyDescent="0.3">
      <c r="C48" s="143"/>
      <c r="D48" s="386" t="str">
        <f>ACP!D124</f>
        <v/>
      </c>
      <c r="E48" s="386"/>
      <c r="F48" s="377">
        <f>ACP!F125</f>
        <v>0</v>
      </c>
      <c r="G48" s="377"/>
      <c r="H48" s="377">
        <f>ACP!H125</f>
        <v>0</v>
      </c>
      <c r="I48" s="377"/>
      <c r="J48" s="377"/>
      <c r="K48" s="377">
        <f>ACP!L125</f>
        <v>0</v>
      </c>
      <c r="L48" s="377"/>
      <c r="M48" s="377">
        <f>ACP!N125</f>
        <v>0</v>
      </c>
      <c r="N48" s="377"/>
      <c r="O48" s="377">
        <f>ACP!P125</f>
        <v>0</v>
      </c>
      <c r="P48" s="377"/>
      <c r="Q48" s="377">
        <f>ACP!R125</f>
        <v>0</v>
      </c>
      <c r="R48" s="377"/>
      <c r="S48" s="186"/>
    </row>
    <row r="49" spans="3:19" ht="16.8" x14ac:dyDescent="0.3">
      <c r="C49" s="143"/>
      <c r="D49" s="386" t="str">
        <f>ACP!D125</f>
        <v/>
      </c>
      <c r="E49" s="386"/>
      <c r="F49" s="377">
        <f>ACP!F126</f>
        <v>0</v>
      </c>
      <c r="G49" s="377"/>
      <c r="H49" s="377">
        <f>ACP!H126</f>
        <v>0</v>
      </c>
      <c r="I49" s="377"/>
      <c r="J49" s="377"/>
      <c r="K49" s="377">
        <f>ACP!L126</f>
        <v>0</v>
      </c>
      <c r="L49" s="377"/>
      <c r="M49" s="377">
        <f>ACP!N126</f>
        <v>0</v>
      </c>
      <c r="N49" s="377"/>
      <c r="O49" s="377">
        <f>ACP!P126</f>
        <v>0</v>
      </c>
      <c r="P49" s="377"/>
      <c r="Q49" s="377">
        <f>ACP!R126</f>
        <v>0</v>
      </c>
      <c r="R49" s="377"/>
      <c r="S49" s="186"/>
    </row>
    <row r="50" spans="3:19" ht="16.8" x14ac:dyDescent="0.3">
      <c r="C50" s="143"/>
      <c r="D50" s="386" t="str">
        <f>ACP!D126</f>
        <v/>
      </c>
      <c r="E50" s="386"/>
      <c r="F50" s="377">
        <f>ACP!F127</f>
        <v>0</v>
      </c>
      <c r="G50" s="377"/>
      <c r="H50" s="377">
        <f>ACP!H127</f>
        <v>0</v>
      </c>
      <c r="I50" s="377"/>
      <c r="J50" s="377"/>
      <c r="K50" s="377">
        <f>ACP!L127</f>
        <v>0</v>
      </c>
      <c r="L50" s="377"/>
      <c r="M50" s="377">
        <f>ACP!N127</f>
        <v>0</v>
      </c>
      <c r="N50" s="377"/>
      <c r="O50" s="377">
        <f>ACP!P127</f>
        <v>0</v>
      </c>
      <c r="P50" s="377"/>
      <c r="Q50" s="377">
        <f>ACP!R127</f>
        <v>0</v>
      </c>
      <c r="R50" s="377"/>
      <c r="S50" s="186"/>
    </row>
    <row r="51" spans="3:19" ht="16.8" x14ac:dyDescent="0.4">
      <c r="C51" s="150"/>
      <c r="D51" s="386" t="str">
        <f>ACP!D127</f>
        <v/>
      </c>
      <c r="E51" s="386"/>
      <c r="F51" s="377">
        <f>ACP!F128</f>
        <v>0</v>
      </c>
      <c r="G51" s="377"/>
      <c r="H51" s="377">
        <f>ACP!H128</f>
        <v>0</v>
      </c>
      <c r="I51" s="377"/>
      <c r="J51" s="377"/>
      <c r="K51" s="377">
        <f>ACP!L128</f>
        <v>0</v>
      </c>
      <c r="L51" s="377"/>
      <c r="M51" s="377">
        <f>ACP!N128</f>
        <v>0</v>
      </c>
      <c r="N51" s="377"/>
      <c r="O51" s="377">
        <f>ACP!P128</f>
        <v>0</v>
      </c>
      <c r="P51" s="377"/>
      <c r="Q51" s="377">
        <f>ACP!R128</f>
        <v>0</v>
      </c>
      <c r="R51" s="377"/>
      <c r="S51" s="187"/>
    </row>
    <row r="52" spans="3:19" ht="16.8" x14ac:dyDescent="0.4">
      <c r="C52" s="143"/>
      <c r="D52" s="386" t="str">
        <f>ACP!D128</f>
        <v/>
      </c>
      <c r="E52" s="386"/>
      <c r="F52" s="377">
        <f>ACP!F129</f>
        <v>0</v>
      </c>
      <c r="G52" s="377"/>
      <c r="H52" s="377">
        <f>ACP!H129</f>
        <v>0</v>
      </c>
      <c r="I52" s="377"/>
      <c r="J52" s="377"/>
      <c r="K52" s="377">
        <f>ACP!L129</f>
        <v>0</v>
      </c>
      <c r="L52" s="377"/>
      <c r="M52" s="377">
        <f>ACP!N129</f>
        <v>0</v>
      </c>
      <c r="N52" s="377"/>
      <c r="O52" s="377">
        <f>ACP!P129</f>
        <v>0</v>
      </c>
      <c r="P52" s="377"/>
      <c r="Q52" s="377">
        <f>ACP!R129</f>
        <v>0</v>
      </c>
      <c r="R52" s="377"/>
      <c r="S52" s="188"/>
    </row>
    <row r="53" spans="3:19" ht="16.8" x14ac:dyDescent="0.4">
      <c r="C53" s="143"/>
      <c r="D53" s="386" t="str">
        <f>ACP!D129</f>
        <v/>
      </c>
      <c r="E53" s="386"/>
      <c r="F53" s="377">
        <f>ACP!F130</f>
        <v>0</v>
      </c>
      <c r="G53" s="377"/>
      <c r="H53" s="377">
        <f>ACP!H130</f>
        <v>0</v>
      </c>
      <c r="I53" s="377"/>
      <c r="J53" s="377"/>
      <c r="K53" s="377">
        <f>ACP!L130</f>
        <v>0</v>
      </c>
      <c r="L53" s="377"/>
      <c r="M53" s="377">
        <f>ACP!N130</f>
        <v>0</v>
      </c>
      <c r="N53" s="377"/>
      <c r="O53" s="377">
        <f>ACP!P130</f>
        <v>0</v>
      </c>
      <c r="P53" s="377"/>
      <c r="Q53" s="377">
        <f>ACP!R130</f>
        <v>0</v>
      </c>
      <c r="R53" s="377"/>
      <c r="S53" s="188"/>
    </row>
    <row r="54" spans="3:19" ht="16.8" x14ac:dyDescent="0.4">
      <c r="C54" s="143"/>
      <c r="D54" s="386" t="str">
        <f>ACP!D130</f>
        <v/>
      </c>
      <c r="E54" s="386"/>
      <c r="F54" s="377">
        <f>ACP!F131</f>
        <v>0</v>
      </c>
      <c r="G54" s="377"/>
      <c r="H54" s="377">
        <f>ACP!H131</f>
        <v>0</v>
      </c>
      <c r="I54" s="377"/>
      <c r="J54" s="377"/>
      <c r="K54" s="377">
        <f>ACP!L131</f>
        <v>0</v>
      </c>
      <c r="L54" s="377"/>
      <c r="M54" s="377">
        <f>ACP!N131</f>
        <v>0</v>
      </c>
      <c r="N54" s="377"/>
      <c r="O54" s="377">
        <f>ACP!P131</f>
        <v>0</v>
      </c>
      <c r="P54" s="377"/>
      <c r="Q54" s="377">
        <f>ACP!R131</f>
        <v>0</v>
      </c>
      <c r="R54" s="377"/>
      <c r="S54" s="188"/>
    </row>
    <row r="55" spans="3:19" ht="16.8" x14ac:dyDescent="0.4">
      <c r="C55" s="143"/>
      <c r="D55" s="386" t="str">
        <f>ACP!D131</f>
        <v/>
      </c>
      <c r="E55" s="386"/>
      <c r="F55" s="377">
        <f>ACP!F132</f>
        <v>0</v>
      </c>
      <c r="G55" s="377"/>
      <c r="H55" s="377">
        <f>ACP!H132</f>
        <v>0</v>
      </c>
      <c r="I55" s="377"/>
      <c r="J55" s="377"/>
      <c r="K55" s="377">
        <f>ACP!L132</f>
        <v>0</v>
      </c>
      <c r="L55" s="377"/>
      <c r="M55" s="377">
        <f>ACP!N132</f>
        <v>0</v>
      </c>
      <c r="N55" s="377"/>
      <c r="O55" s="377">
        <f>ACP!P132</f>
        <v>0</v>
      </c>
      <c r="P55" s="377"/>
      <c r="Q55" s="377">
        <f>ACP!R132</f>
        <v>0</v>
      </c>
      <c r="R55" s="377"/>
      <c r="S55" s="188"/>
    </row>
    <row r="56" spans="3:19" ht="16.8" x14ac:dyDescent="0.4">
      <c r="C56" s="143"/>
      <c r="D56" s="386" t="str">
        <f>ACP!D132</f>
        <v/>
      </c>
      <c r="E56" s="386"/>
      <c r="F56" s="377">
        <f>ACP!F133</f>
        <v>0</v>
      </c>
      <c r="G56" s="377"/>
      <c r="H56" s="377">
        <f>ACP!H133</f>
        <v>0</v>
      </c>
      <c r="I56" s="377"/>
      <c r="J56" s="377"/>
      <c r="K56" s="377">
        <f>ACP!L133</f>
        <v>0</v>
      </c>
      <c r="L56" s="377"/>
      <c r="M56" s="377">
        <f>ACP!N133</f>
        <v>0</v>
      </c>
      <c r="N56" s="377"/>
      <c r="O56" s="377">
        <f>ACP!P133</f>
        <v>0</v>
      </c>
      <c r="P56" s="377"/>
      <c r="Q56" s="377">
        <f>ACP!R133</f>
        <v>0</v>
      </c>
      <c r="R56" s="377"/>
      <c r="S56" s="188"/>
    </row>
    <row r="57" spans="3:19" ht="16.8" x14ac:dyDescent="0.4">
      <c r="C57" s="143"/>
      <c r="D57" s="386" t="str">
        <f>ACP!D133</f>
        <v/>
      </c>
      <c r="E57" s="386"/>
      <c r="F57" s="377">
        <f>ACP!F134</f>
        <v>0</v>
      </c>
      <c r="G57" s="377"/>
      <c r="H57" s="377">
        <f>ACP!H134</f>
        <v>0</v>
      </c>
      <c r="I57" s="377"/>
      <c r="J57" s="377"/>
      <c r="K57" s="377">
        <f>ACP!L134</f>
        <v>0</v>
      </c>
      <c r="L57" s="377"/>
      <c r="M57" s="377">
        <f>ACP!N134</f>
        <v>0</v>
      </c>
      <c r="N57" s="377"/>
      <c r="O57" s="377">
        <f>ACP!P134</f>
        <v>0</v>
      </c>
      <c r="P57" s="377"/>
      <c r="Q57" s="377">
        <f>ACP!R134</f>
        <v>0</v>
      </c>
      <c r="R57" s="377"/>
      <c r="S57" s="188"/>
    </row>
    <row r="58" spans="3:19" ht="16.8" x14ac:dyDescent="0.4">
      <c r="C58" s="143"/>
      <c r="D58" s="386" t="str">
        <f>ACP!D134</f>
        <v/>
      </c>
      <c r="E58" s="386"/>
      <c r="F58" s="377">
        <f>ACP!F135</f>
        <v>0</v>
      </c>
      <c r="G58" s="377"/>
      <c r="H58" s="377">
        <f>ACP!H135</f>
        <v>0</v>
      </c>
      <c r="I58" s="377"/>
      <c r="J58" s="377"/>
      <c r="K58" s="377">
        <f>ACP!L135</f>
        <v>0</v>
      </c>
      <c r="L58" s="377"/>
      <c r="M58" s="377">
        <f>ACP!N135</f>
        <v>0</v>
      </c>
      <c r="N58" s="377"/>
      <c r="O58" s="377">
        <f>ACP!P135</f>
        <v>0</v>
      </c>
      <c r="P58" s="377"/>
      <c r="Q58" s="377">
        <f>ACP!R135</f>
        <v>0</v>
      </c>
      <c r="R58" s="377"/>
      <c r="S58" s="188"/>
    </row>
    <row r="59" spans="3:19" ht="16.8" x14ac:dyDescent="0.4">
      <c r="C59" s="143"/>
      <c r="D59" s="386" t="str">
        <f>ACP!D135</f>
        <v/>
      </c>
      <c r="E59" s="386"/>
      <c r="F59" s="377">
        <f>ACP!F136</f>
        <v>0</v>
      </c>
      <c r="G59" s="377"/>
      <c r="H59" s="377">
        <f>ACP!H136</f>
        <v>0</v>
      </c>
      <c r="I59" s="377"/>
      <c r="J59" s="377"/>
      <c r="K59" s="377">
        <f>ACP!L136</f>
        <v>0</v>
      </c>
      <c r="L59" s="377"/>
      <c r="M59" s="377">
        <f>ACP!N136</f>
        <v>0</v>
      </c>
      <c r="N59" s="377"/>
      <c r="O59" s="377">
        <f>ACP!P136</f>
        <v>0</v>
      </c>
      <c r="P59" s="377"/>
      <c r="Q59" s="377">
        <f>ACP!R136</f>
        <v>0</v>
      </c>
      <c r="R59" s="377"/>
      <c r="S59" s="188"/>
    </row>
    <row r="60" spans="3:19" ht="16.8" x14ac:dyDescent="0.4">
      <c r="C60" s="143"/>
      <c r="D60" s="386" t="str">
        <f>ACP!D136</f>
        <v/>
      </c>
      <c r="E60" s="386"/>
      <c r="F60" s="377">
        <f>ACP!F137</f>
        <v>0</v>
      </c>
      <c r="G60" s="377"/>
      <c r="H60" s="377">
        <f>ACP!H137</f>
        <v>0</v>
      </c>
      <c r="I60" s="377"/>
      <c r="J60" s="377"/>
      <c r="K60" s="377">
        <f>ACP!L137</f>
        <v>0</v>
      </c>
      <c r="L60" s="377"/>
      <c r="M60" s="377">
        <f>ACP!N137</f>
        <v>0</v>
      </c>
      <c r="N60" s="377"/>
      <c r="O60" s="377">
        <f>ACP!P137</f>
        <v>0</v>
      </c>
      <c r="P60" s="377"/>
      <c r="Q60" s="377">
        <f>ACP!R137</f>
        <v>0</v>
      </c>
      <c r="R60" s="377"/>
      <c r="S60" s="188"/>
    </row>
    <row r="61" spans="3:19" ht="16.8" x14ac:dyDescent="0.4">
      <c r="C61" s="143"/>
      <c r="D61" s="189"/>
      <c r="E61" s="190"/>
      <c r="F61" s="190"/>
      <c r="G61" s="190"/>
      <c r="H61" s="190"/>
      <c r="I61" s="190"/>
      <c r="J61" s="190"/>
      <c r="K61" s="190"/>
      <c r="L61" s="190"/>
      <c r="M61" s="190"/>
      <c r="N61" s="190"/>
      <c r="O61" s="190"/>
      <c r="P61" s="190"/>
      <c r="Q61" s="190"/>
      <c r="R61" s="190"/>
      <c r="S61" s="188"/>
    </row>
    <row r="62" spans="3:19" ht="17.25" customHeight="1" x14ac:dyDescent="0.3">
      <c r="C62" s="143"/>
      <c r="D62" s="191" t="s">
        <v>91</v>
      </c>
      <c r="E62" s="192"/>
      <c r="F62" s="192"/>
      <c r="G62" s="192"/>
      <c r="H62" s="192"/>
      <c r="I62" s="192"/>
      <c r="J62" s="192"/>
      <c r="K62" s="192"/>
      <c r="L62" s="192"/>
      <c r="M62" s="192"/>
      <c r="N62" s="192"/>
      <c r="O62" s="192"/>
      <c r="P62" s="192"/>
      <c r="Q62" s="192"/>
      <c r="R62" s="192"/>
      <c r="S62" s="193"/>
    </row>
    <row r="63" spans="3:19" ht="16.8" x14ac:dyDescent="0.4">
      <c r="C63" s="194"/>
      <c r="D63" s="195"/>
      <c r="E63" s="196"/>
      <c r="F63" s="196"/>
      <c r="G63" s="196"/>
      <c r="H63" s="196"/>
      <c r="I63" s="196"/>
      <c r="J63" s="196"/>
      <c r="K63" s="196"/>
      <c r="L63" s="196"/>
      <c r="M63" s="196"/>
      <c r="N63" s="196"/>
      <c r="O63" s="196"/>
      <c r="P63" s="196"/>
      <c r="Q63" s="196"/>
      <c r="R63" s="196"/>
      <c r="S63" s="197"/>
    </row>
    <row r="64" spans="3:19" ht="18.75" customHeight="1" x14ac:dyDescent="0.4">
      <c r="C64" s="194"/>
      <c r="D64" s="195"/>
      <c r="E64" s="196"/>
      <c r="F64" s="196"/>
      <c r="G64" s="196"/>
      <c r="H64" s="196"/>
      <c r="I64" s="196"/>
      <c r="J64" s="196"/>
      <c r="K64" s="196"/>
      <c r="L64" s="196"/>
      <c r="M64" s="196"/>
      <c r="N64" s="196"/>
      <c r="O64" s="196"/>
      <c r="P64" s="196"/>
      <c r="Q64" s="196"/>
      <c r="R64" s="196"/>
      <c r="S64" s="197"/>
    </row>
    <row r="65" spans="3:39" ht="19.5" customHeight="1" x14ac:dyDescent="0.45">
      <c r="C65" s="194"/>
      <c r="D65" s="141"/>
      <c r="E65" s="198" t="s">
        <v>71</v>
      </c>
      <c r="F65" s="196"/>
      <c r="G65" s="196"/>
      <c r="H65" s="141"/>
      <c r="I65" s="371" t="s">
        <v>72</v>
      </c>
      <c r="J65" s="371"/>
      <c r="K65" s="371"/>
      <c r="L65" s="141"/>
      <c r="M65" s="196"/>
      <c r="N65" s="141"/>
      <c r="O65" s="199"/>
      <c r="P65" s="198" t="s">
        <v>73</v>
      </c>
      <c r="Q65" s="198"/>
      <c r="R65" s="198"/>
      <c r="S65" s="200"/>
      <c r="T65" s="201"/>
      <c r="U65" s="201"/>
      <c r="V65" s="201"/>
    </row>
    <row r="66" spans="3:39" ht="20.399999999999999" x14ac:dyDescent="0.45">
      <c r="C66" s="143"/>
      <c r="D66" s="198"/>
      <c r="E66" s="198"/>
      <c r="F66" s="198"/>
      <c r="G66" s="198"/>
      <c r="H66" s="141"/>
      <c r="I66" s="141"/>
      <c r="J66" s="141"/>
      <c r="K66" s="198"/>
      <c r="L66" s="199"/>
      <c r="M66" s="141"/>
      <c r="N66" s="141"/>
      <c r="O66" s="141"/>
      <c r="P66" s="196"/>
      <c r="Q66" s="196"/>
      <c r="R66" s="196"/>
      <c r="S66" s="197"/>
      <c r="T66" s="202"/>
      <c r="U66" s="202"/>
      <c r="V66" s="202"/>
    </row>
    <row r="67" spans="3:39" ht="20.399999999999999" x14ac:dyDescent="0.45">
      <c r="C67" s="203"/>
      <c r="D67" s="204"/>
      <c r="E67" s="204"/>
      <c r="F67" s="204"/>
      <c r="G67" s="204"/>
      <c r="H67" s="204"/>
      <c r="I67" s="141"/>
      <c r="J67" s="141"/>
      <c r="K67" s="141"/>
      <c r="L67" s="204"/>
      <c r="M67" s="204"/>
      <c r="N67" s="204"/>
      <c r="O67" s="204"/>
      <c r="P67" s="196"/>
      <c r="Q67" s="196"/>
      <c r="R67" s="196"/>
      <c r="S67" s="197"/>
      <c r="T67" s="202"/>
      <c r="U67" s="202"/>
      <c r="V67" s="202"/>
    </row>
    <row r="68" spans="3:39" ht="20.399999999999999" x14ac:dyDescent="0.45">
      <c r="C68" s="143"/>
      <c r="D68" s="371" t="e">
        <f>Caculate!B8</f>
        <v>#N/A</v>
      </c>
      <c r="E68" s="371"/>
      <c r="F68" s="371"/>
      <c r="G68" s="205"/>
      <c r="H68" s="141"/>
      <c r="I68" s="372" t="s">
        <v>74</v>
      </c>
      <c r="J68" s="372"/>
      <c r="K68" s="372"/>
      <c r="L68" s="141"/>
      <c r="M68" s="204"/>
      <c r="N68" s="141"/>
      <c r="O68" s="372" t="s">
        <v>75</v>
      </c>
      <c r="P68" s="372"/>
      <c r="Q68" s="372"/>
      <c r="R68" s="198"/>
      <c r="S68" s="200"/>
      <c r="T68" s="202"/>
      <c r="U68" s="202"/>
      <c r="V68" s="202"/>
      <c r="AM68" s="206"/>
    </row>
    <row r="69" spans="3:39" ht="20.399999999999999" x14ac:dyDescent="0.45">
      <c r="C69" s="143"/>
      <c r="D69" s="141"/>
      <c r="E69" s="141"/>
      <c r="F69" s="204"/>
      <c r="G69" s="204"/>
      <c r="H69" s="204"/>
      <c r="I69" s="141"/>
      <c r="J69" s="141"/>
      <c r="K69" s="141"/>
      <c r="L69" s="141"/>
      <c r="M69" s="141"/>
      <c r="N69" s="204"/>
      <c r="O69" s="204"/>
      <c r="P69" s="196"/>
      <c r="Q69" s="196"/>
      <c r="R69" s="196"/>
      <c r="S69" s="197"/>
      <c r="T69" s="202"/>
      <c r="U69" s="202"/>
      <c r="V69" s="202"/>
    </row>
    <row r="70" spans="3:39" ht="20.399999999999999" x14ac:dyDescent="0.45">
      <c r="C70" s="203"/>
      <c r="D70" s="204"/>
      <c r="E70" s="204"/>
      <c r="F70" s="204"/>
      <c r="G70" s="204"/>
      <c r="H70" s="141"/>
      <c r="I70" s="141"/>
      <c r="J70" s="141"/>
      <c r="K70" s="204"/>
      <c r="L70" s="204"/>
      <c r="M70" s="204"/>
      <c r="N70" s="204"/>
      <c r="O70" s="204"/>
      <c r="P70" s="196"/>
      <c r="Q70" s="196"/>
      <c r="R70" s="196"/>
      <c r="S70" s="197"/>
      <c r="T70" s="202"/>
      <c r="U70" s="202"/>
      <c r="V70" s="202"/>
    </row>
    <row r="71" spans="3:39" ht="21" thickBot="1" x14ac:dyDescent="0.5">
      <c r="C71" s="207"/>
      <c r="D71" s="208"/>
      <c r="E71" s="208"/>
      <c r="F71" s="208"/>
      <c r="G71" s="208"/>
      <c r="H71" s="208"/>
      <c r="I71" s="208"/>
      <c r="J71" s="208"/>
      <c r="K71" s="208"/>
      <c r="L71" s="208"/>
      <c r="M71" s="208"/>
      <c r="N71" s="209"/>
      <c r="O71" s="209"/>
      <c r="P71" s="209"/>
      <c r="Q71" s="210"/>
      <c r="R71" s="210"/>
      <c r="S71" s="211"/>
      <c r="U71" s="202"/>
      <c r="V71" s="202"/>
    </row>
    <row r="72" spans="3:39" ht="16.8" x14ac:dyDescent="0.4">
      <c r="T72" s="202"/>
      <c r="U72" s="202"/>
      <c r="V72" s="202"/>
    </row>
    <row r="73" spans="3:39" ht="16.8" x14ac:dyDescent="0.4">
      <c r="T73" s="202"/>
      <c r="U73" s="202"/>
      <c r="V73" s="202"/>
    </row>
    <row r="74" spans="3:39" ht="16.8" x14ac:dyDescent="0.4">
      <c r="T74" s="202"/>
      <c r="U74" s="202"/>
      <c r="V74" s="202"/>
    </row>
    <row r="75" spans="3:39" ht="20.399999999999999" x14ac:dyDescent="0.45">
      <c r="H75" s="212"/>
      <c r="L75" s="212"/>
      <c r="M75" s="212"/>
      <c r="Q75" s="202"/>
      <c r="R75" s="202"/>
      <c r="S75" s="202"/>
      <c r="T75" s="202"/>
      <c r="U75" s="202"/>
      <c r="V75" s="202"/>
    </row>
  </sheetData>
  <mergeCells count="203">
    <mergeCell ref="Q60:R60"/>
    <mergeCell ref="Q51:R51"/>
    <mergeCell ref="Q52:R52"/>
    <mergeCell ref="Q53:R53"/>
    <mergeCell ref="Q54:R54"/>
    <mergeCell ref="Q55:R55"/>
    <mergeCell ref="Q56:R56"/>
    <mergeCell ref="Q57:R57"/>
    <mergeCell ref="Q58:R58"/>
    <mergeCell ref="Q59:R59"/>
    <mergeCell ref="M60:N60"/>
    <mergeCell ref="O51:P51"/>
    <mergeCell ref="O52:P52"/>
    <mergeCell ref="O53:P53"/>
    <mergeCell ref="O54:P54"/>
    <mergeCell ref="O55:P55"/>
    <mergeCell ref="O56:P56"/>
    <mergeCell ref="O57:P57"/>
    <mergeCell ref="O58:P58"/>
    <mergeCell ref="O59:P59"/>
    <mergeCell ref="O60:P60"/>
    <mergeCell ref="M51:N51"/>
    <mergeCell ref="M52:N52"/>
    <mergeCell ref="M53:N53"/>
    <mergeCell ref="M54:N54"/>
    <mergeCell ref="M55:N55"/>
    <mergeCell ref="M56:N56"/>
    <mergeCell ref="M57:N57"/>
    <mergeCell ref="M58:N58"/>
    <mergeCell ref="M59:N59"/>
    <mergeCell ref="H60:J60"/>
    <mergeCell ref="K51:L51"/>
    <mergeCell ref="K52:L52"/>
    <mergeCell ref="K53:L53"/>
    <mergeCell ref="K54:L54"/>
    <mergeCell ref="K55:L55"/>
    <mergeCell ref="K56:L56"/>
    <mergeCell ref="K57:L57"/>
    <mergeCell ref="K58:L58"/>
    <mergeCell ref="K59:L59"/>
    <mergeCell ref="K60:L60"/>
    <mergeCell ref="H51:J51"/>
    <mergeCell ref="H52:J52"/>
    <mergeCell ref="H53:J53"/>
    <mergeCell ref="H54:J54"/>
    <mergeCell ref="H55:J55"/>
    <mergeCell ref="H56:J56"/>
    <mergeCell ref="H57:J57"/>
    <mergeCell ref="H58:J58"/>
    <mergeCell ref="H59:J59"/>
    <mergeCell ref="D60:E60"/>
    <mergeCell ref="F45:G45"/>
    <mergeCell ref="F46:G46"/>
    <mergeCell ref="F47:G47"/>
    <mergeCell ref="F48:G48"/>
    <mergeCell ref="F51:G51"/>
    <mergeCell ref="F52:G52"/>
    <mergeCell ref="F53:G53"/>
    <mergeCell ref="F54:G54"/>
    <mergeCell ref="F55:G55"/>
    <mergeCell ref="F56:G56"/>
    <mergeCell ref="F57:G57"/>
    <mergeCell ref="F58:G58"/>
    <mergeCell ref="F59:G59"/>
    <mergeCell ref="F60:G60"/>
    <mergeCell ref="D51:E51"/>
    <mergeCell ref="D52:E52"/>
    <mergeCell ref="D53:E53"/>
    <mergeCell ref="D54:E54"/>
    <mergeCell ref="D55:E55"/>
    <mergeCell ref="D56:E56"/>
    <mergeCell ref="D57:E57"/>
    <mergeCell ref="D58:E58"/>
    <mergeCell ref="D59:E59"/>
    <mergeCell ref="M46:N46"/>
    <mergeCell ref="M47:N47"/>
    <mergeCell ref="Q44:R44"/>
    <mergeCell ref="Q46:R46"/>
    <mergeCell ref="Q47:R47"/>
    <mergeCell ref="H37:J37"/>
    <mergeCell ref="K37:L37"/>
    <mergeCell ref="K38:L38"/>
    <mergeCell ref="K39:L39"/>
    <mergeCell ref="K40:L40"/>
    <mergeCell ref="K41:L41"/>
    <mergeCell ref="K42:L42"/>
    <mergeCell ref="K43:L43"/>
    <mergeCell ref="K44:L44"/>
    <mergeCell ref="Q45:R45"/>
    <mergeCell ref="M45:N45"/>
    <mergeCell ref="F20:G20"/>
    <mergeCell ref="H20:I20"/>
    <mergeCell ref="J20:K20"/>
    <mergeCell ref="K25:L27"/>
    <mergeCell ref="D37:E37"/>
    <mergeCell ref="F37:G37"/>
    <mergeCell ref="M37:N37"/>
    <mergeCell ref="O37:P37"/>
    <mergeCell ref="Q37:R37"/>
    <mergeCell ref="D27:E27"/>
    <mergeCell ref="D28:E28"/>
    <mergeCell ref="D29:E29"/>
    <mergeCell ref="D25:E26"/>
    <mergeCell ref="F25:G26"/>
    <mergeCell ref="H25:I26"/>
    <mergeCell ref="Q48:R48"/>
    <mergeCell ref="Q49:R49"/>
    <mergeCell ref="Q50:R50"/>
    <mergeCell ref="M49:N49"/>
    <mergeCell ref="M50:N50"/>
    <mergeCell ref="O38:P38"/>
    <mergeCell ref="O39:P39"/>
    <mergeCell ref="O40:P40"/>
    <mergeCell ref="O41:P41"/>
    <mergeCell ref="O42:P42"/>
    <mergeCell ref="O43:P43"/>
    <mergeCell ref="O44:P44"/>
    <mergeCell ref="O45:P45"/>
    <mergeCell ref="O46:P46"/>
    <mergeCell ref="O47:P47"/>
    <mergeCell ref="O48:P48"/>
    <mergeCell ref="O49:P49"/>
    <mergeCell ref="O50:P50"/>
    <mergeCell ref="Q42:R42"/>
    <mergeCell ref="Q43:R43"/>
    <mergeCell ref="M40:N40"/>
    <mergeCell ref="M41:N41"/>
    <mergeCell ref="Q40:R40"/>
    <mergeCell ref="Q41:R41"/>
    <mergeCell ref="M48:N48"/>
    <mergeCell ref="D38:E38"/>
    <mergeCell ref="F38:G38"/>
    <mergeCell ref="F50:G50"/>
    <mergeCell ref="H38:J38"/>
    <mergeCell ref="H39:J39"/>
    <mergeCell ref="H40:J40"/>
    <mergeCell ref="H41:J41"/>
    <mergeCell ref="H42:J42"/>
    <mergeCell ref="H43:J43"/>
    <mergeCell ref="H44:J44"/>
    <mergeCell ref="H45:J45"/>
    <mergeCell ref="H46:J46"/>
    <mergeCell ref="H47:J47"/>
    <mergeCell ref="H48:J48"/>
    <mergeCell ref="D42:E42"/>
    <mergeCell ref="F42:G42"/>
    <mergeCell ref="D41:E41"/>
    <mergeCell ref="F41:G41"/>
    <mergeCell ref="D40:E40"/>
    <mergeCell ref="F40:G40"/>
    <mergeCell ref="D39:E39"/>
    <mergeCell ref="H49:J49"/>
    <mergeCell ref="H50:J50"/>
    <mergeCell ref="F49:G49"/>
    <mergeCell ref="D50:E50"/>
    <mergeCell ref="D49:E49"/>
    <mergeCell ref="K46:L46"/>
    <mergeCell ref="K47:L47"/>
    <mergeCell ref="K48:L48"/>
    <mergeCell ref="K49:L49"/>
    <mergeCell ref="K50:L50"/>
    <mergeCell ref="K45:L45"/>
    <mergeCell ref="D48:E48"/>
    <mergeCell ref="D45:E45"/>
    <mergeCell ref="D46:E46"/>
    <mergeCell ref="D47:E47"/>
    <mergeCell ref="D44:E44"/>
    <mergeCell ref="F44:G44"/>
    <mergeCell ref="D43:E43"/>
    <mergeCell ref="F43:G43"/>
    <mergeCell ref="M42:N42"/>
    <mergeCell ref="M43:N43"/>
    <mergeCell ref="F27:G27"/>
    <mergeCell ref="F28:G28"/>
    <mergeCell ref="F29:G29"/>
    <mergeCell ref="H27:I27"/>
    <mergeCell ref="H28:I28"/>
    <mergeCell ref="H29:I29"/>
    <mergeCell ref="M44:N44"/>
    <mergeCell ref="D5:Q5"/>
    <mergeCell ref="D68:F68"/>
    <mergeCell ref="I65:K65"/>
    <mergeCell ref="O68:Q68"/>
    <mergeCell ref="E7:G7"/>
    <mergeCell ref="I68:K68"/>
    <mergeCell ref="F19:G19"/>
    <mergeCell ref="H19:I19"/>
    <mergeCell ref="D19:E19"/>
    <mergeCell ref="J19:K19"/>
    <mergeCell ref="D20:E20"/>
    <mergeCell ref="F39:G39"/>
    <mergeCell ref="M38:N38"/>
    <mergeCell ref="M39:N39"/>
    <mergeCell ref="Q38:R38"/>
    <mergeCell ref="Q39:R39"/>
    <mergeCell ref="K33:L33"/>
    <mergeCell ref="M25:O26"/>
    <mergeCell ref="K31:L31"/>
    <mergeCell ref="K32:L32"/>
    <mergeCell ref="K29:L29"/>
    <mergeCell ref="K30:L30"/>
    <mergeCell ref="K28:L28"/>
    <mergeCell ref="P25:R2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Txt"/>
  <dimension ref="A1:AB5"/>
  <sheetViews>
    <sheetView topLeftCell="C1" workbookViewId="0">
      <selection activeCell="D2" sqref="D2"/>
    </sheetView>
  </sheetViews>
  <sheetFormatPr defaultRowHeight="14.4" x14ac:dyDescent="0.3"/>
  <cols>
    <col min="3" max="3" width="18.109375" customWidth="1"/>
    <col min="4" max="4" width="23.88671875" customWidth="1"/>
    <col min="7" max="7" width="10" customWidth="1"/>
    <col min="8" max="8" width="11.109375" customWidth="1"/>
    <col min="9" max="12" width="10" customWidth="1"/>
  </cols>
  <sheetData>
    <row r="1" spans="1:28" x14ac:dyDescent="0.3">
      <c r="A1" t="s">
        <v>94</v>
      </c>
      <c r="C1" t="s">
        <v>95</v>
      </c>
      <c r="D1" t="s">
        <v>96</v>
      </c>
      <c r="E1" t="s">
        <v>97</v>
      </c>
      <c r="F1" t="s">
        <v>98</v>
      </c>
      <c r="G1" t="s">
        <v>99</v>
      </c>
      <c r="H1" t="s">
        <v>100</v>
      </c>
      <c r="I1" t="s">
        <v>101</v>
      </c>
      <c r="J1" t="s">
        <v>102</v>
      </c>
      <c r="K1" t="s">
        <v>103</v>
      </c>
      <c r="L1" t="s">
        <v>104</v>
      </c>
      <c r="S1" t="s">
        <v>95</v>
      </c>
      <c r="T1" t="s">
        <v>96</v>
      </c>
      <c r="U1" t="s">
        <v>97</v>
      </c>
      <c r="V1" t="s">
        <v>98</v>
      </c>
      <c r="W1" t="s">
        <v>99</v>
      </c>
      <c r="X1" t="s">
        <v>100</v>
      </c>
      <c r="Y1" t="s">
        <v>101</v>
      </c>
      <c r="Z1" t="s">
        <v>102</v>
      </c>
      <c r="AA1" t="s">
        <v>103</v>
      </c>
      <c r="AB1" t="s">
        <v>104</v>
      </c>
    </row>
    <row r="2" spans="1:28" ht="87.75" customHeight="1" x14ac:dyDescent="0.3">
      <c r="A2" s="38" t="s">
        <v>7998</v>
      </c>
      <c r="B2" s="38"/>
      <c r="C2" s="39" t="s">
        <v>105</v>
      </c>
      <c r="D2" s="40" t="str">
        <f>ConTxt[SELECT]&amp;ConTxt[WHERE]&amp;ConTxt[WHERE2]&amp;ConTxt[WHERE22]&amp;ConTxt[WHERE4]&amp;ConTxt[WHERE5]&amp;ConTxt[WHERE6]&amp;ConTxt[WHERE7]</f>
        <v>select * from SME..QUYNHNT3_ACP
where CIF = '' OR MST = ''</v>
      </c>
      <c r="E2" s="40" t="s">
        <v>110</v>
      </c>
      <c r="F2" s="40"/>
      <c r="G2" s="40"/>
      <c r="H2" s="40"/>
      <c r="I2" s="40"/>
      <c r="J2" s="41"/>
      <c r="K2" s="41"/>
      <c r="L2" s="41" t="str">
        <f>"where CIF = '" &amp; 'TRANG CHU'!$H$24 &amp; "' OR MST = '" &amp; 'TRANG CHU'!$H$24 &amp; "'"</f>
        <v>where CIF = '' OR MST = ''</v>
      </c>
      <c r="S2" s="39" t="s">
        <v>129</v>
      </c>
      <c r="T2" s="40" t="str">
        <f>ConTxt1[SELECT]&amp;ConTxt1[WHERE]&amp;ConTxt1[WHERE2]&amp;ConTxt1[WHERE22]&amp;ConTxt1[WHERE4]&amp;ConTxt1[WHERE5]&amp;ConTxt1[WHERE6]&amp;ConTxt1[WHERE7]</f>
        <v>WITH T1 AS (
    SELECT 
        A.MA_NV,
        A.HO_TEN,    CASE 
        WHEN CHARINDEX('@', Email) &gt; 0 THEN LEFT(Email, CHARINDEX('@', Email) - 1)
        ELSE NULL
    END AS TenNguoiDung,
        B.Hub_name AS Hub_name,
        B.VUNG
    FROM sme..truc_dsns A
    LEFT JOIN sme..ANHNT11_LIST_ML_202306 B ON A.COMPANY_BOOK = B.Branch_code
    WHERE A.YEARMONTH = (SELECT MAX(YEARMONTH) FROM SME..truc_dsns)
)SELECT 
a.*
FROM T1 a
INNER JOIN sme..PHAN_QUYEN_USER_HUB b 
    ON (a.VUNG = b.PQ_VUNG OR b.PQ_VUNG IS NULL)
    AND (a.Hub_name = b.PQ_HUB OR b.PQ_HUB IS NULL)
    AND (a.MA_NV = b.PQ_RM OR b.PQ_RM IS NULL)
WHERE b.TEN_BAO_CAO = 'All' and b.WINDOWS_USER = 'trucntt' and  b.YEARMONTH =  (select max(YEARMONTH) from sme..PHAN_QUYEN_USER_HUB
 )</v>
      </c>
      <c r="U2" s="40" t="s">
        <v>163</v>
      </c>
      <c r="V2" s="40" t="s">
        <v>127</v>
      </c>
      <c r="W2" s="40" t="str">
        <f xml:space="preserve"> " and b.WINDOWS_USER = '"&amp;WindowsUser[User]&amp;"' and "</f>
        <v xml:space="preserve"> and b.WINDOWS_USER = 'trucntt' and </v>
      </c>
      <c r="X2" s="40" t="s">
        <v>128</v>
      </c>
      <c r="Y2" s="40"/>
      <c r="Z2" s="41"/>
      <c r="AA2" s="41"/>
      <c r="AB2" s="41"/>
    </row>
    <row r="3" spans="1:28" ht="72" x14ac:dyDescent="0.3">
      <c r="C3" s="39" t="s">
        <v>243</v>
      </c>
      <c r="D3" s="40" t="str">
        <f>ConTxt[SELECT]&amp;ConTxt[WHERE]&amp;ConTxt[WHERE2]&amp;ConTxt[WHERE22]&amp;ConTxt[WHERE4]&amp;ConTxt[WHERE5]&amp;ConTxt[WHERE6]&amp;ConTxt[WHERE7]</f>
        <v>select * from SME..QUYNHNT3_ACP_1
where  CIF =''</v>
      </c>
      <c r="E3" s="40" t="s">
        <v>244</v>
      </c>
      <c r="F3" s="40"/>
      <c r="G3" s="40"/>
      <c r="H3" s="40"/>
      <c r="I3" s="40"/>
      <c r="J3" s="41"/>
      <c r="K3" s="41"/>
      <c r="L3" s="41" t="str">
        <f>"where  CIF ="&amp;"'"&amp;'TRANG CHU'!$H$24&amp;"'"</f>
        <v>where  CIF =''</v>
      </c>
    </row>
    <row r="4" spans="1:28" ht="69.75" customHeight="1" x14ac:dyDescent="0.3">
      <c r="C4" s="39" t="s">
        <v>273</v>
      </c>
      <c r="D4" s="40" t="str">
        <f>ConTxt[SELECT]&amp;ConTxt[WHERE]&amp;ConTxt[WHERE2]&amp;ConTxt[WHERE22]&amp;ConTxt[WHERE4]&amp;ConTxt[WHERE5]&amp;ConTxt[WHERE6]&amp;ConTxt[WHERE7]</f>
        <v xml:space="preserve">select TIEU_PKKH,SUM(NII_LENDING_nam) / SUM(DUNO_BQ_nam)  AS NIM_LENDING_AVG, SUM(NII_DEPOSIT_KKH_nam) / SUM(KKH_BQ_nam)  AS NIM_CASA_AVG , SUM(NII_DEPOSIT_CKH_nam) / SUM(CKH_BQ_nam)  AS NIM_CKH_AVG,
SUM(NFI_BL_nam) / SUM(DS_BL_nam)  AS MARGIN_BL_AVG, SUM(NFI_LC_nam) / SUM(DS_LC_NK_nam + DS_LC_XK_nam)  AS MARGIN_LC_AVG, SUM(NFI_TTR_nam) / SUM(DS_TTR_NK_nam + DS_TTR_XK_nam)  AS MARGIN_TTR_AVG,
SUM(NFX_nam)/SUM(DS_FX_nam)  AS MARGIN_FX_AVG
from SME..RAW_CUS_TREE where YM = '202412' AND PKKH_KQKD = 'SME' AND KH_VAMC is null AND NHOM_NO in ('1','2')
group by TIEU_PKKH
</v>
      </c>
      <c r="E4" s="40" t="s">
        <v>287</v>
      </c>
      <c r="F4" s="40"/>
      <c r="G4" s="40"/>
      <c r="H4" s="40"/>
      <c r="I4" s="40"/>
      <c r="J4" s="41"/>
      <c r="K4" s="41"/>
      <c r="L4" s="252"/>
    </row>
    <row r="5" spans="1:28" x14ac:dyDescent="0.3">
      <c r="A5" t="str">
        <f>WindowsUser[User]</f>
        <v>trucntt</v>
      </c>
    </row>
  </sheetData>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SNS"/>
  <dimension ref="A1:E3751"/>
  <sheetViews>
    <sheetView workbookViewId="0">
      <selection activeCell="E3543" sqref="E3543:E3711"/>
    </sheetView>
  </sheetViews>
  <sheetFormatPr defaultRowHeight="14.4" x14ac:dyDescent="0.3"/>
  <cols>
    <col min="1" max="1" width="9.88671875" bestFit="1" customWidth="1"/>
    <col min="2" max="2" width="24.88671875" bestFit="1" customWidth="1"/>
    <col min="3" max="3" width="21.5546875" bestFit="1" customWidth="1"/>
    <col min="4" max="4" width="8.44140625" bestFit="1" customWidth="1"/>
    <col min="5" max="5" width="18.5546875" bestFit="1" customWidth="1"/>
    <col min="6" max="6" width="11.44140625" bestFit="1" customWidth="1"/>
  </cols>
  <sheetData>
    <row r="1" spans="1:5" x14ac:dyDescent="0.3">
      <c r="A1" t="s">
        <v>130</v>
      </c>
      <c r="B1" t="s">
        <v>131</v>
      </c>
      <c r="C1" t="s">
        <v>132</v>
      </c>
      <c r="D1" t="s">
        <v>119</v>
      </c>
      <c r="E1" t="s">
        <v>164</v>
      </c>
    </row>
    <row r="2" spans="1:5" x14ac:dyDescent="0.3">
      <c r="A2" t="s">
        <v>7516</v>
      </c>
      <c r="B2" t="s">
        <v>7517</v>
      </c>
      <c r="C2" t="s">
        <v>3906</v>
      </c>
      <c r="D2" t="s">
        <v>133</v>
      </c>
      <c r="E2" t="s">
        <v>7518</v>
      </c>
    </row>
    <row r="3" spans="1:5" x14ac:dyDescent="0.3">
      <c r="A3" t="s">
        <v>10362</v>
      </c>
      <c r="B3" t="s">
        <v>10363</v>
      </c>
      <c r="C3" t="s">
        <v>2696</v>
      </c>
      <c r="D3" t="s">
        <v>2696</v>
      </c>
      <c r="E3" t="s">
        <v>10364</v>
      </c>
    </row>
    <row r="4" spans="1:5" x14ac:dyDescent="0.3">
      <c r="A4" t="s">
        <v>10347</v>
      </c>
      <c r="B4" t="s">
        <v>10348</v>
      </c>
      <c r="C4" t="s">
        <v>2696</v>
      </c>
      <c r="D4" t="s">
        <v>2696</v>
      </c>
      <c r="E4" t="s">
        <v>10349</v>
      </c>
    </row>
    <row r="5" spans="1:5" x14ac:dyDescent="0.3">
      <c r="A5" t="s">
        <v>10371</v>
      </c>
      <c r="B5" t="s">
        <v>10372</v>
      </c>
      <c r="C5" t="s">
        <v>2696</v>
      </c>
      <c r="D5" t="s">
        <v>2696</v>
      </c>
      <c r="E5" t="s">
        <v>10373</v>
      </c>
    </row>
    <row r="6" spans="1:5" x14ac:dyDescent="0.3">
      <c r="A6" t="s">
        <v>10341</v>
      </c>
      <c r="B6" t="s">
        <v>10342</v>
      </c>
      <c r="C6" t="s">
        <v>2696</v>
      </c>
      <c r="D6" t="s">
        <v>2696</v>
      </c>
      <c r="E6" t="s">
        <v>10343</v>
      </c>
    </row>
    <row r="7" spans="1:5" x14ac:dyDescent="0.3">
      <c r="A7" t="s">
        <v>10365</v>
      </c>
      <c r="B7" t="s">
        <v>10366</v>
      </c>
      <c r="C7" t="s">
        <v>2696</v>
      </c>
      <c r="D7" t="s">
        <v>2696</v>
      </c>
      <c r="E7" t="s">
        <v>10367</v>
      </c>
    </row>
    <row r="8" spans="1:5" x14ac:dyDescent="0.3">
      <c r="A8" t="s">
        <v>10353</v>
      </c>
      <c r="B8" t="s">
        <v>10354</v>
      </c>
      <c r="C8" t="s">
        <v>2696</v>
      </c>
      <c r="D8" t="s">
        <v>2696</v>
      </c>
      <c r="E8" t="s">
        <v>10355</v>
      </c>
    </row>
    <row r="9" spans="1:5" x14ac:dyDescent="0.3">
      <c r="A9" t="s">
        <v>10377</v>
      </c>
      <c r="B9" t="s">
        <v>10378</v>
      </c>
      <c r="C9" t="s">
        <v>2696</v>
      </c>
      <c r="D9" t="s">
        <v>2696</v>
      </c>
      <c r="E9" t="s">
        <v>10379</v>
      </c>
    </row>
    <row r="10" spans="1:5" x14ac:dyDescent="0.3">
      <c r="A10" t="s">
        <v>5325</v>
      </c>
      <c r="B10" t="s">
        <v>5326</v>
      </c>
      <c r="C10" t="s">
        <v>2696</v>
      </c>
      <c r="D10" t="s">
        <v>2696</v>
      </c>
      <c r="E10" t="s">
        <v>5327</v>
      </c>
    </row>
    <row r="11" spans="1:5" x14ac:dyDescent="0.3">
      <c r="A11" t="s">
        <v>10356</v>
      </c>
      <c r="B11" t="s">
        <v>10357</v>
      </c>
      <c r="C11" t="s">
        <v>2696</v>
      </c>
      <c r="D11" t="s">
        <v>2696</v>
      </c>
      <c r="E11" t="s">
        <v>10358</v>
      </c>
    </row>
    <row r="12" spans="1:5" x14ac:dyDescent="0.3">
      <c r="A12" t="s">
        <v>10394</v>
      </c>
      <c r="B12" t="s">
        <v>10395</v>
      </c>
      <c r="C12" t="s">
        <v>2696</v>
      </c>
      <c r="D12" t="s">
        <v>2696</v>
      </c>
      <c r="E12" t="s">
        <v>10396</v>
      </c>
    </row>
    <row r="13" spans="1:5" x14ac:dyDescent="0.3">
      <c r="A13" t="s">
        <v>10417</v>
      </c>
      <c r="B13" t="s">
        <v>10418</v>
      </c>
      <c r="C13" t="s">
        <v>2696</v>
      </c>
      <c r="D13" t="s">
        <v>2696</v>
      </c>
      <c r="E13" t="s">
        <v>10419</v>
      </c>
    </row>
    <row r="14" spans="1:5" x14ac:dyDescent="0.3">
      <c r="A14" t="s">
        <v>10389</v>
      </c>
      <c r="B14" t="s">
        <v>10390</v>
      </c>
      <c r="C14" t="s">
        <v>2696</v>
      </c>
      <c r="D14" t="s">
        <v>2696</v>
      </c>
      <c r="E14" t="s">
        <v>10391</v>
      </c>
    </row>
    <row r="15" spans="1:5" x14ac:dyDescent="0.3">
      <c r="A15" t="s">
        <v>10412</v>
      </c>
      <c r="B15" t="s">
        <v>10413</v>
      </c>
      <c r="C15" t="s">
        <v>2696</v>
      </c>
      <c r="D15" t="s">
        <v>2696</v>
      </c>
      <c r="E15" t="s">
        <v>10414</v>
      </c>
    </row>
    <row r="16" spans="1:5" x14ac:dyDescent="0.3">
      <c r="A16" t="s">
        <v>10380</v>
      </c>
      <c r="B16" t="s">
        <v>10381</v>
      </c>
      <c r="C16" t="s">
        <v>2696</v>
      </c>
      <c r="D16" t="s">
        <v>2696</v>
      </c>
      <c r="E16" t="s">
        <v>10382</v>
      </c>
    </row>
    <row r="17" spans="1:5" x14ac:dyDescent="0.3">
      <c r="A17" t="s">
        <v>10403</v>
      </c>
      <c r="B17" t="s">
        <v>10404</v>
      </c>
      <c r="C17" t="s">
        <v>2696</v>
      </c>
      <c r="D17" t="s">
        <v>2696</v>
      </c>
      <c r="E17" t="s">
        <v>10405</v>
      </c>
    </row>
    <row r="18" spans="1:5" x14ac:dyDescent="0.3">
      <c r="A18" t="s">
        <v>10400</v>
      </c>
      <c r="B18" t="s">
        <v>10401</v>
      </c>
      <c r="C18" t="s">
        <v>2696</v>
      </c>
      <c r="D18" t="s">
        <v>2696</v>
      </c>
      <c r="E18" t="s">
        <v>10402</v>
      </c>
    </row>
    <row r="19" spans="1:5" x14ac:dyDescent="0.3">
      <c r="A19" t="s">
        <v>10423</v>
      </c>
      <c r="B19" t="s">
        <v>10424</v>
      </c>
      <c r="C19" t="s">
        <v>2696</v>
      </c>
      <c r="D19" t="s">
        <v>2696</v>
      </c>
      <c r="E19" t="s">
        <v>10425</v>
      </c>
    </row>
    <row r="20" spans="1:5" x14ac:dyDescent="0.3">
      <c r="A20" t="s">
        <v>10386</v>
      </c>
      <c r="B20" t="s">
        <v>10387</v>
      </c>
      <c r="C20" t="s">
        <v>2696</v>
      </c>
      <c r="D20" t="s">
        <v>2696</v>
      </c>
      <c r="E20" t="s">
        <v>10388</v>
      </c>
    </row>
    <row r="21" spans="1:5" x14ac:dyDescent="0.3">
      <c r="A21" t="s">
        <v>10441</v>
      </c>
      <c r="B21" t="s">
        <v>10442</v>
      </c>
      <c r="C21" t="s">
        <v>2696</v>
      </c>
      <c r="D21" t="s">
        <v>2696</v>
      </c>
      <c r="E21" t="s">
        <v>10443</v>
      </c>
    </row>
    <row r="22" spans="1:5" x14ac:dyDescent="0.3">
      <c r="A22" t="s">
        <v>10435</v>
      </c>
      <c r="B22" t="s">
        <v>10436</v>
      </c>
      <c r="C22" t="s">
        <v>2696</v>
      </c>
      <c r="D22" t="s">
        <v>2696</v>
      </c>
      <c r="E22" t="s">
        <v>10437</v>
      </c>
    </row>
    <row r="23" spans="1:5" x14ac:dyDescent="0.3">
      <c r="A23" t="s">
        <v>10456</v>
      </c>
      <c r="B23" t="s">
        <v>3257</v>
      </c>
      <c r="C23" t="s">
        <v>2696</v>
      </c>
      <c r="D23" t="s">
        <v>2696</v>
      </c>
      <c r="E23" t="s">
        <v>10457</v>
      </c>
    </row>
    <row r="24" spans="1:5" x14ac:dyDescent="0.3">
      <c r="A24" t="s">
        <v>10426</v>
      </c>
      <c r="B24" t="s">
        <v>10427</v>
      </c>
      <c r="C24" t="s">
        <v>2696</v>
      </c>
      <c r="D24" t="s">
        <v>2696</v>
      </c>
      <c r="E24" t="s">
        <v>10428</v>
      </c>
    </row>
    <row r="25" spans="1:5" x14ac:dyDescent="0.3">
      <c r="A25" t="s">
        <v>10449</v>
      </c>
      <c r="B25" t="s">
        <v>5323</v>
      </c>
      <c r="C25" t="s">
        <v>2696</v>
      </c>
      <c r="D25" t="s">
        <v>2696</v>
      </c>
      <c r="E25" t="s">
        <v>10450</v>
      </c>
    </row>
    <row r="26" spans="1:5" x14ac:dyDescent="0.3">
      <c r="A26" t="s">
        <v>10446</v>
      </c>
      <c r="B26" t="s">
        <v>10447</v>
      </c>
      <c r="C26" t="s">
        <v>2696</v>
      </c>
      <c r="D26" t="s">
        <v>2696</v>
      </c>
      <c r="E26" t="s">
        <v>10448</v>
      </c>
    </row>
    <row r="27" spans="1:5" x14ac:dyDescent="0.3">
      <c r="A27" t="s">
        <v>10466</v>
      </c>
      <c r="B27" t="s">
        <v>4513</v>
      </c>
      <c r="C27" t="s">
        <v>2696</v>
      </c>
      <c r="D27" t="s">
        <v>2696</v>
      </c>
      <c r="E27" t="s">
        <v>10467</v>
      </c>
    </row>
    <row r="28" spans="1:5" x14ac:dyDescent="0.3">
      <c r="A28" t="s">
        <v>10350</v>
      </c>
      <c r="B28" t="s">
        <v>10351</v>
      </c>
      <c r="C28" t="s">
        <v>2696</v>
      </c>
      <c r="D28" t="s">
        <v>2696</v>
      </c>
      <c r="E28" t="s">
        <v>10352</v>
      </c>
    </row>
    <row r="29" spans="1:5" x14ac:dyDescent="0.3">
      <c r="A29" t="s">
        <v>10374</v>
      </c>
      <c r="B29" t="s">
        <v>10375</v>
      </c>
      <c r="C29" t="s">
        <v>2696</v>
      </c>
      <c r="D29" t="s">
        <v>2696</v>
      </c>
      <c r="E29" t="s">
        <v>10376</v>
      </c>
    </row>
    <row r="30" spans="1:5" x14ac:dyDescent="0.3">
      <c r="A30" t="s">
        <v>10409</v>
      </c>
      <c r="B30" t="s">
        <v>10410</v>
      </c>
      <c r="C30" t="s">
        <v>2696</v>
      </c>
      <c r="D30" t="s">
        <v>2696</v>
      </c>
      <c r="E30" t="s">
        <v>10411</v>
      </c>
    </row>
    <row r="31" spans="1:5" x14ac:dyDescent="0.3">
      <c r="A31" t="s">
        <v>10432</v>
      </c>
      <c r="B31" t="s">
        <v>10433</v>
      </c>
      <c r="C31" t="s">
        <v>2696</v>
      </c>
      <c r="D31" t="s">
        <v>2696</v>
      </c>
      <c r="E31" t="s">
        <v>10434</v>
      </c>
    </row>
    <row r="32" spans="1:5" x14ac:dyDescent="0.3">
      <c r="A32" t="s">
        <v>10453</v>
      </c>
      <c r="B32" t="s">
        <v>10454</v>
      </c>
      <c r="C32" t="s">
        <v>2696</v>
      </c>
      <c r="D32" t="s">
        <v>2696</v>
      </c>
      <c r="E32" t="s">
        <v>10455</v>
      </c>
    </row>
    <row r="33" spans="1:5" x14ac:dyDescent="0.3">
      <c r="A33" t="s">
        <v>5254</v>
      </c>
      <c r="B33" t="s">
        <v>5255</v>
      </c>
      <c r="C33" t="s">
        <v>2696</v>
      </c>
      <c r="D33" t="s">
        <v>2696</v>
      </c>
      <c r="E33" t="s">
        <v>5256</v>
      </c>
    </row>
    <row r="34" spans="1:5" x14ac:dyDescent="0.3">
      <c r="A34" t="s">
        <v>10359</v>
      </c>
      <c r="B34" t="s">
        <v>10360</v>
      </c>
      <c r="C34" t="s">
        <v>2696</v>
      </c>
      <c r="D34" t="s">
        <v>2696</v>
      </c>
      <c r="E34" t="s">
        <v>10361</v>
      </c>
    </row>
    <row r="35" spans="1:5" x14ac:dyDescent="0.3">
      <c r="A35" t="s">
        <v>10460</v>
      </c>
      <c r="B35" t="s">
        <v>10461</v>
      </c>
      <c r="C35" t="s">
        <v>2696</v>
      </c>
      <c r="D35" t="s">
        <v>2696</v>
      </c>
      <c r="E35" t="s">
        <v>10462</v>
      </c>
    </row>
    <row r="36" spans="1:5" x14ac:dyDescent="0.3">
      <c r="A36" t="s">
        <v>10482</v>
      </c>
      <c r="B36" t="s">
        <v>10483</v>
      </c>
      <c r="C36" t="s">
        <v>2696</v>
      </c>
      <c r="D36" t="s">
        <v>2696</v>
      </c>
      <c r="E36" t="s">
        <v>10484</v>
      </c>
    </row>
    <row r="37" spans="1:5" x14ac:dyDescent="0.3">
      <c r="A37" t="s">
        <v>10477</v>
      </c>
      <c r="B37" t="s">
        <v>5513</v>
      </c>
      <c r="C37" t="s">
        <v>2696</v>
      </c>
      <c r="D37" t="s">
        <v>2696</v>
      </c>
      <c r="E37" t="s">
        <v>10478</v>
      </c>
    </row>
    <row r="38" spans="1:5" x14ac:dyDescent="0.3">
      <c r="A38" t="s">
        <v>10468</v>
      </c>
      <c r="B38" t="s">
        <v>10469</v>
      </c>
      <c r="C38" t="s">
        <v>2696</v>
      </c>
      <c r="D38" t="s">
        <v>2696</v>
      </c>
      <c r="E38" t="s">
        <v>10470</v>
      </c>
    </row>
    <row r="39" spans="1:5" x14ac:dyDescent="0.3">
      <c r="A39" t="s">
        <v>10490</v>
      </c>
      <c r="B39" t="s">
        <v>7541</v>
      </c>
      <c r="C39" t="s">
        <v>2696</v>
      </c>
      <c r="D39" t="s">
        <v>2696</v>
      </c>
      <c r="E39" t="s">
        <v>10491</v>
      </c>
    </row>
    <row r="40" spans="1:5" x14ac:dyDescent="0.3">
      <c r="A40" t="s">
        <v>10344</v>
      </c>
      <c r="B40" t="s">
        <v>10345</v>
      </c>
      <c r="C40" t="s">
        <v>2696</v>
      </c>
      <c r="D40" t="s">
        <v>2696</v>
      </c>
      <c r="E40" t="s">
        <v>10346</v>
      </c>
    </row>
    <row r="41" spans="1:5" x14ac:dyDescent="0.3">
      <c r="A41" t="s">
        <v>10368</v>
      </c>
      <c r="B41" t="s">
        <v>10369</v>
      </c>
      <c r="C41" t="s">
        <v>2696</v>
      </c>
      <c r="D41" t="s">
        <v>2696</v>
      </c>
      <c r="E41" t="s">
        <v>10370</v>
      </c>
    </row>
    <row r="42" spans="1:5" x14ac:dyDescent="0.3">
      <c r="A42" t="s">
        <v>10498</v>
      </c>
      <c r="B42" t="s">
        <v>10499</v>
      </c>
      <c r="C42" t="s">
        <v>2696</v>
      </c>
      <c r="D42" t="s">
        <v>2696</v>
      </c>
      <c r="E42" t="s">
        <v>10500</v>
      </c>
    </row>
    <row r="43" spans="1:5" x14ac:dyDescent="0.3">
      <c r="A43" t="s">
        <v>10519</v>
      </c>
      <c r="B43" t="s">
        <v>5740</v>
      </c>
      <c r="C43" t="s">
        <v>2696</v>
      </c>
      <c r="D43" t="s">
        <v>2696</v>
      </c>
      <c r="E43" t="s">
        <v>10520</v>
      </c>
    </row>
    <row r="44" spans="1:5" x14ac:dyDescent="0.3">
      <c r="A44" t="s">
        <v>10474</v>
      </c>
      <c r="B44" t="s">
        <v>10475</v>
      </c>
      <c r="C44" t="s">
        <v>2696</v>
      </c>
      <c r="D44" t="s">
        <v>2696</v>
      </c>
      <c r="E44" t="s">
        <v>10476</v>
      </c>
    </row>
    <row r="45" spans="1:5" x14ac:dyDescent="0.3">
      <c r="A45" t="s">
        <v>10504</v>
      </c>
      <c r="B45" t="s">
        <v>10505</v>
      </c>
      <c r="C45" t="s">
        <v>2696</v>
      </c>
      <c r="D45" t="s">
        <v>2696</v>
      </c>
      <c r="E45" t="s">
        <v>10506</v>
      </c>
    </row>
    <row r="46" spans="1:5" x14ac:dyDescent="0.3">
      <c r="A46" t="s">
        <v>10524</v>
      </c>
      <c r="B46" t="s">
        <v>10525</v>
      </c>
      <c r="C46" t="s">
        <v>2696</v>
      </c>
      <c r="D46" t="s">
        <v>2696</v>
      </c>
      <c r="E46" t="s">
        <v>10526</v>
      </c>
    </row>
    <row r="47" spans="1:5" x14ac:dyDescent="0.3">
      <c r="A47" t="s">
        <v>10540</v>
      </c>
      <c r="B47" t="s">
        <v>1772</v>
      </c>
      <c r="C47" t="s">
        <v>2696</v>
      </c>
      <c r="D47" t="s">
        <v>2696</v>
      </c>
      <c r="E47" t="s">
        <v>10541</v>
      </c>
    </row>
    <row r="48" spans="1:5" x14ac:dyDescent="0.3">
      <c r="A48" t="s">
        <v>10562</v>
      </c>
      <c r="B48" t="s">
        <v>1545</v>
      </c>
      <c r="C48" t="s">
        <v>2696</v>
      </c>
      <c r="D48" t="s">
        <v>2696</v>
      </c>
      <c r="E48" t="s">
        <v>10563</v>
      </c>
    </row>
    <row r="49" spans="1:5" x14ac:dyDescent="0.3">
      <c r="A49" t="s">
        <v>10397</v>
      </c>
      <c r="B49" t="s">
        <v>10398</v>
      </c>
      <c r="C49" t="s">
        <v>2696</v>
      </c>
      <c r="D49" t="s">
        <v>2696</v>
      </c>
      <c r="E49" t="s">
        <v>10399</v>
      </c>
    </row>
    <row r="50" spans="1:5" x14ac:dyDescent="0.3">
      <c r="A50" t="s">
        <v>10512</v>
      </c>
      <c r="B50" t="s">
        <v>3726</v>
      </c>
      <c r="C50" t="s">
        <v>2696</v>
      </c>
      <c r="D50" t="s">
        <v>2696</v>
      </c>
      <c r="E50" t="s">
        <v>10513</v>
      </c>
    </row>
    <row r="51" spans="1:5" x14ac:dyDescent="0.3">
      <c r="A51" t="s">
        <v>10488</v>
      </c>
      <c r="B51" t="s">
        <v>9841</v>
      </c>
      <c r="C51" t="s">
        <v>2696</v>
      </c>
      <c r="D51" t="s">
        <v>2696</v>
      </c>
      <c r="E51" t="s">
        <v>10489</v>
      </c>
    </row>
    <row r="52" spans="1:5" x14ac:dyDescent="0.3">
      <c r="A52" t="s">
        <v>10510</v>
      </c>
      <c r="B52" t="s">
        <v>4091</v>
      </c>
      <c r="C52" t="s">
        <v>2696</v>
      </c>
      <c r="D52" t="s">
        <v>2696</v>
      </c>
      <c r="E52" t="s">
        <v>10511</v>
      </c>
    </row>
    <row r="53" spans="1:5" x14ac:dyDescent="0.3">
      <c r="A53" t="s">
        <v>10392</v>
      </c>
      <c r="B53" t="s">
        <v>1772</v>
      </c>
      <c r="C53" t="s">
        <v>2696</v>
      </c>
      <c r="D53" t="s">
        <v>2696</v>
      </c>
      <c r="E53" t="s">
        <v>10393</v>
      </c>
    </row>
    <row r="54" spans="1:5" x14ac:dyDescent="0.3">
      <c r="A54" t="s">
        <v>10582</v>
      </c>
      <c r="B54" t="s">
        <v>10583</v>
      </c>
      <c r="C54" t="s">
        <v>2696</v>
      </c>
      <c r="D54" t="s">
        <v>2696</v>
      </c>
      <c r="E54" t="s">
        <v>10584</v>
      </c>
    </row>
    <row r="55" spans="1:5" x14ac:dyDescent="0.3">
      <c r="A55" t="s">
        <v>10604</v>
      </c>
      <c r="B55" t="s">
        <v>10605</v>
      </c>
      <c r="C55" t="s">
        <v>2696</v>
      </c>
      <c r="D55" t="s">
        <v>2696</v>
      </c>
      <c r="E55" t="s">
        <v>10606</v>
      </c>
    </row>
    <row r="56" spans="1:5" x14ac:dyDescent="0.3">
      <c r="A56" t="s">
        <v>10495</v>
      </c>
      <c r="B56" t="s">
        <v>10496</v>
      </c>
      <c r="C56" t="s">
        <v>2696</v>
      </c>
      <c r="D56" t="s">
        <v>2696</v>
      </c>
      <c r="E56" t="s">
        <v>10497</v>
      </c>
    </row>
    <row r="57" spans="1:5" x14ac:dyDescent="0.3">
      <c r="A57" t="s">
        <v>10517</v>
      </c>
      <c r="B57" t="s">
        <v>9720</v>
      </c>
      <c r="C57" t="s">
        <v>2696</v>
      </c>
      <c r="D57" t="s">
        <v>2696</v>
      </c>
      <c r="E57" t="s">
        <v>10518</v>
      </c>
    </row>
    <row r="58" spans="1:5" x14ac:dyDescent="0.3">
      <c r="A58" t="s">
        <v>10545</v>
      </c>
      <c r="B58" t="s">
        <v>10546</v>
      </c>
      <c r="C58" t="s">
        <v>2696</v>
      </c>
      <c r="D58" t="s">
        <v>2696</v>
      </c>
      <c r="E58" t="s">
        <v>10547</v>
      </c>
    </row>
    <row r="59" spans="1:5" x14ac:dyDescent="0.3">
      <c r="A59" t="s">
        <v>10566</v>
      </c>
      <c r="B59" t="s">
        <v>2046</v>
      </c>
      <c r="C59" t="s">
        <v>2696</v>
      </c>
      <c r="D59" t="s">
        <v>2696</v>
      </c>
      <c r="E59" t="s">
        <v>10567</v>
      </c>
    </row>
    <row r="60" spans="1:5" x14ac:dyDescent="0.3">
      <c r="A60" t="s">
        <v>10530</v>
      </c>
      <c r="B60" t="s">
        <v>3510</v>
      </c>
      <c r="C60" t="s">
        <v>2696</v>
      </c>
      <c r="D60" t="s">
        <v>2696</v>
      </c>
      <c r="E60" t="s">
        <v>10531</v>
      </c>
    </row>
    <row r="61" spans="1:5" x14ac:dyDescent="0.3">
      <c r="A61" t="s">
        <v>10537</v>
      </c>
      <c r="B61" t="s">
        <v>10538</v>
      </c>
      <c r="C61" t="s">
        <v>2696</v>
      </c>
      <c r="D61" t="s">
        <v>2696</v>
      </c>
      <c r="E61" t="s">
        <v>10539</v>
      </c>
    </row>
    <row r="62" spans="1:5" x14ac:dyDescent="0.3">
      <c r="A62" t="s">
        <v>10559</v>
      </c>
      <c r="B62" t="s">
        <v>10560</v>
      </c>
      <c r="C62" t="s">
        <v>2696</v>
      </c>
      <c r="D62" t="s">
        <v>2696</v>
      </c>
      <c r="E62" t="s">
        <v>10561</v>
      </c>
    </row>
    <row r="63" spans="1:5" x14ac:dyDescent="0.3">
      <c r="A63" t="s">
        <v>10415</v>
      </c>
      <c r="B63" t="s">
        <v>5133</v>
      </c>
      <c r="C63" t="s">
        <v>2696</v>
      </c>
      <c r="D63" t="s">
        <v>2696</v>
      </c>
      <c r="E63" t="s">
        <v>10416</v>
      </c>
    </row>
    <row r="64" spans="1:5" x14ac:dyDescent="0.3">
      <c r="A64" t="s">
        <v>10438</v>
      </c>
      <c r="B64" t="s">
        <v>10439</v>
      </c>
      <c r="C64" t="s">
        <v>2696</v>
      </c>
      <c r="D64" t="s">
        <v>2696</v>
      </c>
      <c r="E64" t="s">
        <v>10440</v>
      </c>
    </row>
    <row r="65" spans="1:5" x14ac:dyDescent="0.3">
      <c r="A65" t="s">
        <v>10588</v>
      </c>
      <c r="B65" t="s">
        <v>10589</v>
      </c>
      <c r="C65" t="s">
        <v>2696</v>
      </c>
      <c r="D65" t="s">
        <v>2696</v>
      </c>
      <c r="E65" t="s">
        <v>10590</v>
      </c>
    </row>
    <row r="66" spans="1:5" x14ac:dyDescent="0.3">
      <c r="A66" t="s">
        <v>10610</v>
      </c>
      <c r="B66" t="s">
        <v>10611</v>
      </c>
      <c r="C66" t="s">
        <v>2696</v>
      </c>
      <c r="D66" t="s">
        <v>2696</v>
      </c>
      <c r="E66" t="s">
        <v>10612</v>
      </c>
    </row>
    <row r="67" spans="1:5" x14ac:dyDescent="0.3">
      <c r="A67" t="s">
        <v>10550</v>
      </c>
      <c r="B67" t="s">
        <v>10551</v>
      </c>
      <c r="C67" t="s">
        <v>2696</v>
      </c>
      <c r="D67" t="s">
        <v>2696</v>
      </c>
      <c r="E67" t="s">
        <v>10552</v>
      </c>
    </row>
    <row r="68" spans="1:5" x14ac:dyDescent="0.3">
      <c r="A68" t="s">
        <v>10571</v>
      </c>
      <c r="B68" t="s">
        <v>10572</v>
      </c>
      <c r="C68" t="s">
        <v>2696</v>
      </c>
      <c r="D68" t="s">
        <v>2696</v>
      </c>
      <c r="E68" t="s">
        <v>10573</v>
      </c>
    </row>
    <row r="69" spans="1:5" x14ac:dyDescent="0.3">
      <c r="A69" t="s">
        <v>10579</v>
      </c>
      <c r="B69" t="s">
        <v>10580</v>
      </c>
      <c r="C69" t="s">
        <v>2696</v>
      </c>
      <c r="D69" t="s">
        <v>2696</v>
      </c>
      <c r="E69" t="s">
        <v>10581</v>
      </c>
    </row>
    <row r="70" spans="1:5" x14ac:dyDescent="0.3">
      <c r="A70" t="s">
        <v>10601</v>
      </c>
      <c r="B70" t="s">
        <v>10602</v>
      </c>
      <c r="C70" t="s">
        <v>2696</v>
      </c>
      <c r="D70" t="s">
        <v>2696</v>
      </c>
      <c r="E70" t="s">
        <v>10603</v>
      </c>
    </row>
    <row r="71" spans="1:5" x14ac:dyDescent="0.3">
      <c r="A71" t="s">
        <v>10532</v>
      </c>
      <c r="B71" t="s">
        <v>9972</v>
      </c>
      <c r="C71" t="s">
        <v>2696</v>
      </c>
      <c r="D71" t="s">
        <v>2696</v>
      </c>
      <c r="E71" t="s">
        <v>10533</v>
      </c>
    </row>
    <row r="72" spans="1:5" x14ac:dyDescent="0.3">
      <c r="A72" t="s">
        <v>10553</v>
      </c>
      <c r="B72" t="s">
        <v>10554</v>
      </c>
      <c r="C72" t="s">
        <v>2696</v>
      </c>
      <c r="D72" t="s">
        <v>2696</v>
      </c>
      <c r="E72" t="s">
        <v>10555</v>
      </c>
    </row>
    <row r="73" spans="1:5" x14ac:dyDescent="0.3">
      <c r="A73" t="s">
        <v>10458</v>
      </c>
      <c r="B73" t="s">
        <v>1325</v>
      </c>
      <c r="C73" t="s">
        <v>2696</v>
      </c>
      <c r="D73" t="s">
        <v>2696</v>
      </c>
      <c r="E73" t="s">
        <v>10459</v>
      </c>
    </row>
    <row r="74" spans="1:5" x14ac:dyDescent="0.3">
      <c r="A74" t="s">
        <v>10479</v>
      </c>
      <c r="B74" t="s">
        <v>10480</v>
      </c>
      <c r="C74" t="s">
        <v>2696</v>
      </c>
      <c r="D74" t="s">
        <v>2696</v>
      </c>
      <c r="E74" t="s">
        <v>10481</v>
      </c>
    </row>
    <row r="75" spans="1:5" x14ac:dyDescent="0.3">
      <c r="A75" t="s">
        <v>10594</v>
      </c>
      <c r="B75" t="s">
        <v>3233</v>
      </c>
      <c r="C75" t="s">
        <v>2696</v>
      </c>
      <c r="D75" t="s">
        <v>2696</v>
      </c>
      <c r="E75" t="s">
        <v>10595</v>
      </c>
    </row>
    <row r="76" spans="1:5" x14ac:dyDescent="0.3">
      <c r="A76" t="s">
        <v>10616</v>
      </c>
      <c r="B76" t="s">
        <v>10617</v>
      </c>
      <c r="C76" t="s">
        <v>2696</v>
      </c>
      <c r="D76" t="s">
        <v>2696</v>
      </c>
      <c r="E76" t="s">
        <v>10618</v>
      </c>
    </row>
    <row r="77" spans="1:5" x14ac:dyDescent="0.3">
      <c r="A77" t="s">
        <v>10625</v>
      </c>
      <c r="B77" t="s">
        <v>2898</v>
      </c>
      <c r="C77" t="s">
        <v>2696</v>
      </c>
      <c r="D77" t="s">
        <v>2696</v>
      </c>
      <c r="E77" t="s">
        <v>10626</v>
      </c>
    </row>
    <row r="78" spans="1:5" x14ac:dyDescent="0.3">
      <c r="A78" t="s">
        <v>10648</v>
      </c>
      <c r="B78" t="s">
        <v>10649</v>
      </c>
      <c r="C78" t="s">
        <v>2696</v>
      </c>
      <c r="D78" t="s">
        <v>2696</v>
      </c>
      <c r="E78" t="s">
        <v>10650</v>
      </c>
    </row>
    <row r="79" spans="1:5" x14ac:dyDescent="0.3">
      <c r="A79" t="s">
        <v>10627</v>
      </c>
      <c r="B79" t="s">
        <v>10628</v>
      </c>
      <c r="C79" t="s">
        <v>2696</v>
      </c>
      <c r="D79" t="s">
        <v>2696</v>
      </c>
      <c r="E79" t="s">
        <v>10629</v>
      </c>
    </row>
    <row r="80" spans="1:5" x14ac:dyDescent="0.3">
      <c r="A80" t="s">
        <v>10651</v>
      </c>
      <c r="B80" t="s">
        <v>10652</v>
      </c>
      <c r="C80" t="s">
        <v>2696</v>
      </c>
      <c r="D80" t="s">
        <v>2696</v>
      </c>
      <c r="E80" t="s">
        <v>10653</v>
      </c>
    </row>
    <row r="81" spans="1:5" x14ac:dyDescent="0.3">
      <c r="A81" t="s">
        <v>10501</v>
      </c>
      <c r="B81" t="s">
        <v>10502</v>
      </c>
      <c r="C81" t="s">
        <v>2696</v>
      </c>
      <c r="D81" t="s">
        <v>2696</v>
      </c>
      <c r="E81" t="s">
        <v>10503</v>
      </c>
    </row>
    <row r="82" spans="1:5" x14ac:dyDescent="0.3">
      <c r="A82" t="s">
        <v>10521</v>
      </c>
      <c r="B82" t="s">
        <v>10522</v>
      </c>
      <c r="C82" t="s">
        <v>2696</v>
      </c>
      <c r="D82" t="s">
        <v>2696</v>
      </c>
      <c r="E82" t="s">
        <v>10523</v>
      </c>
    </row>
    <row r="83" spans="1:5" x14ac:dyDescent="0.3">
      <c r="A83" t="s">
        <v>10639</v>
      </c>
      <c r="B83" t="s">
        <v>10640</v>
      </c>
      <c r="C83" t="s">
        <v>2696</v>
      </c>
      <c r="D83" t="s">
        <v>2696</v>
      </c>
      <c r="E83" t="s">
        <v>10641</v>
      </c>
    </row>
    <row r="84" spans="1:5" x14ac:dyDescent="0.3">
      <c r="A84" t="s">
        <v>10663</v>
      </c>
      <c r="B84" t="s">
        <v>10664</v>
      </c>
      <c r="C84" t="s">
        <v>2696</v>
      </c>
      <c r="D84" t="s">
        <v>2696</v>
      </c>
      <c r="E84" t="s">
        <v>10665</v>
      </c>
    </row>
    <row r="85" spans="1:5" x14ac:dyDescent="0.3">
      <c r="A85" t="s">
        <v>10633</v>
      </c>
      <c r="B85" t="s">
        <v>10634</v>
      </c>
      <c r="C85" t="s">
        <v>2696</v>
      </c>
      <c r="D85" t="s">
        <v>2696</v>
      </c>
      <c r="E85" t="s">
        <v>10635</v>
      </c>
    </row>
    <row r="86" spans="1:5" x14ac:dyDescent="0.3">
      <c r="A86" t="s">
        <v>10657</v>
      </c>
      <c r="B86" t="s">
        <v>10658</v>
      </c>
      <c r="C86" t="s">
        <v>2696</v>
      </c>
      <c r="D86" t="s">
        <v>2696</v>
      </c>
      <c r="E86" t="s">
        <v>10659</v>
      </c>
    </row>
    <row r="87" spans="1:5" x14ac:dyDescent="0.3">
      <c r="A87" t="s">
        <v>10574</v>
      </c>
      <c r="B87" t="s">
        <v>10424</v>
      </c>
      <c r="C87" t="s">
        <v>2696</v>
      </c>
      <c r="D87" t="s">
        <v>2696</v>
      </c>
      <c r="E87" t="s">
        <v>10575</v>
      </c>
    </row>
    <row r="88" spans="1:5" x14ac:dyDescent="0.3">
      <c r="A88" t="s">
        <v>10596</v>
      </c>
      <c r="B88" t="s">
        <v>10597</v>
      </c>
      <c r="C88" t="s">
        <v>2696</v>
      </c>
      <c r="D88" t="s">
        <v>2696</v>
      </c>
      <c r="E88" t="s">
        <v>10598</v>
      </c>
    </row>
    <row r="89" spans="1:5" x14ac:dyDescent="0.3">
      <c r="A89" t="s">
        <v>10675</v>
      </c>
      <c r="B89" t="s">
        <v>10676</v>
      </c>
      <c r="C89" t="s">
        <v>2696</v>
      </c>
      <c r="D89" t="s">
        <v>2696</v>
      </c>
      <c r="E89" t="s">
        <v>10677</v>
      </c>
    </row>
    <row r="90" spans="1:5" x14ac:dyDescent="0.3">
      <c r="A90" t="s">
        <v>10698</v>
      </c>
      <c r="B90" t="s">
        <v>10699</v>
      </c>
      <c r="C90" t="s">
        <v>2696</v>
      </c>
      <c r="D90" t="s">
        <v>2696</v>
      </c>
      <c r="E90" t="s">
        <v>10700</v>
      </c>
    </row>
    <row r="91" spans="1:5" x14ac:dyDescent="0.3">
      <c r="A91" t="s">
        <v>10686</v>
      </c>
      <c r="B91" t="s">
        <v>10687</v>
      </c>
      <c r="C91" t="s">
        <v>2696</v>
      </c>
      <c r="D91" t="s">
        <v>2696</v>
      </c>
      <c r="E91" t="s">
        <v>10688</v>
      </c>
    </row>
    <row r="92" spans="1:5" x14ac:dyDescent="0.3">
      <c r="A92" t="s">
        <v>10710</v>
      </c>
      <c r="B92" t="s">
        <v>8773</v>
      </c>
      <c r="C92" t="s">
        <v>2696</v>
      </c>
      <c r="D92" t="s">
        <v>2696</v>
      </c>
      <c r="E92" t="s">
        <v>10711</v>
      </c>
    </row>
    <row r="93" spans="1:5" x14ac:dyDescent="0.3">
      <c r="A93" t="s">
        <v>10542</v>
      </c>
      <c r="B93" t="s">
        <v>10543</v>
      </c>
      <c r="C93" t="s">
        <v>2696</v>
      </c>
      <c r="D93" t="s">
        <v>2696</v>
      </c>
      <c r="E93" t="s">
        <v>10544</v>
      </c>
    </row>
    <row r="94" spans="1:5" x14ac:dyDescent="0.3">
      <c r="A94" t="s">
        <v>10564</v>
      </c>
      <c r="B94" t="s">
        <v>10039</v>
      </c>
      <c r="C94" t="s">
        <v>2696</v>
      </c>
      <c r="D94" t="s">
        <v>2696</v>
      </c>
      <c r="E94" t="s">
        <v>10565</v>
      </c>
    </row>
    <row r="95" spans="1:5" x14ac:dyDescent="0.3">
      <c r="A95" t="s">
        <v>10383</v>
      </c>
      <c r="B95" t="s">
        <v>10384</v>
      </c>
      <c r="C95" t="s">
        <v>2696</v>
      </c>
      <c r="D95" t="s">
        <v>2696</v>
      </c>
      <c r="E95" t="s">
        <v>10385</v>
      </c>
    </row>
    <row r="96" spans="1:5" x14ac:dyDescent="0.3">
      <c r="A96" t="s">
        <v>10406</v>
      </c>
      <c r="B96" t="s">
        <v>10407</v>
      </c>
      <c r="C96" t="s">
        <v>2696</v>
      </c>
      <c r="D96" t="s">
        <v>2696</v>
      </c>
      <c r="E96" t="s">
        <v>10408</v>
      </c>
    </row>
    <row r="97" spans="1:5" x14ac:dyDescent="0.3">
      <c r="A97" t="s">
        <v>10720</v>
      </c>
      <c r="B97" t="s">
        <v>10721</v>
      </c>
      <c r="C97" t="s">
        <v>2696</v>
      </c>
      <c r="D97" t="s">
        <v>2696</v>
      </c>
      <c r="E97" t="s">
        <v>10722</v>
      </c>
    </row>
    <row r="98" spans="1:5" x14ac:dyDescent="0.3">
      <c r="A98" t="s">
        <v>10743</v>
      </c>
      <c r="B98" t="s">
        <v>10744</v>
      </c>
      <c r="C98" t="s">
        <v>2696</v>
      </c>
      <c r="D98" t="s">
        <v>2696</v>
      </c>
      <c r="E98" t="s">
        <v>10745</v>
      </c>
    </row>
    <row r="99" spans="1:5" x14ac:dyDescent="0.3">
      <c r="A99" t="s">
        <v>10619</v>
      </c>
      <c r="B99" t="s">
        <v>10620</v>
      </c>
      <c r="C99" t="s">
        <v>2696</v>
      </c>
      <c r="D99" t="s">
        <v>2696</v>
      </c>
      <c r="E99" t="s">
        <v>10621</v>
      </c>
    </row>
    <row r="100" spans="1:5" x14ac:dyDescent="0.3">
      <c r="A100" t="s">
        <v>10642</v>
      </c>
      <c r="B100" t="s">
        <v>10643</v>
      </c>
      <c r="C100" t="s">
        <v>2696</v>
      </c>
      <c r="D100" t="s">
        <v>2696</v>
      </c>
      <c r="E100" t="s">
        <v>10644</v>
      </c>
    </row>
    <row r="101" spans="1:5" x14ac:dyDescent="0.3">
      <c r="A101" t="s">
        <v>10672</v>
      </c>
      <c r="B101" t="s">
        <v>10673</v>
      </c>
      <c r="C101" t="s">
        <v>2696</v>
      </c>
      <c r="D101" t="s">
        <v>2696</v>
      </c>
      <c r="E101" t="s">
        <v>10674</v>
      </c>
    </row>
    <row r="102" spans="1:5" x14ac:dyDescent="0.3">
      <c r="A102" t="s">
        <v>10695</v>
      </c>
      <c r="B102" t="s">
        <v>10696</v>
      </c>
      <c r="C102" t="s">
        <v>2696</v>
      </c>
      <c r="D102" t="s">
        <v>2696</v>
      </c>
      <c r="E102" t="s">
        <v>10697</v>
      </c>
    </row>
    <row r="103" spans="1:5" x14ac:dyDescent="0.3">
      <c r="A103" t="s">
        <v>10585</v>
      </c>
      <c r="B103" t="s">
        <v>10586</v>
      </c>
      <c r="C103" t="s">
        <v>2696</v>
      </c>
      <c r="D103" t="s">
        <v>2696</v>
      </c>
      <c r="E103" t="s">
        <v>10587</v>
      </c>
    </row>
    <row r="104" spans="1:5" x14ac:dyDescent="0.3">
      <c r="A104" t="s">
        <v>10607</v>
      </c>
      <c r="B104" t="s">
        <v>10608</v>
      </c>
      <c r="C104" t="s">
        <v>2696</v>
      </c>
      <c r="D104" t="s">
        <v>2696</v>
      </c>
      <c r="E104" t="s">
        <v>10609</v>
      </c>
    </row>
    <row r="105" spans="1:5" x14ac:dyDescent="0.3">
      <c r="A105" t="s">
        <v>10767</v>
      </c>
      <c r="B105" t="s">
        <v>10768</v>
      </c>
      <c r="C105" t="s">
        <v>2696</v>
      </c>
      <c r="D105" t="s">
        <v>2696</v>
      </c>
      <c r="E105" t="s">
        <v>10769</v>
      </c>
    </row>
    <row r="106" spans="1:5" x14ac:dyDescent="0.3">
      <c r="A106" t="s">
        <v>10791</v>
      </c>
      <c r="B106" t="s">
        <v>10792</v>
      </c>
      <c r="C106" t="s">
        <v>2696</v>
      </c>
      <c r="D106" t="s">
        <v>2696</v>
      </c>
      <c r="E106" t="s">
        <v>10793</v>
      </c>
    </row>
    <row r="107" spans="1:5" x14ac:dyDescent="0.3">
      <c r="A107" t="s">
        <v>10420</v>
      </c>
      <c r="B107" t="s">
        <v>10421</v>
      </c>
      <c r="C107" t="s">
        <v>2696</v>
      </c>
      <c r="D107" t="s">
        <v>2696</v>
      </c>
      <c r="E107" t="s">
        <v>10422</v>
      </c>
    </row>
    <row r="108" spans="1:5" x14ac:dyDescent="0.3">
      <c r="A108" t="s">
        <v>10444</v>
      </c>
      <c r="B108" t="s">
        <v>3868</v>
      </c>
      <c r="C108" t="s">
        <v>2696</v>
      </c>
      <c r="D108" t="s">
        <v>2696</v>
      </c>
      <c r="E108" t="s">
        <v>10445</v>
      </c>
    </row>
    <row r="109" spans="1:5" x14ac:dyDescent="0.3">
      <c r="A109" t="s">
        <v>10732</v>
      </c>
      <c r="B109" t="s">
        <v>7449</v>
      </c>
      <c r="C109" t="s">
        <v>2696</v>
      </c>
      <c r="D109" t="s">
        <v>2696</v>
      </c>
      <c r="E109" t="s">
        <v>10733</v>
      </c>
    </row>
    <row r="110" spans="1:5" x14ac:dyDescent="0.3">
      <c r="A110" t="s">
        <v>10755</v>
      </c>
      <c r="B110" t="s">
        <v>10756</v>
      </c>
      <c r="C110" t="s">
        <v>2696</v>
      </c>
      <c r="D110" t="s">
        <v>2696</v>
      </c>
      <c r="E110" t="s">
        <v>10757</v>
      </c>
    </row>
    <row r="111" spans="1:5" x14ac:dyDescent="0.3">
      <c r="A111" t="s">
        <v>10717</v>
      </c>
      <c r="B111" t="s">
        <v>10718</v>
      </c>
      <c r="C111" t="s">
        <v>2696</v>
      </c>
      <c r="D111" t="s">
        <v>2696</v>
      </c>
      <c r="E111" t="s">
        <v>10719</v>
      </c>
    </row>
    <row r="112" spans="1:5" x14ac:dyDescent="0.3">
      <c r="A112" t="s">
        <v>10740</v>
      </c>
      <c r="B112" t="s">
        <v>10741</v>
      </c>
      <c r="C112" t="s">
        <v>2696</v>
      </c>
      <c r="D112" t="s">
        <v>2696</v>
      </c>
      <c r="E112" t="s">
        <v>10742</v>
      </c>
    </row>
    <row r="113" spans="1:5" x14ac:dyDescent="0.3">
      <c r="A113" t="s">
        <v>10630</v>
      </c>
      <c r="B113" t="s">
        <v>10631</v>
      </c>
      <c r="C113" t="s">
        <v>2696</v>
      </c>
      <c r="D113" t="s">
        <v>2696</v>
      </c>
      <c r="E113" t="s">
        <v>10632</v>
      </c>
    </row>
    <row r="114" spans="1:5" x14ac:dyDescent="0.3">
      <c r="A114" t="s">
        <v>10654</v>
      </c>
      <c r="B114" t="s">
        <v>10655</v>
      </c>
      <c r="C114" t="s">
        <v>2696</v>
      </c>
      <c r="D114" t="s">
        <v>2696</v>
      </c>
      <c r="E114" t="s">
        <v>10656</v>
      </c>
    </row>
    <row r="115" spans="1:5" x14ac:dyDescent="0.3">
      <c r="A115" t="s">
        <v>10815</v>
      </c>
      <c r="B115" t="s">
        <v>10816</v>
      </c>
      <c r="C115" t="s">
        <v>2696</v>
      </c>
      <c r="D115" t="s">
        <v>2696</v>
      </c>
      <c r="E115" t="s">
        <v>10817</v>
      </c>
    </row>
    <row r="116" spans="1:5" x14ac:dyDescent="0.3">
      <c r="A116" t="s">
        <v>10838</v>
      </c>
      <c r="B116" t="s">
        <v>10839</v>
      </c>
      <c r="C116" t="s">
        <v>2696</v>
      </c>
      <c r="D116" t="s">
        <v>2696</v>
      </c>
      <c r="E116" t="s">
        <v>10840</v>
      </c>
    </row>
    <row r="117" spans="1:5" x14ac:dyDescent="0.3">
      <c r="A117" t="s">
        <v>10779</v>
      </c>
      <c r="B117" t="s">
        <v>10780</v>
      </c>
      <c r="C117" t="s">
        <v>2696</v>
      </c>
      <c r="D117" t="s">
        <v>2696</v>
      </c>
      <c r="E117" t="s">
        <v>10781</v>
      </c>
    </row>
    <row r="118" spans="1:5" x14ac:dyDescent="0.3">
      <c r="A118" t="s">
        <v>10803</v>
      </c>
      <c r="B118" t="s">
        <v>10804</v>
      </c>
      <c r="C118" t="s">
        <v>2696</v>
      </c>
      <c r="D118" t="s">
        <v>2696</v>
      </c>
      <c r="E118" t="s">
        <v>10805</v>
      </c>
    </row>
    <row r="119" spans="1:5" x14ac:dyDescent="0.3">
      <c r="A119" t="s">
        <v>10764</v>
      </c>
      <c r="B119" t="s">
        <v>10765</v>
      </c>
      <c r="C119" t="s">
        <v>2696</v>
      </c>
      <c r="D119" t="s">
        <v>2696</v>
      </c>
      <c r="E119" t="s">
        <v>10766</v>
      </c>
    </row>
    <row r="120" spans="1:5" x14ac:dyDescent="0.3">
      <c r="A120" t="s">
        <v>10788</v>
      </c>
      <c r="B120" t="s">
        <v>10789</v>
      </c>
      <c r="C120" t="s">
        <v>2696</v>
      </c>
      <c r="D120" t="s">
        <v>2696</v>
      </c>
      <c r="E120" t="s">
        <v>10790</v>
      </c>
    </row>
    <row r="121" spans="1:5" x14ac:dyDescent="0.3">
      <c r="A121" t="s">
        <v>10678</v>
      </c>
      <c r="B121" t="s">
        <v>10679</v>
      </c>
      <c r="C121" t="s">
        <v>2696</v>
      </c>
      <c r="D121" t="s">
        <v>2696</v>
      </c>
      <c r="E121" t="s">
        <v>10680</v>
      </c>
    </row>
    <row r="122" spans="1:5" x14ac:dyDescent="0.3">
      <c r="A122" t="s">
        <v>10701</v>
      </c>
      <c r="B122" t="s">
        <v>10702</v>
      </c>
      <c r="C122" t="s">
        <v>2696</v>
      </c>
      <c r="D122" t="s">
        <v>2696</v>
      </c>
      <c r="E122" t="s">
        <v>10703</v>
      </c>
    </row>
    <row r="123" spans="1:5" x14ac:dyDescent="0.3">
      <c r="A123" t="s">
        <v>10429</v>
      </c>
      <c r="B123" t="s">
        <v>10430</v>
      </c>
      <c r="C123" t="s">
        <v>2696</v>
      </c>
      <c r="D123" t="s">
        <v>2696</v>
      </c>
      <c r="E123" t="s">
        <v>10431</v>
      </c>
    </row>
    <row r="124" spans="1:5" x14ac:dyDescent="0.3">
      <c r="A124" t="s">
        <v>10451</v>
      </c>
      <c r="B124" t="s">
        <v>7199</v>
      </c>
      <c r="C124" t="s">
        <v>2696</v>
      </c>
      <c r="D124" t="s">
        <v>2696</v>
      </c>
      <c r="E124" t="s">
        <v>10452</v>
      </c>
    </row>
    <row r="125" spans="1:5" x14ac:dyDescent="0.3">
      <c r="A125" t="s">
        <v>10826</v>
      </c>
      <c r="B125" t="s">
        <v>10827</v>
      </c>
      <c r="C125" t="s">
        <v>2696</v>
      </c>
      <c r="D125" t="s">
        <v>2696</v>
      </c>
      <c r="E125" t="s">
        <v>10828</v>
      </c>
    </row>
    <row r="126" spans="1:5" x14ac:dyDescent="0.3">
      <c r="A126" t="s">
        <v>10849</v>
      </c>
      <c r="B126" t="s">
        <v>10850</v>
      </c>
      <c r="C126" t="s">
        <v>2696</v>
      </c>
      <c r="D126" t="s">
        <v>2696</v>
      </c>
      <c r="E126" t="s">
        <v>10851</v>
      </c>
    </row>
    <row r="127" spans="1:5" x14ac:dyDescent="0.3">
      <c r="A127" t="s">
        <v>10812</v>
      </c>
      <c r="B127" t="s">
        <v>10813</v>
      </c>
      <c r="C127" t="s">
        <v>2696</v>
      </c>
      <c r="D127" t="s">
        <v>2696</v>
      </c>
      <c r="E127" t="s">
        <v>10814</v>
      </c>
    </row>
    <row r="128" spans="1:5" x14ac:dyDescent="0.3">
      <c r="A128" t="s">
        <v>10835</v>
      </c>
      <c r="B128" t="s">
        <v>10836</v>
      </c>
      <c r="C128" t="s">
        <v>2696</v>
      </c>
      <c r="D128" t="s">
        <v>2696</v>
      </c>
      <c r="E128" t="s">
        <v>10837</v>
      </c>
    </row>
    <row r="129" spans="1:5" x14ac:dyDescent="0.3">
      <c r="A129" t="s">
        <v>10861</v>
      </c>
      <c r="B129" t="s">
        <v>10862</v>
      </c>
      <c r="C129" t="s">
        <v>2696</v>
      </c>
      <c r="D129" t="s">
        <v>2696</v>
      </c>
      <c r="E129" t="s">
        <v>10863</v>
      </c>
    </row>
    <row r="130" spans="1:5" x14ac:dyDescent="0.3">
      <c r="A130" t="s">
        <v>10883</v>
      </c>
      <c r="B130" t="s">
        <v>10884</v>
      </c>
      <c r="C130" t="s">
        <v>4308</v>
      </c>
      <c r="D130" t="s">
        <v>133</v>
      </c>
      <c r="E130" t="s">
        <v>10885</v>
      </c>
    </row>
    <row r="131" spans="1:5" x14ac:dyDescent="0.3">
      <c r="A131" t="s">
        <v>10723</v>
      </c>
      <c r="B131" t="s">
        <v>10724</v>
      </c>
      <c r="C131" t="s">
        <v>2696</v>
      </c>
      <c r="D131" t="s">
        <v>2696</v>
      </c>
      <c r="E131" t="s">
        <v>10725</v>
      </c>
    </row>
    <row r="132" spans="1:5" x14ac:dyDescent="0.3">
      <c r="A132" t="s">
        <v>10746</v>
      </c>
      <c r="B132" t="s">
        <v>10747</v>
      </c>
      <c r="C132" t="s">
        <v>2696</v>
      </c>
      <c r="D132" t="s">
        <v>2696</v>
      </c>
      <c r="E132" t="s">
        <v>10748</v>
      </c>
    </row>
    <row r="133" spans="1:5" x14ac:dyDescent="0.3">
      <c r="A133" t="s">
        <v>10471</v>
      </c>
      <c r="B133" t="s">
        <v>10472</v>
      </c>
      <c r="C133" t="s">
        <v>2696</v>
      </c>
      <c r="D133" t="s">
        <v>2696</v>
      </c>
      <c r="E133" t="s">
        <v>10473</v>
      </c>
    </row>
    <row r="134" spans="1:5" x14ac:dyDescent="0.3">
      <c r="A134" t="s">
        <v>10492</v>
      </c>
      <c r="B134" t="s">
        <v>10493</v>
      </c>
      <c r="C134" t="s">
        <v>2696</v>
      </c>
      <c r="D134" t="s">
        <v>2696</v>
      </c>
      <c r="E134" t="s">
        <v>10494</v>
      </c>
    </row>
    <row r="135" spans="1:5" x14ac:dyDescent="0.3">
      <c r="A135" t="s">
        <v>10858</v>
      </c>
      <c r="B135" t="s">
        <v>10859</v>
      </c>
      <c r="C135" t="s">
        <v>2696</v>
      </c>
      <c r="D135" t="s">
        <v>2696</v>
      </c>
      <c r="E135" t="s">
        <v>10860</v>
      </c>
    </row>
    <row r="136" spans="1:5" x14ac:dyDescent="0.3">
      <c r="A136" t="s">
        <v>10881</v>
      </c>
      <c r="B136" t="s">
        <v>5000</v>
      </c>
      <c r="C136" t="s">
        <v>4308</v>
      </c>
      <c r="D136" t="s">
        <v>133</v>
      </c>
      <c r="E136" t="s">
        <v>10882</v>
      </c>
    </row>
    <row r="137" spans="1:5" x14ac:dyDescent="0.3">
      <c r="A137" t="s">
        <v>10872</v>
      </c>
      <c r="B137" t="s">
        <v>10873</v>
      </c>
      <c r="C137" t="s">
        <v>4308</v>
      </c>
      <c r="D137" t="s">
        <v>133</v>
      </c>
      <c r="E137" t="s">
        <v>10874</v>
      </c>
    </row>
    <row r="138" spans="1:5" x14ac:dyDescent="0.3">
      <c r="A138" t="s">
        <v>10895</v>
      </c>
      <c r="B138" t="s">
        <v>10896</v>
      </c>
      <c r="C138" t="s">
        <v>4308</v>
      </c>
      <c r="D138" t="s">
        <v>133</v>
      </c>
      <c r="E138" t="s">
        <v>10897</v>
      </c>
    </row>
    <row r="139" spans="1:5" x14ac:dyDescent="0.3">
      <c r="A139" t="s">
        <v>10770</v>
      </c>
      <c r="B139" t="s">
        <v>10771</v>
      </c>
      <c r="C139" t="s">
        <v>2696</v>
      </c>
      <c r="D139" t="s">
        <v>2696</v>
      </c>
      <c r="E139" t="s">
        <v>10772</v>
      </c>
    </row>
    <row r="140" spans="1:5" x14ac:dyDescent="0.3">
      <c r="A140" t="s">
        <v>10794</v>
      </c>
      <c r="B140" t="s">
        <v>10795</v>
      </c>
      <c r="C140" t="s">
        <v>2696</v>
      </c>
      <c r="D140" t="s">
        <v>2696</v>
      </c>
      <c r="E140" t="s">
        <v>10796</v>
      </c>
    </row>
    <row r="141" spans="1:5" x14ac:dyDescent="0.3">
      <c r="A141" t="s">
        <v>10514</v>
      </c>
      <c r="B141" t="s">
        <v>10515</v>
      </c>
      <c r="C141" t="s">
        <v>2696</v>
      </c>
      <c r="D141" t="s">
        <v>2696</v>
      </c>
      <c r="E141" t="s">
        <v>10516</v>
      </c>
    </row>
    <row r="142" spans="1:5" x14ac:dyDescent="0.3">
      <c r="A142" t="s">
        <v>10534</v>
      </c>
      <c r="B142" t="s">
        <v>10535</v>
      </c>
      <c r="C142" t="s">
        <v>2696</v>
      </c>
      <c r="D142" t="s">
        <v>2696</v>
      </c>
      <c r="E142" t="s">
        <v>10536</v>
      </c>
    </row>
    <row r="143" spans="1:5" x14ac:dyDescent="0.3">
      <c r="A143" t="s">
        <v>10904</v>
      </c>
      <c r="B143" t="s">
        <v>10905</v>
      </c>
      <c r="C143" t="s">
        <v>4308</v>
      </c>
      <c r="D143" t="s">
        <v>133</v>
      </c>
      <c r="E143" t="s">
        <v>10906</v>
      </c>
    </row>
    <row r="144" spans="1:5" x14ac:dyDescent="0.3">
      <c r="A144" t="s">
        <v>10927</v>
      </c>
      <c r="B144" t="s">
        <v>10928</v>
      </c>
      <c r="C144" t="s">
        <v>4256</v>
      </c>
      <c r="D144" t="s">
        <v>133</v>
      </c>
      <c r="E144" t="s">
        <v>10929</v>
      </c>
    </row>
    <row r="145" spans="1:5" x14ac:dyDescent="0.3">
      <c r="A145" t="s">
        <v>10918</v>
      </c>
      <c r="B145" t="s">
        <v>10919</v>
      </c>
      <c r="C145" t="s">
        <v>4256</v>
      </c>
      <c r="D145" t="s">
        <v>133</v>
      </c>
      <c r="E145" t="s">
        <v>10920</v>
      </c>
    </row>
    <row r="146" spans="1:5" x14ac:dyDescent="0.3">
      <c r="A146" t="s">
        <v>10940</v>
      </c>
      <c r="B146" t="s">
        <v>10941</v>
      </c>
      <c r="C146" t="s">
        <v>4256</v>
      </c>
      <c r="D146" t="s">
        <v>133</v>
      </c>
      <c r="E146" t="s">
        <v>10942</v>
      </c>
    </row>
    <row r="147" spans="1:5" x14ac:dyDescent="0.3">
      <c r="A147" t="s">
        <v>10907</v>
      </c>
      <c r="B147" t="s">
        <v>2446</v>
      </c>
      <c r="C147" t="s">
        <v>4256</v>
      </c>
      <c r="D147" t="s">
        <v>133</v>
      </c>
      <c r="E147" t="s">
        <v>10908</v>
      </c>
    </row>
    <row r="148" spans="1:5" x14ac:dyDescent="0.3">
      <c r="A148" t="s">
        <v>10556</v>
      </c>
      <c r="B148" t="s">
        <v>10557</v>
      </c>
      <c r="C148" t="s">
        <v>2696</v>
      </c>
      <c r="D148" t="s">
        <v>2696</v>
      </c>
      <c r="E148" t="s">
        <v>10558</v>
      </c>
    </row>
    <row r="149" spans="1:5" x14ac:dyDescent="0.3">
      <c r="A149" t="s">
        <v>10576</v>
      </c>
      <c r="B149" t="s">
        <v>10577</v>
      </c>
      <c r="C149" t="s">
        <v>2696</v>
      </c>
      <c r="D149" t="s">
        <v>2696</v>
      </c>
      <c r="E149" t="s">
        <v>10578</v>
      </c>
    </row>
    <row r="150" spans="1:5" x14ac:dyDescent="0.3">
      <c r="A150" t="s">
        <v>10666</v>
      </c>
      <c r="B150" t="s">
        <v>10667</v>
      </c>
      <c r="C150" t="s">
        <v>2696</v>
      </c>
      <c r="D150" t="s">
        <v>2696</v>
      </c>
      <c r="E150" t="s">
        <v>10668</v>
      </c>
    </row>
    <row r="151" spans="1:5" x14ac:dyDescent="0.3">
      <c r="A151" t="s">
        <v>10689</v>
      </c>
      <c r="B151" t="s">
        <v>10690</v>
      </c>
      <c r="C151" t="s">
        <v>2696</v>
      </c>
      <c r="D151" t="s">
        <v>2696</v>
      </c>
      <c r="E151" t="s">
        <v>10691</v>
      </c>
    </row>
    <row r="152" spans="1:5" x14ac:dyDescent="0.3">
      <c r="A152" t="s">
        <v>10463</v>
      </c>
      <c r="B152" t="s">
        <v>10464</v>
      </c>
      <c r="C152" t="s">
        <v>2696</v>
      </c>
      <c r="D152" t="s">
        <v>2696</v>
      </c>
      <c r="E152" t="s">
        <v>10465</v>
      </c>
    </row>
    <row r="153" spans="1:5" x14ac:dyDescent="0.3">
      <c r="A153" t="s">
        <v>10485</v>
      </c>
      <c r="B153" t="s">
        <v>10486</v>
      </c>
      <c r="C153" t="s">
        <v>2696</v>
      </c>
      <c r="D153" t="s">
        <v>2696</v>
      </c>
      <c r="E153" t="s">
        <v>10487</v>
      </c>
    </row>
    <row r="154" spans="1:5" x14ac:dyDescent="0.3">
      <c r="A154" t="s">
        <v>1636</v>
      </c>
      <c r="B154" t="s">
        <v>1637</v>
      </c>
      <c r="C154" t="s">
        <v>1523</v>
      </c>
      <c r="D154" t="s">
        <v>1111</v>
      </c>
      <c r="E154" t="s">
        <v>1638</v>
      </c>
    </row>
    <row r="155" spans="1:5" x14ac:dyDescent="0.3">
      <c r="A155" t="s">
        <v>10949</v>
      </c>
      <c r="B155" t="s">
        <v>5616</v>
      </c>
      <c r="C155" t="s">
        <v>3906</v>
      </c>
      <c r="D155" t="s">
        <v>133</v>
      </c>
      <c r="E155" t="s">
        <v>10950</v>
      </c>
    </row>
    <row r="156" spans="1:5" x14ac:dyDescent="0.3">
      <c r="A156" t="s">
        <v>1524</v>
      </c>
      <c r="B156" t="s">
        <v>1525</v>
      </c>
      <c r="C156" t="s">
        <v>1523</v>
      </c>
      <c r="D156" t="s">
        <v>1111</v>
      </c>
      <c r="E156" t="s">
        <v>1526</v>
      </c>
    </row>
    <row r="157" spans="1:5" x14ac:dyDescent="0.3">
      <c r="A157" t="s">
        <v>10599</v>
      </c>
      <c r="B157" t="s">
        <v>10083</v>
      </c>
      <c r="C157" t="s">
        <v>2696</v>
      </c>
      <c r="D157" t="s">
        <v>2696</v>
      </c>
      <c r="E157" t="s">
        <v>10600</v>
      </c>
    </row>
    <row r="158" spans="1:5" x14ac:dyDescent="0.3">
      <c r="A158" t="s">
        <v>10622</v>
      </c>
      <c r="B158" t="s">
        <v>10623</v>
      </c>
      <c r="C158" t="s">
        <v>2696</v>
      </c>
      <c r="D158" t="s">
        <v>2696</v>
      </c>
      <c r="E158" t="s">
        <v>10624</v>
      </c>
    </row>
    <row r="159" spans="1:5" x14ac:dyDescent="0.3">
      <c r="A159" t="s">
        <v>10930</v>
      </c>
      <c r="B159" t="s">
        <v>5917</v>
      </c>
      <c r="C159" t="s">
        <v>4256</v>
      </c>
      <c r="D159" t="s">
        <v>133</v>
      </c>
      <c r="E159" t="s">
        <v>10931</v>
      </c>
    </row>
    <row r="160" spans="1:5" x14ac:dyDescent="0.3">
      <c r="A160" t="s">
        <v>10951</v>
      </c>
      <c r="B160" t="s">
        <v>6169</v>
      </c>
      <c r="C160" t="s">
        <v>3906</v>
      </c>
      <c r="D160" t="s">
        <v>133</v>
      </c>
      <c r="E160" t="s">
        <v>10952</v>
      </c>
    </row>
    <row r="161" spans="1:5" x14ac:dyDescent="0.3">
      <c r="A161" t="s">
        <v>10712</v>
      </c>
      <c r="B161" t="s">
        <v>10713</v>
      </c>
      <c r="C161" t="s">
        <v>2696</v>
      </c>
      <c r="D161" t="s">
        <v>2696</v>
      </c>
      <c r="E161" t="s">
        <v>10714</v>
      </c>
    </row>
    <row r="162" spans="1:5" x14ac:dyDescent="0.3">
      <c r="A162" t="s">
        <v>10734</v>
      </c>
      <c r="B162" t="s">
        <v>10735</v>
      </c>
      <c r="C162" t="s">
        <v>2696</v>
      </c>
      <c r="D162" t="s">
        <v>2696</v>
      </c>
      <c r="E162" t="s">
        <v>10736</v>
      </c>
    </row>
    <row r="163" spans="1:5" x14ac:dyDescent="0.3">
      <c r="A163" t="s">
        <v>10971</v>
      </c>
      <c r="B163" t="s">
        <v>10972</v>
      </c>
      <c r="C163" t="s">
        <v>3906</v>
      </c>
      <c r="D163" t="s">
        <v>133</v>
      </c>
      <c r="E163" t="s">
        <v>10973</v>
      </c>
    </row>
    <row r="164" spans="1:5" x14ac:dyDescent="0.3">
      <c r="A164" t="s">
        <v>10963</v>
      </c>
      <c r="B164" t="s">
        <v>7230</v>
      </c>
      <c r="C164" t="s">
        <v>3906</v>
      </c>
      <c r="D164" t="s">
        <v>133</v>
      </c>
      <c r="E164" t="s">
        <v>10964</v>
      </c>
    </row>
    <row r="165" spans="1:5" x14ac:dyDescent="0.3">
      <c r="A165" t="s">
        <v>10985</v>
      </c>
      <c r="B165" t="s">
        <v>10986</v>
      </c>
      <c r="C165" t="s">
        <v>4679</v>
      </c>
      <c r="D165" t="s">
        <v>2704</v>
      </c>
      <c r="E165" t="s">
        <v>10987</v>
      </c>
    </row>
    <row r="166" spans="1:5" x14ac:dyDescent="0.3">
      <c r="A166" t="s">
        <v>10645</v>
      </c>
      <c r="B166" t="s">
        <v>10646</v>
      </c>
      <c r="C166" t="s">
        <v>2696</v>
      </c>
      <c r="D166" t="s">
        <v>2696</v>
      </c>
      <c r="E166" t="s">
        <v>10647</v>
      </c>
    </row>
    <row r="167" spans="1:5" x14ac:dyDescent="0.3">
      <c r="A167" t="s">
        <v>10953</v>
      </c>
      <c r="B167" t="s">
        <v>1081</v>
      </c>
      <c r="C167" t="s">
        <v>4781</v>
      </c>
      <c r="D167" t="s">
        <v>133</v>
      </c>
      <c r="E167" t="s">
        <v>10954</v>
      </c>
    </row>
    <row r="168" spans="1:5" x14ac:dyDescent="0.3">
      <c r="A168" t="s">
        <v>10974</v>
      </c>
      <c r="B168" t="s">
        <v>10975</v>
      </c>
      <c r="C168" t="s">
        <v>3906</v>
      </c>
      <c r="D168" t="s">
        <v>133</v>
      </c>
      <c r="E168" t="s">
        <v>10976</v>
      </c>
    </row>
    <row r="169" spans="1:5" x14ac:dyDescent="0.3">
      <c r="A169" t="s">
        <v>10507</v>
      </c>
      <c r="B169" t="s">
        <v>10508</v>
      </c>
      <c r="C169" t="s">
        <v>2696</v>
      </c>
      <c r="D169" t="s">
        <v>2696</v>
      </c>
      <c r="E169" t="s">
        <v>10509</v>
      </c>
    </row>
    <row r="170" spans="1:5" x14ac:dyDescent="0.3">
      <c r="A170" t="s">
        <v>10527</v>
      </c>
      <c r="B170" t="s">
        <v>10528</v>
      </c>
      <c r="C170" t="s">
        <v>2696</v>
      </c>
      <c r="D170" t="s">
        <v>2696</v>
      </c>
      <c r="E170" t="s">
        <v>10529</v>
      </c>
    </row>
    <row r="171" spans="1:5" x14ac:dyDescent="0.3">
      <c r="A171" t="s">
        <v>10758</v>
      </c>
      <c r="B171" t="s">
        <v>10759</v>
      </c>
      <c r="C171" t="s">
        <v>2696</v>
      </c>
      <c r="D171" t="s">
        <v>2696</v>
      </c>
      <c r="E171" t="s">
        <v>10760</v>
      </c>
    </row>
    <row r="172" spans="1:5" x14ac:dyDescent="0.3">
      <c r="A172" t="s">
        <v>10782</v>
      </c>
      <c r="B172" t="s">
        <v>10783</v>
      </c>
      <c r="C172" t="s">
        <v>2696</v>
      </c>
      <c r="D172" t="s">
        <v>2696</v>
      </c>
      <c r="E172" t="s">
        <v>10784</v>
      </c>
    </row>
    <row r="173" spans="1:5" x14ac:dyDescent="0.3">
      <c r="A173" t="s">
        <v>10818</v>
      </c>
      <c r="B173" t="s">
        <v>10819</v>
      </c>
      <c r="C173" t="s">
        <v>2696</v>
      </c>
      <c r="D173" t="s">
        <v>2696</v>
      </c>
      <c r="E173" t="s">
        <v>10820</v>
      </c>
    </row>
    <row r="174" spans="1:5" x14ac:dyDescent="0.3">
      <c r="A174" t="s">
        <v>10841</v>
      </c>
      <c r="B174" t="s">
        <v>10842</v>
      </c>
      <c r="C174" t="s">
        <v>2696</v>
      </c>
      <c r="D174" t="s">
        <v>2696</v>
      </c>
      <c r="E174" t="s">
        <v>10843</v>
      </c>
    </row>
    <row r="175" spans="1:5" x14ac:dyDescent="0.3">
      <c r="A175" t="s">
        <v>10994</v>
      </c>
      <c r="B175" t="s">
        <v>10876</v>
      </c>
      <c r="C175" t="s">
        <v>4679</v>
      </c>
      <c r="D175" t="s">
        <v>2704</v>
      </c>
      <c r="E175" t="s">
        <v>10995</v>
      </c>
    </row>
    <row r="176" spans="1:5" x14ac:dyDescent="0.3">
      <c r="A176" t="s">
        <v>11016</v>
      </c>
      <c r="B176" t="s">
        <v>11017</v>
      </c>
      <c r="C176" t="s">
        <v>4167</v>
      </c>
      <c r="D176" t="s">
        <v>2852</v>
      </c>
      <c r="E176" t="s">
        <v>11018</v>
      </c>
    </row>
    <row r="177" spans="1:5" x14ac:dyDescent="0.3">
      <c r="A177" t="s">
        <v>10806</v>
      </c>
      <c r="B177" t="s">
        <v>10807</v>
      </c>
      <c r="C177" t="s">
        <v>2696</v>
      </c>
      <c r="D177" t="s">
        <v>2696</v>
      </c>
      <c r="E177" t="s">
        <v>10808</v>
      </c>
    </row>
    <row r="178" spans="1:5" x14ac:dyDescent="0.3">
      <c r="A178" t="s">
        <v>10829</v>
      </c>
      <c r="B178" t="s">
        <v>10830</v>
      </c>
      <c r="C178" t="s">
        <v>2696</v>
      </c>
      <c r="D178" t="s">
        <v>2696</v>
      </c>
      <c r="E178" t="s">
        <v>10831</v>
      </c>
    </row>
    <row r="179" spans="1:5" x14ac:dyDescent="0.3">
      <c r="A179" t="s">
        <v>11007</v>
      </c>
      <c r="B179" t="s">
        <v>11008</v>
      </c>
      <c r="C179" t="s">
        <v>4167</v>
      </c>
      <c r="D179" t="s">
        <v>2852</v>
      </c>
      <c r="E179" t="s">
        <v>11009</v>
      </c>
    </row>
    <row r="180" spans="1:5" x14ac:dyDescent="0.3">
      <c r="A180" t="s">
        <v>11030</v>
      </c>
      <c r="B180" t="s">
        <v>11031</v>
      </c>
      <c r="C180" t="s">
        <v>4167</v>
      </c>
      <c r="D180" t="s">
        <v>2852</v>
      </c>
      <c r="E180" t="s">
        <v>11032</v>
      </c>
    </row>
    <row r="181" spans="1:5" x14ac:dyDescent="0.3">
      <c r="A181" t="s">
        <v>11038</v>
      </c>
      <c r="B181" t="s">
        <v>11039</v>
      </c>
      <c r="C181" t="s">
        <v>4167</v>
      </c>
      <c r="D181" t="s">
        <v>2852</v>
      </c>
      <c r="E181" t="s">
        <v>11040</v>
      </c>
    </row>
    <row r="182" spans="1:5" x14ac:dyDescent="0.3">
      <c r="A182" t="s">
        <v>11062</v>
      </c>
      <c r="B182" t="s">
        <v>11063</v>
      </c>
      <c r="C182" t="s">
        <v>4933</v>
      </c>
      <c r="D182" t="s">
        <v>3712</v>
      </c>
      <c r="E182" t="s">
        <v>11064</v>
      </c>
    </row>
    <row r="183" spans="1:5" x14ac:dyDescent="0.3">
      <c r="A183" t="s">
        <v>10681</v>
      </c>
      <c r="B183" t="s">
        <v>10682</v>
      </c>
      <c r="C183" t="s">
        <v>2696</v>
      </c>
      <c r="D183" t="s">
        <v>2696</v>
      </c>
      <c r="E183" t="s">
        <v>10683</v>
      </c>
    </row>
    <row r="184" spans="1:5" x14ac:dyDescent="0.3">
      <c r="A184" t="s">
        <v>10704</v>
      </c>
      <c r="B184" t="s">
        <v>10705</v>
      </c>
      <c r="C184" t="s">
        <v>2696</v>
      </c>
      <c r="D184" t="s">
        <v>2696</v>
      </c>
      <c r="E184" t="s">
        <v>10706</v>
      </c>
    </row>
    <row r="185" spans="1:5" x14ac:dyDescent="0.3">
      <c r="A185" t="s">
        <v>10852</v>
      </c>
      <c r="B185" t="s">
        <v>10853</v>
      </c>
      <c r="C185" t="s">
        <v>2696</v>
      </c>
      <c r="D185" t="s">
        <v>2696</v>
      </c>
      <c r="E185" t="s">
        <v>10854</v>
      </c>
    </row>
    <row r="186" spans="1:5" x14ac:dyDescent="0.3">
      <c r="A186" t="s">
        <v>10875</v>
      </c>
      <c r="B186" t="s">
        <v>10876</v>
      </c>
      <c r="C186" t="s">
        <v>4308</v>
      </c>
      <c r="D186" t="s">
        <v>133</v>
      </c>
      <c r="E186" t="s">
        <v>10877</v>
      </c>
    </row>
    <row r="187" spans="1:5" x14ac:dyDescent="0.3">
      <c r="A187" t="s">
        <v>10864</v>
      </c>
      <c r="B187" t="s">
        <v>3325</v>
      </c>
      <c r="C187" t="s">
        <v>2696</v>
      </c>
      <c r="D187" t="s">
        <v>2696</v>
      </c>
      <c r="E187" t="s">
        <v>10865</v>
      </c>
    </row>
    <row r="188" spans="1:5" x14ac:dyDescent="0.3">
      <c r="A188" t="s">
        <v>1530</v>
      </c>
      <c r="B188" t="s">
        <v>1531</v>
      </c>
      <c r="C188" t="s">
        <v>1533</v>
      </c>
      <c r="D188" t="s">
        <v>1111</v>
      </c>
      <c r="E188" t="s">
        <v>1532</v>
      </c>
    </row>
    <row r="189" spans="1:5" x14ac:dyDescent="0.3">
      <c r="A189" t="s">
        <v>1540</v>
      </c>
      <c r="B189" t="s">
        <v>1541</v>
      </c>
      <c r="C189" t="s">
        <v>1543</v>
      </c>
      <c r="D189" t="s">
        <v>1088</v>
      </c>
      <c r="E189" t="s">
        <v>1542</v>
      </c>
    </row>
    <row r="190" spans="1:5" x14ac:dyDescent="0.3">
      <c r="A190" t="s">
        <v>11053</v>
      </c>
      <c r="B190" t="s">
        <v>11054</v>
      </c>
      <c r="C190" t="s">
        <v>4933</v>
      </c>
      <c r="D190" t="s">
        <v>3712</v>
      </c>
      <c r="E190" t="s">
        <v>11055</v>
      </c>
    </row>
    <row r="191" spans="1:5" x14ac:dyDescent="0.3">
      <c r="A191" t="s">
        <v>1669</v>
      </c>
      <c r="B191" t="s">
        <v>1670</v>
      </c>
      <c r="C191" t="s">
        <v>1533</v>
      </c>
      <c r="D191" t="s">
        <v>1111</v>
      </c>
      <c r="E191" t="s">
        <v>1671</v>
      </c>
    </row>
    <row r="192" spans="1:5" x14ac:dyDescent="0.3">
      <c r="A192" t="s">
        <v>10669</v>
      </c>
      <c r="B192" t="s">
        <v>10670</v>
      </c>
      <c r="C192" t="s">
        <v>2696</v>
      </c>
      <c r="D192" t="s">
        <v>2696</v>
      </c>
      <c r="E192" t="s">
        <v>10671</v>
      </c>
    </row>
    <row r="193" spans="1:5" x14ac:dyDescent="0.3">
      <c r="A193" t="s">
        <v>10692</v>
      </c>
      <c r="B193" t="s">
        <v>10693</v>
      </c>
      <c r="C193" t="s">
        <v>2696</v>
      </c>
      <c r="D193" t="s">
        <v>2696</v>
      </c>
      <c r="E193" t="s">
        <v>10694</v>
      </c>
    </row>
    <row r="194" spans="1:5" x14ac:dyDescent="0.3">
      <c r="A194" t="s">
        <v>10996</v>
      </c>
      <c r="B194" t="s">
        <v>10997</v>
      </c>
      <c r="C194" t="s">
        <v>4679</v>
      </c>
      <c r="D194" t="s">
        <v>2704</v>
      </c>
      <c r="E194" t="s">
        <v>10998</v>
      </c>
    </row>
    <row r="195" spans="1:5" x14ac:dyDescent="0.3">
      <c r="A195" t="s">
        <v>11019</v>
      </c>
      <c r="B195" t="s">
        <v>7087</v>
      </c>
      <c r="C195" t="s">
        <v>4167</v>
      </c>
      <c r="D195" t="s">
        <v>2852</v>
      </c>
      <c r="E195" t="s">
        <v>11020</v>
      </c>
    </row>
    <row r="196" spans="1:5" x14ac:dyDescent="0.3">
      <c r="A196" t="s">
        <v>10886</v>
      </c>
      <c r="B196" t="s">
        <v>10887</v>
      </c>
      <c r="C196" t="s">
        <v>4308</v>
      </c>
      <c r="D196" t="s">
        <v>133</v>
      </c>
      <c r="E196" t="s">
        <v>10888</v>
      </c>
    </row>
    <row r="197" spans="1:5" x14ac:dyDescent="0.3">
      <c r="A197" t="s">
        <v>10909</v>
      </c>
      <c r="B197" t="s">
        <v>10910</v>
      </c>
      <c r="C197" t="s">
        <v>4256</v>
      </c>
      <c r="D197" t="s">
        <v>133</v>
      </c>
      <c r="E197" t="s">
        <v>10911</v>
      </c>
    </row>
    <row r="198" spans="1:5" x14ac:dyDescent="0.3">
      <c r="A198" t="s">
        <v>1547</v>
      </c>
      <c r="B198" t="s">
        <v>1548</v>
      </c>
      <c r="C198" t="s">
        <v>1543</v>
      </c>
      <c r="D198" t="s">
        <v>1088</v>
      </c>
      <c r="E198" t="s">
        <v>1549</v>
      </c>
    </row>
    <row r="199" spans="1:5" x14ac:dyDescent="0.3">
      <c r="A199" t="s">
        <v>11083</v>
      </c>
      <c r="B199" t="s">
        <v>1132</v>
      </c>
      <c r="E199" t="s">
        <v>11084</v>
      </c>
    </row>
    <row r="200" spans="1:5" x14ac:dyDescent="0.3">
      <c r="A200" t="s">
        <v>1678</v>
      </c>
      <c r="B200" t="s">
        <v>1679</v>
      </c>
      <c r="C200" t="s">
        <v>1533</v>
      </c>
      <c r="D200" t="s">
        <v>1111</v>
      </c>
      <c r="E200" t="s">
        <v>1680</v>
      </c>
    </row>
    <row r="201" spans="1:5" x14ac:dyDescent="0.3">
      <c r="A201" t="s">
        <v>1681</v>
      </c>
      <c r="B201" t="s">
        <v>1682</v>
      </c>
      <c r="C201" t="s">
        <v>1543</v>
      </c>
      <c r="D201" t="s">
        <v>1088</v>
      </c>
      <c r="E201" t="s">
        <v>1683</v>
      </c>
    </row>
    <row r="202" spans="1:5" x14ac:dyDescent="0.3">
      <c r="A202" t="s">
        <v>10898</v>
      </c>
      <c r="B202" t="s">
        <v>10899</v>
      </c>
      <c r="C202" t="s">
        <v>4308</v>
      </c>
      <c r="D202" t="s">
        <v>133</v>
      </c>
      <c r="E202" t="s">
        <v>10900</v>
      </c>
    </row>
    <row r="203" spans="1:5" x14ac:dyDescent="0.3">
      <c r="A203" t="s">
        <v>10921</v>
      </c>
      <c r="B203" t="s">
        <v>10922</v>
      </c>
      <c r="C203" t="s">
        <v>4256</v>
      </c>
      <c r="D203" t="s">
        <v>133</v>
      </c>
      <c r="E203" t="s">
        <v>10923</v>
      </c>
    </row>
    <row r="204" spans="1:5" x14ac:dyDescent="0.3">
      <c r="A204" t="s">
        <v>10932</v>
      </c>
      <c r="B204" t="s">
        <v>5439</v>
      </c>
      <c r="C204" t="s">
        <v>4256</v>
      </c>
      <c r="D204" t="s">
        <v>133</v>
      </c>
      <c r="E204" t="s">
        <v>10933</v>
      </c>
    </row>
    <row r="205" spans="1:5" x14ac:dyDescent="0.3">
      <c r="A205" t="s">
        <v>1615</v>
      </c>
      <c r="B205" t="s">
        <v>1616</v>
      </c>
      <c r="C205" t="s">
        <v>1523</v>
      </c>
      <c r="D205" t="s">
        <v>1111</v>
      </c>
      <c r="E205" t="s">
        <v>1617</v>
      </c>
    </row>
    <row r="206" spans="1:5" x14ac:dyDescent="0.3">
      <c r="A206" t="s">
        <v>11106</v>
      </c>
      <c r="B206" t="s">
        <v>11107</v>
      </c>
      <c r="C206" t="s">
        <v>6747</v>
      </c>
      <c r="D206" t="s">
        <v>133</v>
      </c>
      <c r="E206" t="s">
        <v>11108</v>
      </c>
    </row>
    <row r="207" spans="1:5" x14ac:dyDescent="0.3">
      <c r="A207" t="s">
        <v>11128</v>
      </c>
      <c r="B207" t="s">
        <v>11129</v>
      </c>
      <c r="C207" t="s">
        <v>6747</v>
      </c>
      <c r="D207" t="s">
        <v>133</v>
      </c>
      <c r="E207" t="s">
        <v>11130</v>
      </c>
    </row>
    <row r="208" spans="1:5" x14ac:dyDescent="0.3">
      <c r="A208" t="s">
        <v>10726</v>
      </c>
      <c r="B208" t="s">
        <v>10727</v>
      </c>
      <c r="C208" t="s">
        <v>2696</v>
      </c>
      <c r="D208" t="s">
        <v>2696</v>
      </c>
      <c r="E208" t="s">
        <v>10728</v>
      </c>
    </row>
    <row r="209" spans="1:5" x14ac:dyDescent="0.3">
      <c r="A209" t="s">
        <v>10749</v>
      </c>
      <c r="B209" t="s">
        <v>10750</v>
      </c>
      <c r="C209" t="s">
        <v>2696</v>
      </c>
      <c r="D209" t="s">
        <v>2696</v>
      </c>
      <c r="E209" t="s">
        <v>10751</v>
      </c>
    </row>
    <row r="210" spans="1:5" x14ac:dyDescent="0.3">
      <c r="A210" t="s">
        <v>11074</v>
      </c>
      <c r="B210" t="s">
        <v>11075</v>
      </c>
      <c r="E210" t="s">
        <v>11076</v>
      </c>
    </row>
    <row r="211" spans="1:5" x14ac:dyDescent="0.3">
      <c r="A211" t="s">
        <v>11097</v>
      </c>
      <c r="B211" t="s">
        <v>11098</v>
      </c>
      <c r="C211" t="s">
        <v>6574</v>
      </c>
      <c r="D211" t="s">
        <v>2852</v>
      </c>
      <c r="E211" t="s">
        <v>11099</v>
      </c>
    </row>
    <row r="212" spans="1:5" x14ac:dyDescent="0.3">
      <c r="A212" t="s">
        <v>10943</v>
      </c>
      <c r="B212" t="s">
        <v>10944</v>
      </c>
      <c r="C212" t="s">
        <v>3906</v>
      </c>
      <c r="D212" t="s">
        <v>133</v>
      </c>
      <c r="E212" t="s">
        <v>10945</v>
      </c>
    </row>
    <row r="213" spans="1:5" x14ac:dyDescent="0.3">
      <c r="A213" t="s">
        <v>1550</v>
      </c>
      <c r="B213" t="s">
        <v>1551</v>
      </c>
      <c r="C213" t="s">
        <v>1523</v>
      </c>
      <c r="D213" t="s">
        <v>1111</v>
      </c>
      <c r="E213" t="s">
        <v>1552</v>
      </c>
    </row>
    <row r="214" spans="1:5" x14ac:dyDescent="0.3">
      <c r="A214" t="s">
        <v>10548</v>
      </c>
      <c r="B214" t="s">
        <v>4910</v>
      </c>
      <c r="C214" t="s">
        <v>2696</v>
      </c>
      <c r="D214" t="s">
        <v>2696</v>
      </c>
      <c r="E214" t="s">
        <v>10549</v>
      </c>
    </row>
    <row r="215" spans="1:5" x14ac:dyDescent="0.3">
      <c r="A215" t="s">
        <v>10568</v>
      </c>
      <c r="B215" t="s">
        <v>10569</v>
      </c>
      <c r="C215" t="s">
        <v>2696</v>
      </c>
      <c r="D215" t="s">
        <v>2696</v>
      </c>
      <c r="E215" t="s">
        <v>10570</v>
      </c>
    </row>
    <row r="216" spans="1:5" x14ac:dyDescent="0.3">
      <c r="A216" t="s">
        <v>11151</v>
      </c>
      <c r="B216" t="s">
        <v>11152</v>
      </c>
      <c r="C216" t="s">
        <v>6747</v>
      </c>
      <c r="D216" t="s">
        <v>133</v>
      </c>
      <c r="E216" t="s">
        <v>11153</v>
      </c>
    </row>
    <row r="217" spans="1:5" x14ac:dyDescent="0.3">
      <c r="A217" t="s">
        <v>11174</v>
      </c>
      <c r="B217" t="s">
        <v>11175</v>
      </c>
      <c r="C217" t="s">
        <v>6747</v>
      </c>
      <c r="D217" t="s">
        <v>133</v>
      </c>
      <c r="E217" t="s">
        <v>11176</v>
      </c>
    </row>
    <row r="218" spans="1:5" x14ac:dyDescent="0.3">
      <c r="A218" t="s">
        <v>10773</v>
      </c>
      <c r="B218" t="s">
        <v>10774</v>
      </c>
      <c r="C218" t="s">
        <v>2696</v>
      </c>
      <c r="D218" t="s">
        <v>2696</v>
      </c>
      <c r="E218" t="s">
        <v>10775</v>
      </c>
    </row>
    <row r="219" spans="1:5" x14ac:dyDescent="0.3">
      <c r="A219" t="s">
        <v>10797</v>
      </c>
      <c r="B219" t="s">
        <v>10798</v>
      </c>
      <c r="C219" t="s">
        <v>2696</v>
      </c>
      <c r="D219" t="s">
        <v>2696</v>
      </c>
      <c r="E219" t="s">
        <v>10799</v>
      </c>
    </row>
    <row r="220" spans="1:5" x14ac:dyDescent="0.3">
      <c r="A220" t="s">
        <v>11119</v>
      </c>
      <c r="B220" t="s">
        <v>11120</v>
      </c>
      <c r="C220" t="s">
        <v>6747</v>
      </c>
      <c r="D220" t="s">
        <v>133</v>
      </c>
      <c r="E220" t="s">
        <v>11121</v>
      </c>
    </row>
    <row r="221" spans="1:5" x14ac:dyDescent="0.3">
      <c r="A221" t="s">
        <v>11142</v>
      </c>
      <c r="B221" t="s">
        <v>11143</v>
      </c>
      <c r="C221" t="s">
        <v>6747</v>
      </c>
      <c r="D221" t="s">
        <v>133</v>
      </c>
      <c r="E221" t="s">
        <v>11144</v>
      </c>
    </row>
    <row r="222" spans="1:5" x14ac:dyDescent="0.3">
      <c r="A222" t="s">
        <v>10965</v>
      </c>
      <c r="B222" t="s">
        <v>10966</v>
      </c>
      <c r="C222" t="s">
        <v>3906</v>
      </c>
      <c r="D222" t="s">
        <v>133</v>
      </c>
      <c r="E222" t="s">
        <v>10967</v>
      </c>
    </row>
    <row r="223" spans="1:5" x14ac:dyDescent="0.3">
      <c r="A223" t="s">
        <v>10988</v>
      </c>
      <c r="B223" t="s">
        <v>10989</v>
      </c>
      <c r="C223" t="s">
        <v>4679</v>
      </c>
      <c r="D223" t="s">
        <v>2704</v>
      </c>
      <c r="E223" t="s">
        <v>10990</v>
      </c>
    </row>
    <row r="224" spans="1:5" x14ac:dyDescent="0.3">
      <c r="A224" t="s">
        <v>10955</v>
      </c>
      <c r="B224" t="s">
        <v>10956</v>
      </c>
      <c r="C224" t="s">
        <v>4781</v>
      </c>
      <c r="D224" t="s">
        <v>133</v>
      </c>
      <c r="E224" t="s">
        <v>10957</v>
      </c>
    </row>
    <row r="225" spans="1:5" x14ac:dyDescent="0.3">
      <c r="A225" t="s">
        <v>10977</v>
      </c>
      <c r="B225" t="s">
        <v>10978</v>
      </c>
      <c r="C225" t="s">
        <v>3906</v>
      </c>
      <c r="D225" t="s">
        <v>133</v>
      </c>
      <c r="E225" t="s">
        <v>10979</v>
      </c>
    </row>
    <row r="226" spans="1:5" x14ac:dyDescent="0.3">
      <c r="A226" t="s">
        <v>11195</v>
      </c>
      <c r="B226" t="s">
        <v>11196</v>
      </c>
      <c r="C226" t="s">
        <v>4679</v>
      </c>
      <c r="D226" t="s">
        <v>2704</v>
      </c>
      <c r="E226" t="s">
        <v>11197</v>
      </c>
    </row>
    <row r="227" spans="1:5" x14ac:dyDescent="0.3">
      <c r="A227" t="s">
        <v>11217</v>
      </c>
      <c r="B227" t="s">
        <v>7016</v>
      </c>
      <c r="C227" t="s">
        <v>4679</v>
      </c>
      <c r="D227" t="s">
        <v>2704</v>
      </c>
      <c r="E227" t="s">
        <v>11218</v>
      </c>
    </row>
    <row r="228" spans="1:5" x14ac:dyDescent="0.3">
      <c r="A228" t="s">
        <v>10591</v>
      </c>
      <c r="B228" t="s">
        <v>10592</v>
      </c>
      <c r="C228" t="s">
        <v>2696</v>
      </c>
      <c r="D228" t="s">
        <v>2696</v>
      </c>
      <c r="E228" t="s">
        <v>10593</v>
      </c>
    </row>
    <row r="229" spans="1:5" x14ac:dyDescent="0.3">
      <c r="A229" t="s">
        <v>10613</v>
      </c>
      <c r="B229" t="s">
        <v>10614</v>
      </c>
      <c r="C229" t="s">
        <v>2696</v>
      </c>
      <c r="D229" t="s">
        <v>2696</v>
      </c>
      <c r="E229" t="s">
        <v>10615</v>
      </c>
    </row>
    <row r="230" spans="1:5" x14ac:dyDescent="0.3">
      <c r="A230" t="s">
        <v>11166</v>
      </c>
      <c r="B230" t="s">
        <v>11167</v>
      </c>
      <c r="C230" t="s">
        <v>6747</v>
      </c>
      <c r="D230" t="s">
        <v>133</v>
      </c>
      <c r="E230" t="s">
        <v>11168</v>
      </c>
    </row>
    <row r="231" spans="1:5" x14ac:dyDescent="0.3">
      <c r="A231" t="s">
        <v>11188</v>
      </c>
      <c r="B231" t="s">
        <v>10670</v>
      </c>
      <c r="C231" t="s">
        <v>6747</v>
      </c>
      <c r="D231" t="s">
        <v>133</v>
      </c>
      <c r="E231" t="s">
        <v>11189</v>
      </c>
    </row>
    <row r="232" spans="1:5" x14ac:dyDescent="0.3">
      <c r="A232" t="s">
        <v>11010</v>
      </c>
      <c r="B232" t="s">
        <v>11011</v>
      </c>
      <c r="C232" t="s">
        <v>4167</v>
      </c>
      <c r="D232" t="s">
        <v>2852</v>
      </c>
      <c r="E232" t="s">
        <v>11012</v>
      </c>
    </row>
    <row r="233" spans="1:5" x14ac:dyDescent="0.3">
      <c r="A233" t="s">
        <v>11033</v>
      </c>
      <c r="B233" t="s">
        <v>11034</v>
      </c>
      <c r="C233" t="s">
        <v>4167</v>
      </c>
      <c r="D233" t="s">
        <v>2852</v>
      </c>
      <c r="E233" t="s">
        <v>11035</v>
      </c>
    </row>
    <row r="234" spans="1:5" x14ac:dyDescent="0.3">
      <c r="A234" t="s">
        <v>10999</v>
      </c>
      <c r="B234" t="s">
        <v>11000</v>
      </c>
      <c r="C234" t="s">
        <v>4679</v>
      </c>
      <c r="D234" t="s">
        <v>2704</v>
      </c>
      <c r="E234" t="s">
        <v>11001</v>
      </c>
    </row>
    <row r="235" spans="1:5" x14ac:dyDescent="0.3">
      <c r="A235" t="s">
        <v>11021</v>
      </c>
      <c r="B235" t="s">
        <v>11022</v>
      </c>
      <c r="C235" t="s">
        <v>4167</v>
      </c>
      <c r="D235" t="s">
        <v>2852</v>
      </c>
      <c r="E235" t="s">
        <v>11023</v>
      </c>
    </row>
    <row r="236" spans="1:5" x14ac:dyDescent="0.3">
      <c r="A236" t="s">
        <v>11239</v>
      </c>
      <c r="B236" t="s">
        <v>11240</v>
      </c>
      <c r="C236" t="s">
        <v>4308</v>
      </c>
      <c r="D236" t="s">
        <v>133</v>
      </c>
      <c r="E236" t="s">
        <v>11241</v>
      </c>
    </row>
    <row r="237" spans="1:5" x14ac:dyDescent="0.3">
      <c r="A237" t="s">
        <v>11263</v>
      </c>
      <c r="B237" t="s">
        <v>11264</v>
      </c>
      <c r="C237" t="s">
        <v>4167</v>
      </c>
      <c r="D237" t="s">
        <v>2852</v>
      </c>
      <c r="E237" t="s">
        <v>11265</v>
      </c>
    </row>
    <row r="238" spans="1:5" x14ac:dyDescent="0.3">
      <c r="A238" t="s">
        <v>10636</v>
      </c>
      <c r="B238" t="s">
        <v>10637</v>
      </c>
      <c r="C238" t="s">
        <v>2696</v>
      </c>
      <c r="D238" t="s">
        <v>2696</v>
      </c>
      <c r="E238" t="s">
        <v>10638</v>
      </c>
    </row>
    <row r="239" spans="1:5" x14ac:dyDescent="0.3">
      <c r="A239" t="s">
        <v>10660</v>
      </c>
      <c r="B239" t="s">
        <v>10661</v>
      </c>
      <c r="C239" t="s">
        <v>2696</v>
      </c>
      <c r="D239" t="s">
        <v>2696</v>
      </c>
      <c r="E239" t="s">
        <v>10662</v>
      </c>
    </row>
    <row r="240" spans="1:5" x14ac:dyDescent="0.3">
      <c r="A240" t="s">
        <v>11208</v>
      </c>
      <c r="B240" t="s">
        <v>11209</v>
      </c>
      <c r="C240" t="s">
        <v>4679</v>
      </c>
      <c r="D240" t="s">
        <v>2704</v>
      </c>
      <c r="E240" t="s">
        <v>11210</v>
      </c>
    </row>
    <row r="241" spans="1:5" x14ac:dyDescent="0.3">
      <c r="A241" t="s">
        <v>11230</v>
      </c>
      <c r="B241" t="s">
        <v>11231</v>
      </c>
      <c r="C241" t="s">
        <v>4679</v>
      </c>
      <c r="D241" t="s">
        <v>2704</v>
      </c>
      <c r="E241" t="s">
        <v>11232</v>
      </c>
    </row>
    <row r="242" spans="1:5" x14ac:dyDescent="0.3">
      <c r="A242" t="s">
        <v>11056</v>
      </c>
      <c r="B242" t="s">
        <v>11057</v>
      </c>
      <c r="C242" t="s">
        <v>4933</v>
      </c>
      <c r="D242" t="s">
        <v>3712</v>
      </c>
      <c r="E242" t="s">
        <v>11058</v>
      </c>
    </row>
    <row r="243" spans="1:5" x14ac:dyDescent="0.3">
      <c r="A243" t="s">
        <v>1574</v>
      </c>
      <c r="B243" t="s">
        <v>1575</v>
      </c>
      <c r="C243" t="s">
        <v>1533</v>
      </c>
      <c r="D243" t="s">
        <v>1111</v>
      </c>
      <c r="E243" t="s">
        <v>1576</v>
      </c>
    </row>
    <row r="244" spans="1:5" x14ac:dyDescent="0.3">
      <c r="A244" t="s">
        <v>11044</v>
      </c>
      <c r="B244" t="s">
        <v>11045</v>
      </c>
      <c r="C244" t="s">
        <v>4933</v>
      </c>
      <c r="D244" t="s">
        <v>3712</v>
      </c>
      <c r="E244" t="s">
        <v>11046</v>
      </c>
    </row>
    <row r="245" spans="1:5" x14ac:dyDescent="0.3">
      <c r="A245" t="s">
        <v>11068</v>
      </c>
      <c r="B245" t="s">
        <v>11069</v>
      </c>
      <c r="C245" t="s">
        <v>4933</v>
      </c>
      <c r="D245" t="s">
        <v>3712</v>
      </c>
      <c r="E245" t="s">
        <v>11070</v>
      </c>
    </row>
    <row r="246" spans="1:5" x14ac:dyDescent="0.3">
      <c r="A246" t="s">
        <v>11287</v>
      </c>
      <c r="B246" t="s">
        <v>11288</v>
      </c>
      <c r="C246" t="s">
        <v>4781</v>
      </c>
      <c r="D246" t="s">
        <v>133</v>
      </c>
      <c r="E246" t="s">
        <v>11289</v>
      </c>
    </row>
    <row r="247" spans="1:5" x14ac:dyDescent="0.3">
      <c r="A247" t="s">
        <v>11309</v>
      </c>
      <c r="B247" t="s">
        <v>3216</v>
      </c>
      <c r="C247" t="s">
        <v>4781</v>
      </c>
      <c r="D247" t="s">
        <v>133</v>
      </c>
      <c r="E247" t="s">
        <v>11310</v>
      </c>
    </row>
    <row r="248" spans="1:5" x14ac:dyDescent="0.3">
      <c r="A248" t="s">
        <v>11254</v>
      </c>
      <c r="B248" t="s">
        <v>11255</v>
      </c>
      <c r="C248" t="s">
        <v>4308</v>
      </c>
      <c r="D248" t="s">
        <v>133</v>
      </c>
      <c r="E248" t="s">
        <v>11256</v>
      </c>
    </row>
    <row r="249" spans="1:5" x14ac:dyDescent="0.3">
      <c r="A249" t="s">
        <v>11278</v>
      </c>
      <c r="B249" t="s">
        <v>11279</v>
      </c>
      <c r="C249" t="s">
        <v>4781</v>
      </c>
      <c r="D249" t="s">
        <v>133</v>
      </c>
      <c r="E249" t="s">
        <v>11280</v>
      </c>
    </row>
    <row r="250" spans="1:5" x14ac:dyDescent="0.3">
      <c r="A250" t="s">
        <v>1577</v>
      </c>
      <c r="B250" t="s">
        <v>1578</v>
      </c>
      <c r="C250" t="s">
        <v>1543</v>
      </c>
      <c r="D250" t="s">
        <v>1088</v>
      </c>
      <c r="E250" t="s">
        <v>1579</v>
      </c>
    </row>
    <row r="251" spans="1:5" x14ac:dyDescent="0.3">
      <c r="A251" t="s">
        <v>11328</v>
      </c>
      <c r="B251" t="s">
        <v>11329</v>
      </c>
      <c r="C251" t="s">
        <v>4781</v>
      </c>
      <c r="D251" t="s">
        <v>133</v>
      </c>
      <c r="E251" t="s">
        <v>11330</v>
      </c>
    </row>
    <row r="252" spans="1:5" x14ac:dyDescent="0.3">
      <c r="A252" t="s">
        <v>1627</v>
      </c>
      <c r="B252" t="s">
        <v>1628</v>
      </c>
      <c r="C252" t="s">
        <v>1533</v>
      </c>
      <c r="D252" t="s">
        <v>1111</v>
      </c>
      <c r="E252" t="s">
        <v>1629</v>
      </c>
    </row>
    <row r="253" spans="1:5" x14ac:dyDescent="0.3">
      <c r="A253" t="s">
        <v>1630</v>
      </c>
      <c r="B253" t="s">
        <v>1631</v>
      </c>
      <c r="C253" t="s">
        <v>1543</v>
      </c>
      <c r="D253" t="s">
        <v>1088</v>
      </c>
      <c r="E253" t="s">
        <v>1632</v>
      </c>
    </row>
    <row r="254" spans="1:5" x14ac:dyDescent="0.3">
      <c r="A254" t="s">
        <v>11301</v>
      </c>
      <c r="B254" t="s">
        <v>11302</v>
      </c>
      <c r="C254" t="s">
        <v>4781</v>
      </c>
      <c r="D254" t="s">
        <v>133</v>
      </c>
      <c r="E254" t="s">
        <v>11303</v>
      </c>
    </row>
    <row r="255" spans="1:5" x14ac:dyDescent="0.3">
      <c r="A255" t="s">
        <v>11320</v>
      </c>
      <c r="B255" t="s">
        <v>11321</v>
      </c>
      <c r="C255" t="s">
        <v>4781</v>
      </c>
      <c r="D255" t="s">
        <v>133</v>
      </c>
      <c r="E255" t="s">
        <v>11322</v>
      </c>
    </row>
    <row r="256" spans="1:5" x14ac:dyDescent="0.3">
      <c r="A256" t="s">
        <v>10821</v>
      </c>
      <c r="B256" t="s">
        <v>10822</v>
      </c>
      <c r="C256" t="s">
        <v>2696</v>
      </c>
      <c r="D256" t="s">
        <v>2696</v>
      </c>
      <c r="E256" t="s">
        <v>10823</v>
      </c>
    </row>
    <row r="257" spans="1:5" x14ac:dyDescent="0.3">
      <c r="A257" t="s">
        <v>10844</v>
      </c>
      <c r="B257" t="s">
        <v>9254</v>
      </c>
      <c r="C257" t="s">
        <v>2696</v>
      </c>
      <c r="D257" t="s">
        <v>2696</v>
      </c>
      <c r="E257" t="s">
        <v>10845</v>
      </c>
    </row>
    <row r="258" spans="1:5" x14ac:dyDescent="0.3">
      <c r="A258" t="s">
        <v>1580</v>
      </c>
      <c r="B258" t="s">
        <v>1581</v>
      </c>
      <c r="C258" t="s">
        <v>1543</v>
      </c>
      <c r="D258" t="s">
        <v>1088</v>
      </c>
      <c r="E258" t="s">
        <v>1582</v>
      </c>
    </row>
    <row r="259" spans="1:5" x14ac:dyDescent="0.3">
      <c r="A259" t="s">
        <v>11077</v>
      </c>
      <c r="B259" t="s">
        <v>11078</v>
      </c>
      <c r="E259" t="s">
        <v>11079</v>
      </c>
    </row>
    <row r="260" spans="1:5" x14ac:dyDescent="0.3">
      <c r="A260" t="s">
        <v>10684</v>
      </c>
      <c r="B260" t="s">
        <v>8251</v>
      </c>
      <c r="C260" t="s">
        <v>2696</v>
      </c>
      <c r="D260" t="s">
        <v>2696</v>
      </c>
      <c r="E260" t="s">
        <v>10685</v>
      </c>
    </row>
    <row r="261" spans="1:5" x14ac:dyDescent="0.3">
      <c r="A261" t="s">
        <v>10707</v>
      </c>
      <c r="B261" t="s">
        <v>10708</v>
      </c>
      <c r="C261" t="s">
        <v>2696</v>
      </c>
      <c r="D261" t="s">
        <v>2696</v>
      </c>
      <c r="E261" t="s">
        <v>10709</v>
      </c>
    </row>
    <row r="262" spans="1:5" x14ac:dyDescent="0.3">
      <c r="A262" t="s">
        <v>1594</v>
      </c>
      <c r="B262" t="s">
        <v>1595</v>
      </c>
      <c r="C262" t="s">
        <v>1209</v>
      </c>
      <c r="D262" t="s">
        <v>1088</v>
      </c>
      <c r="E262" t="s">
        <v>1596</v>
      </c>
    </row>
    <row r="263" spans="1:5" x14ac:dyDescent="0.3">
      <c r="A263" t="s">
        <v>11337</v>
      </c>
      <c r="B263" t="s">
        <v>11338</v>
      </c>
      <c r="C263" t="s">
        <v>4933</v>
      </c>
      <c r="D263" t="s">
        <v>3712</v>
      </c>
      <c r="E263" t="s">
        <v>11339</v>
      </c>
    </row>
    <row r="264" spans="1:5" x14ac:dyDescent="0.3">
      <c r="A264" t="s">
        <v>1780</v>
      </c>
      <c r="B264" t="s">
        <v>1781</v>
      </c>
      <c r="C264" t="s">
        <v>1209</v>
      </c>
      <c r="D264" t="s">
        <v>1088</v>
      </c>
      <c r="E264" t="s">
        <v>1782</v>
      </c>
    </row>
    <row r="265" spans="1:5" x14ac:dyDescent="0.3">
      <c r="A265" t="s">
        <v>1822</v>
      </c>
      <c r="B265" t="s">
        <v>1823</v>
      </c>
      <c r="C265" t="s">
        <v>1209</v>
      </c>
      <c r="D265" t="s">
        <v>1088</v>
      </c>
      <c r="E265" t="s">
        <v>1824</v>
      </c>
    </row>
    <row r="266" spans="1:5" x14ac:dyDescent="0.3">
      <c r="A266" t="s">
        <v>10866</v>
      </c>
      <c r="B266" t="s">
        <v>10867</v>
      </c>
      <c r="C266" t="s">
        <v>2696</v>
      </c>
      <c r="D266" t="s">
        <v>2696</v>
      </c>
      <c r="E266" t="s">
        <v>10868</v>
      </c>
    </row>
    <row r="267" spans="1:5" x14ac:dyDescent="0.3">
      <c r="A267" t="s">
        <v>10889</v>
      </c>
      <c r="B267" t="s">
        <v>10890</v>
      </c>
      <c r="C267" t="s">
        <v>4308</v>
      </c>
      <c r="D267" t="s">
        <v>133</v>
      </c>
      <c r="E267" t="s">
        <v>10891</v>
      </c>
    </row>
    <row r="268" spans="1:5" x14ac:dyDescent="0.3">
      <c r="A268" t="s">
        <v>11100</v>
      </c>
      <c r="B268" t="s">
        <v>11101</v>
      </c>
      <c r="C268" t="s">
        <v>2821</v>
      </c>
      <c r="D268" t="s">
        <v>133</v>
      </c>
      <c r="E268" t="s">
        <v>11102</v>
      </c>
    </row>
    <row r="269" spans="1:5" x14ac:dyDescent="0.3">
      <c r="A269" t="s">
        <v>11122</v>
      </c>
      <c r="B269" t="s">
        <v>11123</v>
      </c>
      <c r="C269" t="s">
        <v>6747</v>
      </c>
      <c r="D269" t="s">
        <v>133</v>
      </c>
      <c r="E269" t="s">
        <v>11124</v>
      </c>
    </row>
    <row r="270" spans="1:5" x14ac:dyDescent="0.3">
      <c r="A270" t="s">
        <v>11360</v>
      </c>
      <c r="B270" t="s">
        <v>11361</v>
      </c>
      <c r="C270" t="s">
        <v>2703</v>
      </c>
      <c r="D270" t="s">
        <v>2704</v>
      </c>
      <c r="E270" t="s">
        <v>11362</v>
      </c>
    </row>
    <row r="271" spans="1:5" x14ac:dyDescent="0.3">
      <c r="A271" t="s">
        <v>11381</v>
      </c>
      <c r="B271" t="s">
        <v>11382</v>
      </c>
      <c r="C271" t="s">
        <v>2703</v>
      </c>
      <c r="D271" t="s">
        <v>2704</v>
      </c>
      <c r="E271" t="s">
        <v>11383</v>
      </c>
    </row>
    <row r="272" spans="1:5" x14ac:dyDescent="0.3">
      <c r="A272" t="s">
        <v>11352</v>
      </c>
      <c r="B272" t="s">
        <v>11353</v>
      </c>
      <c r="C272" t="s">
        <v>2703</v>
      </c>
      <c r="D272" t="s">
        <v>2704</v>
      </c>
      <c r="E272" t="s">
        <v>11354</v>
      </c>
    </row>
    <row r="273" spans="1:5" x14ac:dyDescent="0.3">
      <c r="A273" t="s">
        <v>11372</v>
      </c>
      <c r="B273" t="s">
        <v>11373</v>
      </c>
      <c r="C273" t="s">
        <v>2703</v>
      </c>
      <c r="D273" t="s">
        <v>2704</v>
      </c>
      <c r="E273" t="s">
        <v>11374</v>
      </c>
    </row>
    <row r="274" spans="1:5" x14ac:dyDescent="0.3">
      <c r="A274" t="s">
        <v>1633</v>
      </c>
      <c r="B274" t="s">
        <v>1634</v>
      </c>
      <c r="C274" t="s">
        <v>1543</v>
      </c>
      <c r="D274" t="s">
        <v>1088</v>
      </c>
      <c r="E274" t="s">
        <v>1635</v>
      </c>
    </row>
    <row r="275" spans="1:5" x14ac:dyDescent="0.3">
      <c r="A275" t="s">
        <v>11088</v>
      </c>
      <c r="B275" t="s">
        <v>11089</v>
      </c>
      <c r="E275" t="s">
        <v>11090</v>
      </c>
    </row>
    <row r="276" spans="1:5" x14ac:dyDescent="0.3">
      <c r="A276" t="s">
        <v>11145</v>
      </c>
      <c r="B276" t="s">
        <v>11146</v>
      </c>
      <c r="C276" t="s">
        <v>6747</v>
      </c>
      <c r="D276" t="s">
        <v>133</v>
      </c>
      <c r="E276" t="s">
        <v>11147</v>
      </c>
    </row>
    <row r="277" spans="1:5" x14ac:dyDescent="0.3">
      <c r="A277" t="s">
        <v>11169</v>
      </c>
      <c r="B277" t="s">
        <v>3726</v>
      </c>
      <c r="C277" t="s">
        <v>6747</v>
      </c>
      <c r="D277" t="s">
        <v>133</v>
      </c>
      <c r="E277" t="s">
        <v>11170</v>
      </c>
    </row>
    <row r="278" spans="1:5" x14ac:dyDescent="0.3">
      <c r="A278" t="s">
        <v>10912</v>
      </c>
      <c r="B278" t="s">
        <v>10913</v>
      </c>
      <c r="C278" t="s">
        <v>4256</v>
      </c>
      <c r="D278" t="s">
        <v>133</v>
      </c>
      <c r="E278" t="s">
        <v>10914</v>
      </c>
    </row>
    <row r="279" spans="1:5" x14ac:dyDescent="0.3">
      <c r="A279" t="s">
        <v>10934</v>
      </c>
      <c r="B279" t="s">
        <v>10935</v>
      </c>
      <c r="C279" t="s">
        <v>4256</v>
      </c>
      <c r="D279" t="s">
        <v>133</v>
      </c>
      <c r="E279" t="s">
        <v>10936</v>
      </c>
    </row>
    <row r="280" spans="1:5" x14ac:dyDescent="0.3">
      <c r="A280" t="s">
        <v>1609</v>
      </c>
      <c r="B280" t="s">
        <v>1610</v>
      </c>
      <c r="C280" t="s">
        <v>1153</v>
      </c>
      <c r="D280" t="s">
        <v>1088</v>
      </c>
      <c r="E280" t="s">
        <v>1611</v>
      </c>
    </row>
    <row r="281" spans="1:5" x14ac:dyDescent="0.3">
      <c r="A281" t="s">
        <v>1612</v>
      </c>
      <c r="B281" t="s">
        <v>1613</v>
      </c>
      <c r="C281" t="s">
        <v>1153</v>
      </c>
      <c r="D281" t="s">
        <v>1088</v>
      </c>
      <c r="E281" t="s">
        <v>1614</v>
      </c>
    </row>
    <row r="282" spans="1:5" x14ac:dyDescent="0.3">
      <c r="A282" t="s">
        <v>11112</v>
      </c>
      <c r="B282" t="s">
        <v>2446</v>
      </c>
      <c r="C282" t="s">
        <v>6747</v>
      </c>
      <c r="D282" t="s">
        <v>133</v>
      </c>
      <c r="E282" t="s">
        <v>11113</v>
      </c>
    </row>
    <row r="283" spans="1:5" x14ac:dyDescent="0.3">
      <c r="A283" t="s">
        <v>11134</v>
      </c>
      <c r="B283" t="s">
        <v>11135</v>
      </c>
      <c r="C283" t="s">
        <v>6747</v>
      </c>
      <c r="D283" t="s">
        <v>133</v>
      </c>
      <c r="E283" t="s">
        <v>11136</v>
      </c>
    </row>
    <row r="284" spans="1:5" x14ac:dyDescent="0.3">
      <c r="A284" t="s">
        <v>10715</v>
      </c>
      <c r="B284" t="s">
        <v>6528</v>
      </c>
      <c r="C284" t="s">
        <v>2696</v>
      </c>
      <c r="D284" t="s">
        <v>2696</v>
      </c>
      <c r="E284" t="s">
        <v>10716</v>
      </c>
    </row>
    <row r="285" spans="1:5" x14ac:dyDescent="0.3">
      <c r="A285" t="s">
        <v>10737</v>
      </c>
      <c r="B285" t="s">
        <v>10738</v>
      </c>
      <c r="C285" t="s">
        <v>2696</v>
      </c>
      <c r="D285" t="s">
        <v>2696</v>
      </c>
      <c r="E285" t="s">
        <v>10739</v>
      </c>
    </row>
    <row r="286" spans="1:5" x14ac:dyDescent="0.3">
      <c r="A286" t="s">
        <v>1645</v>
      </c>
      <c r="B286" t="s">
        <v>1646</v>
      </c>
      <c r="C286" t="s">
        <v>1523</v>
      </c>
      <c r="D286" t="s">
        <v>1111</v>
      </c>
      <c r="E286" t="s">
        <v>1647</v>
      </c>
    </row>
    <row r="287" spans="1:5" x14ac:dyDescent="0.3">
      <c r="A287" t="s">
        <v>10958</v>
      </c>
      <c r="B287" t="s">
        <v>5778</v>
      </c>
      <c r="C287" t="s">
        <v>4781</v>
      </c>
      <c r="D287" t="s">
        <v>133</v>
      </c>
      <c r="E287" t="s">
        <v>10959</v>
      </c>
    </row>
    <row r="288" spans="1:5" x14ac:dyDescent="0.3">
      <c r="A288" t="s">
        <v>10729</v>
      </c>
      <c r="B288" t="s">
        <v>10730</v>
      </c>
      <c r="C288" t="s">
        <v>2696</v>
      </c>
      <c r="D288" t="s">
        <v>2696</v>
      </c>
      <c r="E288" t="s">
        <v>10731</v>
      </c>
    </row>
    <row r="289" spans="1:5" x14ac:dyDescent="0.3">
      <c r="A289" t="s">
        <v>10752</v>
      </c>
      <c r="B289" t="s">
        <v>10753</v>
      </c>
      <c r="C289" t="s">
        <v>2696</v>
      </c>
      <c r="D289" t="s">
        <v>2696</v>
      </c>
      <c r="E289" t="s">
        <v>10754</v>
      </c>
    </row>
    <row r="290" spans="1:5" x14ac:dyDescent="0.3">
      <c r="A290" t="s">
        <v>11190</v>
      </c>
      <c r="B290" t="s">
        <v>10348</v>
      </c>
      <c r="C290" t="s">
        <v>6747</v>
      </c>
      <c r="D290" t="s">
        <v>133</v>
      </c>
      <c r="E290" t="s">
        <v>11191</v>
      </c>
    </row>
    <row r="291" spans="1:5" x14ac:dyDescent="0.3">
      <c r="A291" t="s">
        <v>11211</v>
      </c>
      <c r="B291" t="s">
        <v>11212</v>
      </c>
      <c r="C291" t="s">
        <v>4679</v>
      </c>
      <c r="D291" t="s">
        <v>2704</v>
      </c>
      <c r="E291" t="s">
        <v>11213</v>
      </c>
    </row>
    <row r="292" spans="1:5" x14ac:dyDescent="0.3">
      <c r="A292" t="s">
        <v>11157</v>
      </c>
      <c r="B292" t="s">
        <v>11158</v>
      </c>
      <c r="C292" t="s">
        <v>6747</v>
      </c>
      <c r="D292" t="s">
        <v>133</v>
      </c>
      <c r="E292" t="s">
        <v>11159</v>
      </c>
    </row>
    <row r="293" spans="1:5" x14ac:dyDescent="0.3">
      <c r="A293" t="s">
        <v>11180</v>
      </c>
      <c r="B293" t="s">
        <v>11181</v>
      </c>
      <c r="C293" t="s">
        <v>6747</v>
      </c>
      <c r="D293" t="s">
        <v>133</v>
      </c>
      <c r="E293" t="s">
        <v>11182</v>
      </c>
    </row>
    <row r="294" spans="1:5" x14ac:dyDescent="0.3">
      <c r="A294" t="s">
        <v>11403</v>
      </c>
      <c r="B294" t="s">
        <v>11404</v>
      </c>
      <c r="C294" t="s">
        <v>6333</v>
      </c>
      <c r="D294" t="s">
        <v>2709</v>
      </c>
      <c r="E294" t="s">
        <v>11405</v>
      </c>
    </row>
    <row r="295" spans="1:5" x14ac:dyDescent="0.3">
      <c r="A295" t="s">
        <v>11426</v>
      </c>
      <c r="B295" t="s">
        <v>11427</v>
      </c>
      <c r="C295" t="s">
        <v>2703</v>
      </c>
      <c r="D295" t="s">
        <v>2704</v>
      </c>
      <c r="E295" t="s">
        <v>11428</v>
      </c>
    </row>
    <row r="296" spans="1:5" x14ac:dyDescent="0.3">
      <c r="A296" t="s">
        <v>10761</v>
      </c>
      <c r="B296" t="s">
        <v>10762</v>
      </c>
      <c r="C296" t="s">
        <v>2696</v>
      </c>
      <c r="D296" t="s">
        <v>2696</v>
      </c>
      <c r="E296" t="s">
        <v>10763</v>
      </c>
    </row>
    <row r="297" spans="1:5" x14ac:dyDescent="0.3">
      <c r="A297" t="s">
        <v>10785</v>
      </c>
      <c r="B297" t="s">
        <v>10786</v>
      </c>
      <c r="C297" t="s">
        <v>2696</v>
      </c>
      <c r="D297" t="s">
        <v>2696</v>
      </c>
      <c r="E297" t="s">
        <v>10787</v>
      </c>
    </row>
    <row r="298" spans="1:5" x14ac:dyDescent="0.3">
      <c r="A298" t="s">
        <v>11201</v>
      </c>
      <c r="B298" t="s">
        <v>11202</v>
      </c>
      <c r="C298" t="s">
        <v>4679</v>
      </c>
      <c r="D298" t="s">
        <v>2704</v>
      </c>
      <c r="E298" t="s">
        <v>11203</v>
      </c>
    </row>
    <row r="299" spans="1:5" x14ac:dyDescent="0.3">
      <c r="A299" t="s">
        <v>11222</v>
      </c>
      <c r="B299" t="s">
        <v>2880</v>
      </c>
      <c r="C299" t="s">
        <v>4679</v>
      </c>
      <c r="D299" t="s">
        <v>2704</v>
      </c>
      <c r="E299" t="s">
        <v>11223</v>
      </c>
    </row>
    <row r="300" spans="1:5" x14ac:dyDescent="0.3">
      <c r="A300" t="s">
        <v>10776</v>
      </c>
      <c r="B300" t="s">
        <v>10777</v>
      </c>
      <c r="C300" t="s">
        <v>2696</v>
      </c>
      <c r="D300" t="s">
        <v>2696</v>
      </c>
      <c r="E300" t="s">
        <v>10778</v>
      </c>
    </row>
    <row r="301" spans="1:5" x14ac:dyDescent="0.3">
      <c r="A301" t="s">
        <v>10800</v>
      </c>
      <c r="B301" t="s">
        <v>10801</v>
      </c>
      <c r="C301" t="s">
        <v>2696</v>
      </c>
      <c r="D301" t="s">
        <v>2696</v>
      </c>
      <c r="E301" t="s">
        <v>10802</v>
      </c>
    </row>
    <row r="302" spans="1:5" x14ac:dyDescent="0.3">
      <c r="A302" t="s">
        <v>10980</v>
      </c>
      <c r="B302" t="s">
        <v>10981</v>
      </c>
      <c r="C302" t="s">
        <v>3906</v>
      </c>
      <c r="D302" t="s">
        <v>133</v>
      </c>
      <c r="E302" t="s">
        <v>10982</v>
      </c>
    </row>
    <row r="303" spans="1:5" x14ac:dyDescent="0.3">
      <c r="A303" t="s">
        <v>1624</v>
      </c>
      <c r="B303" t="s">
        <v>1625</v>
      </c>
      <c r="C303" t="s">
        <v>1523</v>
      </c>
      <c r="D303" t="s">
        <v>1111</v>
      </c>
      <c r="E303" t="s">
        <v>1626</v>
      </c>
    </row>
    <row r="304" spans="1:5" x14ac:dyDescent="0.3">
      <c r="A304" t="s">
        <v>11462</v>
      </c>
      <c r="B304" t="s">
        <v>11463</v>
      </c>
      <c r="C304" t="s">
        <v>2696</v>
      </c>
      <c r="D304" t="s">
        <v>2696</v>
      </c>
      <c r="E304" t="s">
        <v>11464</v>
      </c>
    </row>
    <row r="305" spans="1:5" x14ac:dyDescent="0.3">
      <c r="A305" t="s">
        <v>10809</v>
      </c>
      <c r="B305" t="s">
        <v>10810</v>
      </c>
      <c r="C305" t="s">
        <v>2696</v>
      </c>
      <c r="D305" t="s">
        <v>2696</v>
      </c>
      <c r="E305" t="s">
        <v>10811</v>
      </c>
    </row>
    <row r="306" spans="1:5" x14ac:dyDescent="0.3">
      <c r="A306" t="s">
        <v>10832</v>
      </c>
      <c r="B306" t="s">
        <v>10833</v>
      </c>
      <c r="C306" t="s">
        <v>2696</v>
      </c>
      <c r="D306" t="s">
        <v>2696</v>
      </c>
      <c r="E306" t="s">
        <v>10834</v>
      </c>
    </row>
    <row r="307" spans="1:5" x14ac:dyDescent="0.3">
      <c r="A307" t="s">
        <v>11245</v>
      </c>
      <c r="B307" t="s">
        <v>11246</v>
      </c>
      <c r="C307" t="s">
        <v>4308</v>
      </c>
      <c r="D307" t="s">
        <v>133</v>
      </c>
      <c r="E307" t="s">
        <v>11247</v>
      </c>
    </row>
    <row r="308" spans="1:5" x14ac:dyDescent="0.3">
      <c r="A308" t="s">
        <v>11233</v>
      </c>
      <c r="B308" t="s">
        <v>11234</v>
      </c>
      <c r="C308" t="s">
        <v>4679</v>
      </c>
      <c r="D308" t="s">
        <v>2704</v>
      </c>
      <c r="E308" t="s">
        <v>11235</v>
      </c>
    </row>
    <row r="309" spans="1:5" x14ac:dyDescent="0.3">
      <c r="A309" t="s">
        <v>11257</v>
      </c>
      <c r="B309" t="s">
        <v>11258</v>
      </c>
      <c r="C309" t="s">
        <v>4308</v>
      </c>
      <c r="D309" t="s">
        <v>133</v>
      </c>
      <c r="E309" t="s">
        <v>11259</v>
      </c>
    </row>
    <row r="310" spans="1:5" x14ac:dyDescent="0.3">
      <c r="A310" t="s">
        <v>11486</v>
      </c>
      <c r="B310" t="s">
        <v>11487</v>
      </c>
      <c r="C310" t="s">
        <v>3906</v>
      </c>
      <c r="D310" t="s">
        <v>133</v>
      </c>
      <c r="E310" t="s">
        <v>11488</v>
      </c>
    </row>
    <row r="311" spans="1:5" x14ac:dyDescent="0.3">
      <c r="A311" t="s">
        <v>1639</v>
      </c>
      <c r="B311" t="s">
        <v>1640</v>
      </c>
      <c r="C311" t="s">
        <v>1087</v>
      </c>
      <c r="D311" t="s">
        <v>1088</v>
      </c>
      <c r="E311" t="s">
        <v>1641</v>
      </c>
    </row>
    <row r="312" spans="1:5" x14ac:dyDescent="0.3">
      <c r="A312" t="s">
        <v>11041</v>
      </c>
      <c r="B312" t="s">
        <v>11042</v>
      </c>
      <c r="C312" t="s">
        <v>4933</v>
      </c>
      <c r="D312" t="s">
        <v>3712</v>
      </c>
      <c r="E312" t="s">
        <v>11043</v>
      </c>
    </row>
    <row r="313" spans="1:5" x14ac:dyDescent="0.3">
      <c r="A313" t="s">
        <v>11065</v>
      </c>
      <c r="B313" t="s">
        <v>11066</v>
      </c>
      <c r="C313" t="s">
        <v>4933</v>
      </c>
      <c r="D313" t="s">
        <v>3712</v>
      </c>
      <c r="E313" t="s">
        <v>11067</v>
      </c>
    </row>
    <row r="314" spans="1:5" x14ac:dyDescent="0.3">
      <c r="A314" t="s">
        <v>10855</v>
      </c>
      <c r="B314" t="s">
        <v>10856</v>
      </c>
      <c r="C314" t="s">
        <v>2696</v>
      </c>
      <c r="D314" t="s">
        <v>2696</v>
      </c>
      <c r="E314" t="s">
        <v>10857</v>
      </c>
    </row>
    <row r="315" spans="1:5" x14ac:dyDescent="0.3">
      <c r="A315" t="s">
        <v>10878</v>
      </c>
      <c r="B315" t="s">
        <v>10879</v>
      </c>
      <c r="C315" t="s">
        <v>4308</v>
      </c>
      <c r="D315" t="s">
        <v>133</v>
      </c>
      <c r="E315" t="s">
        <v>10880</v>
      </c>
    </row>
    <row r="316" spans="1:5" x14ac:dyDescent="0.3">
      <c r="A316" t="s">
        <v>11269</v>
      </c>
      <c r="B316" t="s">
        <v>11270</v>
      </c>
      <c r="C316" t="s">
        <v>4167</v>
      </c>
      <c r="D316" t="s">
        <v>2852</v>
      </c>
      <c r="E316" t="s">
        <v>11271</v>
      </c>
    </row>
    <row r="317" spans="1:5" x14ac:dyDescent="0.3">
      <c r="A317" t="s">
        <v>11293</v>
      </c>
      <c r="B317" t="s">
        <v>11294</v>
      </c>
      <c r="C317" t="s">
        <v>4781</v>
      </c>
      <c r="D317" t="s">
        <v>133</v>
      </c>
      <c r="E317" t="s">
        <v>11295</v>
      </c>
    </row>
    <row r="318" spans="1:5" x14ac:dyDescent="0.3">
      <c r="A318" t="s">
        <v>11281</v>
      </c>
      <c r="B318" t="s">
        <v>11282</v>
      </c>
      <c r="C318" t="s">
        <v>4781</v>
      </c>
      <c r="D318" t="s">
        <v>133</v>
      </c>
      <c r="E318" t="s">
        <v>11283</v>
      </c>
    </row>
    <row r="319" spans="1:5" x14ac:dyDescent="0.3">
      <c r="A319" t="s">
        <v>11304</v>
      </c>
      <c r="B319" t="s">
        <v>11305</v>
      </c>
      <c r="C319" t="s">
        <v>4781</v>
      </c>
      <c r="D319" t="s">
        <v>133</v>
      </c>
      <c r="E319" t="s">
        <v>11306</v>
      </c>
    </row>
    <row r="320" spans="1:5" x14ac:dyDescent="0.3">
      <c r="A320" t="s">
        <v>11504</v>
      </c>
      <c r="B320" t="s">
        <v>10461</v>
      </c>
      <c r="C320" t="s">
        <v>2703</v>
      </c>
      <c r="D320" t="s">
        <v>2704</v>
      </c>
      <c r="E320" t="s">
        <v>11505</v>
      </c>
    </row>
    <row r="321" spans="1:5" x14ac:dyDescent="0.3">
      <c r="A321" t="s">
        <v>1651</v>
      </c>
      <c r="B321" t="s">
        <v>1652</v>
      </c>
      <c r="C321" t="s">
        <v>1543</v>
      </c>
      <c r="D321" t="s">
        <v>1088</v>
      </c>
      <c r="E321" t="s">
        <v>1653</v>
      </c>
    </row>
    <row r="322" spans="1:5" x14ac:dyDescent="0.3">
      <c r="A322" t="s">
        <v>11002</v>
      </c>
      <c r="B322" t="s">
        <v>11003</v>
      </c>
      <c r="C322" t="s">
        <v>4679</v>
      </c>
      <c r="D322" t="s">
        <v>2704</v>
      </c>
      <c r="E322" t="s">
        <v>11004</v>
      </c>
    </row>
    <row r="323" spans="1:5" x14ac:dyDescent="0.3">
      <c r="A323" t="s">
        <v>11024</v>
      </c>
      <c r="B323" t="s">
        <v>11025</v>
      </c>
      <c r="C323" t="s">
        <v>4167</v>
      </c>
      <c r="D323" t="s">
        <v>2852</v>
      </c>
      <c r="E323" t="s">
        <v>11026</v>
      </c>
    </row>
    <row r="324" spans="1:5" x14ac:dyDescent="0.3">
      <c r="A324" t="s">
        <v>11313</v>
      </c>
      <c r="B324" t="s">
        <v>3516</v>
      </c>
      <c r="C324" t="s">
        <v>4781</v>
      </c>
      <c r="D324" t="s">
        <v>133</v>
      </c>
      <c r="E324" t="s">
        <v>11314</v>
      </c>
    </row>
    <row r="325" spans="1:5" x14ac:dyDescent="0.3">
      <c r="A325" t="s">
        <v>1690</v>
      </c>
      <c r="B325" t="s">
        <v>1691</v>
      </c>
      <c r="C325" t="s">
        <v>1209</v>
      </c>
      <c r="D325" t="s">
        <v>1088</v>
      </c>
      <c r="E325" t="s">
        <v>1692</v>
      </c>
    </row>
    <row r="326" spans="1:5" x14ac:dyDescent="0.3">
      <c r="A326" t="s">
        <v>1837</v>
      </c>
      <c r="B326" t="s">
        <v>1838</v>
      </c>
      <c r="C326" t="s">
        <v>1543</v>
      </c>
      <c r="D326" t="s">
        <v>1088</v>
      </c>
      <c r="E326" t="s">
        <v>1839</v>
      </c>
    </row>
    <row r="327" spans="1:5" x14ac:dyDescent="0.3">
      <c r="A327" t="s">
        <v>1840</v>
      </c>
      <c r="B327" t="s">
        <v>1841</v>
      </c>
      <c r="C327" t="s">
        <v>1153</v>
      </c>
      <c r="D327" t="s">
        <v>1088</v>
      </c>
      <c r="E327" t="s">
        <v>1842</v>
      </c>
    </row>
    <row r="328" spans="1:5" x14ac:dyDescent="0.3">
      <c r="A328" t="s">
        <v>10901</v>
      </c>
      <c r="B328" t="s">
        <v>10902</v>
      </c>
      <c r="C328" t="s">
        <v>4308</v>
      </c>
      <c r="D328" t="s">
        <v>133</v>
      </c>
      <c r="E328" t="s">
        <v>10903</v>
      </c>
    </row>
    <row r="329" spans="1:5" x14ac:dyDescent="0.3">
      <c r="A329" t="s">
        <v>10924</v>
      </c>
      <c r="B329" t="s">
        <v>10925</v>
      </c>
      <c r="C329" t="s">
        <v>4256</v>
      </c>
      <c r="D329" t="s">
        <v>133</v>
      </c>
      <c r="E329" t="s">
        <v>10926</v>
      </c>
    </row>
    <row r="330" spans="1:5" x14ac:dyDescent="0.3">
      <c r="A330" t="s">
        <v>11521</v>
      </c>
      <c r="B330" t="s">
        <v>11522</v>
      </c>
      <c r="C330" t="s">
        <v>3906</v>
      </c>
      <c r="D330" t="s">
        <v>133</v>
      </c>
      <c r="E330" t="s">
        <v>11523</v>
      </c>
    </row>
    <row r="331" spans="1:5" x14ac:dyDescent="0.3">
      <c r="A331" t="s">
        <v>11544</v>
      </c>
      <c r="B331" t="s">
        <v>11545</v>
      </c>
      <c r="C331" t="s">
        <v>3906</v>
      </c>
      <c r="D331" t="s">
        <v>133</v>
      </c>
      <c r="E331" t="s">
        <v>11546</v>
      </c>
    </row>
    <row r="332" spans="1:5" x14ac:dyDescent="0.3">
      <c r="A332" t="s">
        <v>1693</v>
      </c>
      <c r="B332" t="s">
        <v>1694</v>
      </c>
      <c r="C332" t="s">
        <v>1209</v>
      </c>
      <c r="D332" t="s">
        <v>1088</v>
      </c>
      <c r="E332" t="s">
        <v>1695</v>
      </c>
    </row>
    <row r="333" spans="1:5" x14ac:dyDescent="0.3">
      <c r="A333" t="s">
        <v>11343</v>
      </c>
      <c r="B333" t="s">
        <v>11344</v>
      </c>
      <c r="C333" t="s">
        <v>4933</v>
      </c>
      <c r="D333" t="s">
        <v>3712</v>
      </c>
      <c r="E333" t="s">
        <v>11345</v>
      </c>
    </row>
    <row r="334" spans="1:5" x14ac:dyDescent="0.3">
      <c r="A334" t="s">
        <v>11395</v>
      </c>
      <c r="B334" t="s">
        <v>11396</v>
      </c>
      <c r="C334" t="s">
        <v>6333</v>
      </c>
      <c r="D334" t="s">
        <v>2709</v>
      </c>
      <c r="E334" t="s">
        <v>11397</v>
      </c>
    </row>
    <row r="335" spans="1:5" x14ac:dyDescent="0.3">
      <c r="A335" t="s">
        <v>11417</v>
      </c>
      <c r="B335" t="s">
        <v>11418</v>
      </c>
      <c r="C335" t="s">
        <v>2703</v>
      </c>
      <c r="D335" t="s">
        <v>2704</v>
      </c>
      <c r="E335" t="s">
        <v>11419</v>
      </c>
    </row>
    <row r="336" spans="1:5" x14ac:dyDescent="0.3">
      <c r="A336" t="s">
        <v>11047</v>
      </c>
      <c r="B336" t="s">
        <v>11048</v>
      </c>
      <c r="C336" t="s">
        <v>4933</v>
      </c>
      <c r="D336" t="s">
        <v>3712</v>
      </c>
      <c r="E336" t="s">
        <v>11049</v>
      </c>
    </row>
    <row r="337" spans="1:5" x14ac:dyDescent="0.3">
      <c r="A337" t="s">
        <v>11071</v>
      </c>
      <c r="B337" t="s">
        <v>11072</v>
      </c>
      <c r="C337" t="s">
        <v>6349</v>
      </c>
      <c r="D337" t="s">
        <v>2841</v>
      </c>
      <c r="E337" t="s">
        <v>11073</v>
      </c>
    </row>
    <row r="338" spans="1:5" x14ac:dyDescent="0.3">
      <c r="A338" t="s">
        <v>1657</v>
      </c>
      <c r="B338" t="s">
        <v>1658</v>
      </c>
      <c r="C338" t="s">
        <v>1501</v>
      </c>
      <c r="D338" t="s">
        <v>1088</v>
      </c>
      <c r="E338" t="s">
        <v>1659</v>
      </c>
    </row>
    <row r="339" spans="1:5" x14ac:dyDescent="0.3">
      <c r="A339" t="s">
        <v>11582</v>
      </c>
      <c r="B339" t="s">
        <v>11583</v>
      </c>
      <c r="C339" t="s">
        <v>3946</v>
      </c>
      <c r="D339" t="s">
        <v>2709</v>
      </c>
      <c r="E339" t="s">
        <v>11584</v>
      </c>
    </row>
    <row r="340" spans="1:5" x14ac:dyDescent="0.3">
      <c r="A340" t="s">
        <v>10946</v>
      </c>
      <c r="B340" t="s">
        <v>10947</v>
      </c>
      <c r="C340" t="s">
        <v>3906</v>
      </c>
      <c r="D340" t="s">
        <v>133</v>
      </c>
      <c r="E340" t="s">
        <v>10948</v>
      </c>
    </row>
    <row r="341" spans="1:5" x14ac:dyDescent="0.3">
      <c r="A341" t="s">
        <v>1986</v>
      </c>
      <c r="B341" t="s">
        <v>1987</v>
      </c>
      <c r="C341" t="s">
        <v>1523</v>
      </c>
      <c r="D341" t="s">
        <v>1111</v>
      </c>
      <c r="E341" t="s">
        <v>1988</v>
      </c>
    </row>
    <row r="342" spans="1:5" x14ac:dyDescent="0.3">
      <c r="A342" t="s">
        <v>11365</v>
      </c>
      <c r="B342" t="s">
        <v>2789</v>
      </c>
      <c r="C342" t="s">
        <v>2703</v>
      </c>
      <c r="D342" t="s">
        <v>2704</v>
      </c>
      <c r="E342" t="s">
        <v>11366</v>
      </c>
    </row>
    <row r="343" spans="1:5" x14ac:dyDescent="0.3">
      <c r="A343" t="s">
        <v>11387</v>
      </c>
      <c r="B343" t="s">
        <v>3569</v>
      </c>
      <c r="C343" t="s">
        <v>2703</v>
      </c>
      <c r="D343" t="s">
        <v>2704</v>
      </c>
      <c r="E343" t="s">
        <v>11388</v>
      </c>
    </row>
    <row r="344" spans="1:5" x14ac:dyDescent="0.3">
      <c r="A344" t="s">
        <v>11323</v>
      </c>
      <c r="B344" t="s">
        <v>11324</v>
      </c>
      <c r="C344" t="s">
        <v>4781</v>
      </c>
      <c r="D344" t="s">
        <v>133</v>
      </c>
      <c r="E344" t="s">
        <v>11325</v>
      </c>
    </row>
    <row r="345" spans="1:5" x14ac:dyDescent="0.3">
      <c r="A345" t="s">
        <v>1600</v>
      </c>
      <c r="B345" t="s">
        <v>1601</v>
      </c>
      <c r="C345" t="s">
        <v>1209</v>
      </c>
      <c r="D345" t="s">
        <v>1088</v>
      </c>
      <c r="E345" t="s">
        <v>1602</v>
      </c>
    </row>
    <row r="346" spans="1:5" x14ac:dyDescent="0.3">
      <c r="A346" t="s">
        <v>1699</v>
      </c>
      <c r="B346" t="s">
        <v>1700</v>
      </c>
      <c r="C346" t="s">
        <v>1533</v>
      </c>
      <c r="D346" t="s">
        <v>1111</v>
      </c>
      <c r="E346" t="s">
        <v>1701</v>
      </c>
    </row>
    <row r="347" spans="1:5" x14ac:dyDescent="0.3">
      <c r="A347" t="s">
        <v>1705</v>
      </c>
      <c r="B347" t="s">
        <v>1706</v>
      </c>
      <c r="C347" t="s">
        <v>1543</v>
      </c>
      <c r="D347" t="s">
        <v>1088</v>
      </c>
      <c r="E347" t="s">
        <v>1707</v>
      </c>
    </row>
    <row r="348" spans="1:5" x14ac:dyDescent="0.3">
      <c r="A348" t="s">
        <v>10824</v>
      </c>
      <c r="B348" t="s">
        <v>8055</v>
      </c>
      <c r="C348" t="s">
        <v>2696</v>
      </c>
      <c r="D348" t="s">
        <v>2696</v>
      </c>
      <c r="E348" t="s">
        <v>10825</v>
      </c>
    </row>
    <row r="349" spans="1:5" x14ac:dyDescent="0.3">
      <c r="A349" t="s">
        <v>10846</v>
      </c>
      <c r="B349" t="s">
        <v>10847</v>
      </c>
      <c r="C349" t="s">
        <v>2696</v>
      </c>
      <c r="D349" t="s">
        <v>2696</v>
      </c>
      <c r="E349" t="s">
        <v>10848</v>
      </c>
    </row>
    <row r="350" spans="1:5" x14ac:dyDescent="0.3">
      <c r="A350" t="s">
        <v>1711</v>
      </c>
      <c r="B350" t="s">
        <v>1712</v>
      </c>
      <c r="C350" t="s">
        <v>1543</v>
      </c>
      <c r="D350" t="s">
        <v>1088</v>
      </c>
      <c r="E350" t="s">
        <v>1713</v>
      </c>
    </row>
    <row r="351" spans="1:5" x14ac:dyDescent="0.3">
      <c r="A351" t="s">
        <v>11085</v>
      </c>
      <c r="B351" t="s">
        <v>11086</v>
      </c>
      <c r="E351" t="s">
        <v>11087</v>
      </c>
    </row>
    <row r="352" spans="1:5" x14ac:dyDescent="0.3">
      <c r="A352" t="s">
        <v>1846</v>
      </c>
      <c r="B352" t="s">
        <v>1847</v>
      </c>
      <c r="C352" t="s">
        <v>1110</v>
      </c>
      <c r="D352" t="s">
        <v>1111</v>
      </c>
      <c r="E352" t="s">
        <v>1848</v>
      </c>
    </row>
    <row r="353" spans="1:5" x14ac:dyDescent="0.3">
      <c r="A353" t="s">
        <v>11453</v>
      </c>
      <c r="B353" t="s">
        <v>11454</v>
      </c>
      <c r="C353" t="s">
        <v>2696</v>
      </c>
      <c r="D353" t="s">
        <v>2696</v>
      </c>
      <c r="E353" t="s">
        <v>11455</v>
      </c>
    </row>
    <row r="354" spans="1:5" x14ac:dyDescent="0.3">
      <c r="A354" t="s">
        <v>1684</v>
      </c>
      <c r="B354" t="s">
        <v>1685</v>
      </c>
      <c r="C354" t="s">
        <v>1533</v>
      </c>
      <c r="D354" t="s">
        <v>1111</v>
      </c>
      <c r="E354" t="s">
        <v>1686</v>
      </c>
    </row>
    <row r="355" spans="1:5" x14ac:dyDescent="0.3">
      <c r="A355" t="s">
        <v>1696</v>
      </c>
      <c r="B355" t="s">
        <v>1697</v>
      </c>
      <c r="C355" t="s">
        <v>1543</v>
      </c>
      <c r="D355" t="s">
        <v>1088</v>
      </c>
      <c r="E355" t="s">
        <v>1698</v>
      </c>
    </row>
    <row r="356" spans="1:5" x14ac:dyDescent="0.3">
      <c r="A356" t="s">
        <v>11604</v>
      </c>
      <c r="B356" t="s">
        <v>4264</v>
      </c>
      <c r="C356" t="s">
        <v>2703</v>
      </c>
      <c r="D356" t="s">
        <v>2704</v>
      </c>
      <c r="E356" t="s">
        <v>11605</v>
      </c>
    </row>
    <row r="357" spans="1:5" x14ac:dyDescent="0.3">
      <c r="A357" t="s">
        <v>11626</v>
      </c>
      <c r="B357" t="s">
        <v>5346</v>
      </c>
      <c r="C357" t="s">
        <v>4167</v>
      </c>
      <c r="D357" t="s">
        <v>2852</v>
      </c>
      <c r="E357" t="s">
        <v>11627</v>
      </c>
    </row>
    <row r="358" spans="1:5" x14ac:dyDescent="0.3">
      <c r="A358" t="s">
        <v>10869</v>
      </c>
      <c r="B358" t="s">
        <v>10870</v>
      </c>
      <c r="C358" t="s">
        <v>4308</v>
      </c>
      <c r="D358" t="s">
        <v>133</v>
      </c>
      <c r="E358" t="s">
        <v>10871</v>
      </c>
    </row>
    <row r="359" spans="1:5" x14ac:dyDescent="0.3">
      <c r="A359" t="s">
        <v>10892</v>
      </c>
      <c r="B359" t="s">
        <v>10893</v>
      </c>
      <c r="C359" t="s">
        <v>4308</v>
      </c>
      <c r="D359" t="s">
        <v>133</v>
      </c>
      <c r="E359" t="s">
        <v>10894</v>
      </c>
    </row>
    <row r="360" spans="1:5" x14ac:dyDescent="0.3">
      <c r="A360" t="s">
        <v>11109</v>
      </c>
      <c r="B360" t="s">
        <v>11110</v>
      </c>
      <c r="C360" t="s">
        <v>6747</v>
      </c>
      <c r="D360" t="s">
        <v>133</v>
      </c>
      <c r="E360" t="s">
        <v>11111</v>
      </c>
    </row>
    <row r="361" spans="1:5" x14ac:dyDescent="0.3">
      <c r="A361" t="s">
        <v>11131</v>
      </c>
      <c r="B361" t="s">
        <v>11132</v>
      </c>
      <c r="C361" t="s">
        <v>6747</v>
      </c>
      <c r="D361" t="s">
        <v>133</v>
      </c>
      <c r="E361" t="s">
        <v>11133</v>
      </c>
    </row>
    <row r="362" spans="1:5" x14ac:dyDescent="0.3">
      <c r="A362" t="s">
        <v>11477</v>
      </c>
      <c r="B362" t="s">
        <v>11478</v>
      </c>
      <c r="C362" t="s">
        <v>3906</v>
      </c>
      <c r="D362" t="s">
        <v>133</v>
      </c>
      <c r="E362" t="s">
        <v>11479</v>
      </c>
    </row>
    <row r="363" spans="1:5" x14ac:dyDescent="0.3">
      <c r="A363" t="s">
        <v>1855</v>
      </c>
      <c r="B363" t="s">
        <v>1856</v>
      </c>
      <c r="C363" t="s">
        <v>1087</v>
      </c>
      <c r="D363" t="s">
        <v>1088</v>
      </c>
      <c r="E363" t="s">
        <v>1857</v>
      </c>
    </row>
    <row r="364" spans="1:5" x14ac:dyDescent="0.3">
      <c r="A364" t="s">
        <v>1708</v>
      </c>
      <c r="B364" t="s">
        <v>1709</v>
      </c>
      <c r="C364" t="s">
        <v>1153</v>
      </c>
      <c r="D364" t="s">
        <v>1088</v>
      </c>
      <c r="E364" t="s">
        <v>1710</v>
      </c>
    </row>
    <row r="365" spans="1:5" x14ac:dyDescent="0.3">
      <c r="A365" t="s">
        <v>1714</v>
      </c>
      <c r="B365" t="s">
        <v>1715</v>
      </c>
      <c r="C365" t="s">
        <v>1153</v>
      </c>
      <c r="D365" t="s">
        <v>1088</v>
      </c>
      <c r="E365" t="s">
        <v>1716</v>
      </c>
    </row>
    <row r="366" spans="1:5" x14ac:dyDescent="0.3">
      <c r="A366" t="s">
        <v>11649</v>
      </c>
      <c r="B366" t="s">
        <v>11650</v>
      </c>
      <c r="C366" t="s">
        <v>4167</v>
      </c>
      <c r="D366" t="s">
        <v>2852</v>
      </c>
      <c r="E366" t="s">
        <v>11651</v>
      </c>
    </row>
    <row r="367" spans="1:5" x14ac:dyDescent="0.3">
      <c r="A367" t="s">
        <v>1702</v>
      </c>
      <c r="B367" t="s">
        <v>1703</v>
      </c>
      <c r="C367" t="s">
        <v>1153</v>
      </c>
      <c r="D367" t="s">
        <v>1088</v>
      </c>
      <c r="E367" t="s">
        <v>1704</v>
      </c>
    </row>
    <row r="368" spans="1:5" x14ac:dyDescent="0.3">
      <c r="A368" t="s">
        <v>10915</v>
      </c>
      <c r="B368" t="s">
        <v>10916</v>
      </c>
      <c r="C368" t="s">
        <v>4256</v>
      </c>
      <c r="D368" t="s">
        <v>133</v>
      </c>
      <c r="E368" t="s">
        <v>10917</v>
      </c>
    </row>
    <row r="369" spans="1:5" x14ac:dyDescent="0.3">
      <c r="A369" t="s">
        <v>11154</v>
      </c>
      <c r="B369" t="s">
        <v>11155</v>
      </c>
      <c r="C369" t="s">
        <v>6747</v>
      </c>
      <c r="D369" t="s">
        <v>133</v>
      </c>
      <c r="E369" t="s">
        <v>11156</v>
      </c>
    </row>
    <row r="370" spans="1:5" x14ac:dyDescent="0.3">
      <c r="A370" t="s">
        <v>11177</v>
      </c>
      <c r="B370" t="s">
        <v>11178</v>
      </c>
      <c r="C370" t="s">
        <v>6747</v>
      </c>
      <c r="D370" t="s">
        <v>133</v>
      </c>
      <c r="E370" t="s">
        <v>11179</v>
      </c>
    </row>
    <row r="371" spans="1:5" x14ac:dyDescent="0.3">
      <c r="A371" t="s">
        <v>11652</v>
      </c>
      <c r="B371" t="s">
        <v>11653</v>
      </c>
      <c r="C371" t="s">
        <v>6333</v>
      </c>
      <c r="D371" t="s">
        <v>2709</v>
      </c>
      <c r="E371" t="s">
        <v>11654</v>
      </c>
    </row>
    <row r="372" spans="1:5" x14ac:dyDescent="0.3">
      <c r="A372" t="s">
        <v>11495</v>
      </c>
      <c r="B372" t="s">
        <v>11496</v>
      </c>
      <c r="C372" t="s">
        <v>2703</v>
      </c>
      <c r="D372" t="s">
        <v>2704</v>
      </c>
      <c r="E372" t="s">
        <v>11497</v>
      </c>
    </row>
    <row r="373" spans="1:5" x14ac:dyDescent="0.3">
      <c r="A373" t="s">
        <v>1864</v>
      </c>
      <c r="B373" t="s">
        <v>1865</v>
      </c>
      <c r="C373" t="s">
        <v>1543</v>
      </c>
      <c r="D373" t="s">
        <v>1088</v>
      </c>
      <c r="E373" t="s">
        <v>1866</v>
      </c>
    </row>
    <row r="374" spans="1:5" x14ac:dyDescent="0.3">
      <c r="A374" t="s">
        <v>10937</v>
      </c>
      <c r="B374" t="s">
        <v>10938</v>
      </c>
      <c r="C374" t="s">
        <v>4256</v>
      </c>
      <c r="D374" t="s">
        <v>133</v>
      </c>
      <c r="E374" t="s">
        <v>10939</v>
      </c>
    </row>
    <row r="375" spans="1:5" x14ac:dyDescent="0.3">
      <c r="A375" t="s">
        <v>1520</v>
      </c>
      <c r="B375" t="s">
        <v>1521</v>
      </c>
      <c r="C375" t="s">
        <v>1523</v>
      </c>
      <c r="D375" t="s">
        <v>1111</v>
      </c>
      <c r="E375" t="s">
        <v>1522</v>
      </c>
    </row>
    <row r="376" spans="1:5" x14ac:dyDescent="0.3">
      <c r="A376" t="s">
        <v>11198</v>
      </c>
      <c r="B376" t="s">
        <v>11199</v>
      </c>
      <c r="C376" t="s">
        <v>4679</v>
      </c>
      <c r="D376" t="s">
        <v>2704</v>
      </c>
      <c r="E376" t="s">
        <v>11200</v>
      </c>
    </row>
    <row r="377" spans="1:5" x14ac:dyDescent="0.3">
      <c r="A377" t="s">
        <v>11331</v>
      </c>
      <c r="B377" t="s">
        <v>11332</v>
      </c>
      <c r="C377" t="s">
        <v>4933</v>
      </c>
      <c r="D377" t="s">
        <v>3712</v>
      </c>
      <c r="E377" t="s">
        <v>11333</v>
      </c>
    </row>
    <row r="378" spans="1:5" x14ac:dyDescent="0.3">
      <c r="A378" t="s">
        <v>11355</v>
      </c>
      <c r="B378" t="s">
        <v>11356</v>
      </c>
      <c r="C378" t="s">
        <v>2703</v>
      </c>
      <c r="D378" t="s">
        <v>2704</v>
      </c>
      <c r="E378" t="s">
        <v>11357</v>
      </c>
    </row>
    <row r="379" spans="1:5" x14ac:dyDescent="0.3">
      <c r="A379" t="s">
        <v>11409</v>
      </c>
      <c r="B379" t="s">
        <v>8221</v>
      </c>
      <c r="C379" t="s">
        <v>6333</v>
      </c>
      <c r="D379" t="s">
        <v>2709</v>
      </c>
      <c r="E379" t="s">
        <v>11410</v>
      </c>
    </row>
    <row r="380" spans="1:5" x14ac:dyDescent="0.3">
      <c r="A380" t="s">
        <v>11432</v>
      </c>
      <c r="B380" t="s">
        <v>11433</v>
      </c>
      <c r="C380" t="s">
        <v>11435</v>
      </c>
      <c r="D380" t="s">
        <v>3712</v>
      </c>
      <c r="E380" t="s">
        <v>11434</v>
      </c>
    </row>
    <row r="381" spans="1:5" x14ac:dyDescent="0.3">
      <c r="A381" t="s">
        <v>11219</v>
      </c>
      <c r="B381" t="s">
        <v>11220</v>
      </c>
      <c r="C381" t="s">
        <v>4679</v>
      </c>
      <c r="D381" t="s">
        <v>2704</v>
      </c>
      <c r="E381" t="s">
        <v>11221</v>
      </c>
    </row>
    <row r="382" spans="1:5" x14ac:dyDescent="0.3">
      <c r="A382" t="s">
        <v>11242</v>
      </c>
      <c r="B382" t="s">
        <v>11243</v>
      </c>
      <c r="C382" t="s">
        <v>4308</v>
      </c>
      <c r="D382" t="s">
        <v>133</v>
      </c>
      <c r="E382" t="s">
        <v>11244</v>
      </c>
    </row>
    <row r="383" spans="1:5" x14ac:dyDescent="0.3">
      <c r="A383" t="s">
        <v>10960</v>
      </c>
      <c r="B383" t="s">
        <v>10961</v>
      </c>
      <c r="C383" t="s">
        <v>4781</v>
      </c>
      <c r="D383" t="s">
        <v>133</v>
      </c>
      <c r="E383" t="s">
        <v>10962</v>
      </c>
    </row>
    <row r="384" spans="1:5" x14ac:dyDescent="0.3">
      <c r="A384" t="s">
        <v>10983</v>
      </c>
      <c r="B384" t="s">
        <v>2594</v>
      </c>
      <c r="C384" t="s">
        <v>4679</v>
      </c>
      <c r="D384" t="s">
        <v>2704</v>
      </c>
      <c r="E384" t="s">
        <v>10984</v>
      </c>
    </row>
    <row r="385" spans="1:5" x14ac:dyDescent="0.3">
      <c r="A385" t="s">
        <v>1870</v>
      </c>
      <c r="B385" t="s">
        <v>1871</v>
      </c>
      <c r="C385" t="s">
        <v>1543</v>
      </c>
      <c r="D385" t="s">
        <v>1088</v>
      </c>
      <c r="E385" t="s">
        <v>1872</v>
      </c>
    </row>
    <row r="386" spans="1:5" x14ac:dyDescent="0.3">
      <c r="A386" t="s">
        <v>11535</v>
      </c>
      <c r="B386" t="s">
        <v>11536</v>
      </c>
      <c r="C386" t="s">
        <v>3906</v>
      </c>
      <c r="D386" t="s">
        <v>133</v>
      </c>
      <c r="E386" t="s">
        <v>11537</v>
      </c>
    </row>
    <row r="387" spans="1:5" x14ac:dyDescent="0.3">
      <c r="A387" t="s">
        <v>11375</v>
      </c>
      <c r="B387" t="s">
        <v>11376</v>
      </c>
      <c r="C387" t="s">
        <v>2703</v>
      </c>
      <c r="D387" t="s">
        <v>2704</v>
      </c>
      <c r="E387" t="s">
        <v>11377</v>
      </c>
    </row>
    <row r="388" spans="1:5" x14ac:dyDescent="0.3">
      <c r="A388" t="s">
        <v>1648</v>
      </c>
      <c r="B388" t="s">
        <v>1649</v>
      </c>
      <c r="C388" t="s">
        <v>1543</v>
      </c>
      <c r="D388" t="s">
        <v>1088</v>
      </c>
      <c r="E388" t="s">
        <v>1650</v>
      </c>
    </row>
    <row r="389" spans="1:5" x14ac:dyDescent="0.3">
      <c r="A389" t="s">
        <v>11445</v>
      </c>
      <c r="B389" t="s">
        <v>8833</v>
      </c>
      <c r="C389" t="s">
        <v>2696</v>
      </c>
      <c r="D389" t="s">
        <v>2696</v>
      </c>
      <c r="E389" t="s">
        <v>11446</v>
      </c>
    </row>
    <row r="390" spans="1:5" x14ac:dyDescent="0.3">
      <c r="A390" t="s">
        <v>11468</v>
      </c>
      <c r="B390" t="s">
        <v>11469</v>
      </c>
      <c r="C390" t="s">
        <v>2696</v>
      </c>
      <c r="D390" t="s">
        <v>2696</v>
      </c>
      <c r="E390" t="s">
        <v>11470</v>
      </c>
    </row>
    <row r="391" spans="1:5" x14ac:dyDescent="0.3">
      <c r="A391" t="s">
        <v>11266</v>
      </c>
      <c r="B391" t="s">
        <v>11267</v>
      </c>
      <c r="C391" t="s">
        <v>4167</v>
      </c>
      <c r="D391" t="s">
        <v>2852</v>
      </c>
      <c r="E391" t="s">
        <v>11268</v>
      </c>
    </row>
    <row r="392" spans="1:5" x14ac:dyDescent="0.3">
      <c r="A392" t="s">
        <v>11290</v>
      </c>
      <c r="B392" t="s">
        <v>11291</v>
      </c>
      <c r="C392" t="s">
        <v>4781</v>
      </c>
      <c r="D392" t="s">
        <v>133</v>
      </c>
      <c r="E392" t="s">
        <v>11292</v>
      </c>
    </row>
    <row r="393" spans="1:5" x14ac:dyDescent="0.3">
      <c r="A393" t="s">
        <v>1729</v>
      </c>
      <c r="B393" t="s">
        <v>1730</v>
      </c>
      <c r="C393" t="s">
        <v>1543</v>
      </c>
      <c r="D393" t="s">
        <v>1088</v>
      </c>
      <c r="E393" t="s">
        <v>1731</v>
      </c>
    </row>
    <row r="394" spans="1:5" x14ac:dyDescent="0.3">
      <c r="A394" t="s">
        <v>11091</v>
      </c>
      <c r="B394" t="s">
        <v>11092</v>
      </c>
      <c r="E394" t="s">
        <v>11093</v>
      </c>
    </row>
    <row r="395" spans="1:5" x14ac:dyDescent="0.3">
      <c r="A395" t="s">
        <v>11558</v>
      </c>
      <c r="B395" t="s">
        <v>11559</v>
      </c>
      <c r="C395" t="s">
        <v>3906</v>
      </c>
      <c r="D395" t="s">
        <v>133</v>
      </c>
      <c r="E395" t="s">
        <v>11560</v>
      </c>
    </row>
    <row r="396" spans="1:5" x14ac:dyDescent="0.3">
      <c r="A396" t="s">
        <v>1666</v>
      </c>
      <c r="B396" t="s">
        <v>1667</v>
      </c>
      <c r="C396" t="s">
        <v>1153</v>
      </c>
      <c r="D396" t="s">
        <v>1088</v>
      </c>
      <c r="E396" t="s">
        <v>1668</v>
      </c>
    </row>
    <row r="397" spans="1:5" x14ac:dyDescent="0.3">
      <c r="A397" t="s">
        <v>11398</v>
      </c>
      <c r="B397" t="s">
        <v>2804</v>
      </c>
      <c r="C397" t="s">
        <v>6333</v>
      </c>
      <c r="D397" t="s">
        <v>2709</v>
      </c>
      <c r="E397" t="s">
        <v>11399</v>
      </c>
    </row>
    <row r="398" spans="1:5" x14ac:dyDescent="0.3">
      <c r="A398" t="s">
        <v>11005</v>
      </c>
      <c r="B398" t="s">
        <v>4178</v>
      </c>
      <c r="C398" t="s">
        <v>4167</v>
      </c>
      <c r="D398" t="s">
        <v>2852</v>
      </c>
      <c r="E398" t="s">
        <v>11006</v>
      </c>
    </row>
    <row r="399" spans="1:5" x14ac:dyDescent="0.3">
      <c r="A399" t="s">
        <v>11027</v>
      </c>
      <c r="B399" t="s">
        <v>11028</v>
      </c>
      <c r="C399" t="s">
        <v>4167</v>
      </c>
      <c r="D399" t="s">
        <v>2852</v>
      </c>
      <c r="E399" t="s">
        <v>11029</v>
      </c>
    </row>
    <row r="400" spans="1:5" x14ac:dyDescent="0.3">
      <c r="A400" t="s">
        <v>11311</v>
      </c>
      <c r="B400" t="s">
        <v>5958</v>
      </c>
      <c r="C400" t="s">
        <v>4781</v>
      </c>
      <c r="D400" t="s">
        <v>133</v>
      </c>
      <c r="E400" t="s">
        <v>11312</v>
      </c>
    </row>
    <row r="401" spans="1:5" x14ac:dyDescent="0.3">
      <c r="A401" t="s">
        <v>1747</v>
      </c>
      <c r="B401" t="s">
        <v>1748</v>
      </c>
      <c r="C401" t="s">
        <v>1209</v>
      </c>
      <c r="D401" t="s">
        <v>1088</v>
      </c>
      <c r="E401" t="s">
        <v>1749</v>
      </c>
    </row>
    <row r="402" spans="1:5" x14ac:dyDescent="0.3">
      <c r="A402" t="s">
        <v>11573</v>
      </c>
      <c r="B402" t="s">
        <v>11574</v>
      </c>
      <c r="C402" t="s">
        <v>3946</v>
      </c>
      <c r="D402" t="s">
        <v>2709</v>
      </c>
      <c r="E402" t="s">
        <v>11575</v>
      </c>
    </row>
    <row r="403" spans="1:5" x14ac:dyDescent="0.3">
      <c r="A403" t="s">
        <v>11596</v>
      </c>
      <c r="B403" t="s">
        <v>6689</v>
      </c>
      <c r="C403" t="s">
        <v>2703</v>
      </c>
      <c r="D403" t="s">
        <v>2704</v>
      </c>
      <c r="E403" t="s">
        <v>11597</v>
      </c>
    </row>
    <row r="404" spans="1:5" x14ac:dyDescent="0.3">
      <c r="A404" t="s">
        <v>11674</v>
      </c>
      <c r="B404" t="s">
        <v>11675</v>
      </c>
      <c r="C404" t="s">
        <v>3936</v>
      </c>
      <c r="D404" t="s">
        <v>3712</v>
      </c>
      <c r="E404" t="s">
        <v>11676</v>
      </c>
    </row>
    <row r="405" spans="1:5" x14ac:dyDescent="0.3">
      <c r="A405" t="s">
        <v>1735</v>
      </c>
      <c r="B405" t="s">
        <v>1736</v>
      </c>
      <c r="C405" t="s">
        <v>1533</v>
      </c>
      <c r="D405" t="s">
        <v>1111</v>
      </c>
      <c r="E405" t="s">
        <v>1737</v>
      </c>
    </row>
    <row r="406" spans="1:5" x14ac:dyDescent="0.3">
      <c r="A406" t="s">
        <v>11420</v>
      </c>
      <c r="B406" t="s">
        <v>11421</v>
      </c>
      <c r="C406" t="s">
        <v>2703</v>
      </c>
      <c r="D406" t="s">
        <v>2704</v>
      </c>
      <c r="E406" t="s">
        <v>11422</v>
      </c>
    </row>
    <row r="407" spans="1:5" x14ac:dyDescent="0.3">
      <c r="A407" t="s">
        <v>1723</v>
      </c>
      <c r="B407" t="s">
        <v>1724</v>
      </c>
      <c r="C407" t="s">
        <v>1110</v>
      </c>
      <c r="D407" t="s">
        <v>1111</v>
      </c>
      <c r="E407" t="s">
        <v>1725</v>
      </c>
    </row>
    <row r="408" spans="1:5" x14ac:dyDescent="0.3">
      <c r="A408" t="s">
        <v>1750</v>
      </c>
      <c r="B408" t="s">
        <v>1751</v>
      </c>
      <c r="C408" t="s">
        <v>1209</v>
      </c>
      <c r="D408" t="s">
        <v>1088</v>
      </c>
      <c r="E408" t="s">
        <v>1752</v>
      </c>
    </row>
    <row r="409" spans="1:5" x14ac:dyDescent="0.3">
      <c r="A409" t="s">
        <v>11340</v>
      </c>
      <c r="B409" t="s">
        <v>11341</v>
      </c>
      <c r="C409" t="s">
        <v>4933</v>
      </c>
      <c r="D409" t="s">
        <v>3712</v>
      </c>
      <c r="E409" t="s">
        <v>11342</v>
      </c>
    </row>
    <row r="410" spans="1:5" x14ac:dyDescent="0.3">
      <c r="A410" t="s">
        <v>11492</v>
      </c>
      <c r="B410" t="s">
        <v>11493</v>
      </c>
      <c r="C410" t="s">
        <v>3906</v>
      </c>
      <c r="D410" t="s">
        <v>133</v>
      </c>
      <c r="E410" t="s">
        <v>11494</v>
      </c>
    </row>
    <row r="411" spans="1:5" x14ac:dyDescent="0.3">
      <c r="A411" t="s">
        <v>1738</v>
      </c>
      <c r="B411" t="s">
        <v>1739</v>
      </c>
      <c r="C411" t="s">
        <v>1087</v>
      </c>
      <c r="D411" t="s">
        <v>1088</v>
      </c>
      <c r="E411" t="s">
        <v>1740</v>
      </c>
    </row>
    <row r="412" spans="1:5" x14ac:dyDescent="0.3">
      <c r="A412" t="s">
        <v>11617</v>
      </c>
      <c r="B412" t="s">
        <v>11618</v>
      </c>
      <c r="C412" t="s">
        <v>4167</v>
      </c>
      <c r="D412" t="s">
        <v>2852</v>
      </c>
      <c r="E412" t="s">
        <v>11619</v>
      </c>
    </row>
    <row r="413" spans="1:5" x14ac:dyDescent="0.3">
      <c r="A413" t="s">
        <v>11640</v>
      </c>
      <c r="B413" t="s">
        <v>11641</v>
      </c>
      <c r="C413" t="s">
        <v>4167</v>
      </c>
      <c r="D413" t="s">
        <v>2852</v>
      </c>
      <c r="E413" t="s">
        <v>11642</v>
      </c>
    </row>
    <row r="414" spans="1:5" x14ac:dyDescent="0.3">
      <c r="A414" t="s">
        <v>11050</v>
      </c>
      <c r="B414" t="s">
        <v>11051</v>
      </c>
      <c r="C414" t="s">
        <v>4933</v>
      </c>
      <c r="D414" t="s">
        <v>3712</v>
      </c>
      <c r="E414" t="s">
        <v>11052</v>
      </c>
    </row>
    <row r="415" spans="1:5" x14ac:dyDescent="0.3">
      <c r="A415" t="s">
        <v>1537</v>
      </c>
      <c r="B415" t="s">
        <v>1538</v>
      </c>
      <c r="C415" t="s">
        <v>1533</v>
      </c>
      <c r="D415" t="s">
        <v>1111</v>
      </c>
      <c r="E415" t="s">
        <v>1539</v>
      </c>
    </row>
    <row r="416" spans="1:5" x14ac:dyDescent="0.3">
      <c r="A416" t="s">
        <v>10968</v>
      </c>
      <c r="B416" t="s">
        <v>10969</v>
      </c>
      <c r="C416" t="s">
        <v>3906</v>
      </c>
      <c r="D416" t="s">
        <v>133</v>
      </c>
      <c r="E416" t="s">
        <v>10970</v>
      </c>
    </row>
    <row r="417" spans="1:5" x14ac:dyDescent="0.3">
      <c r="A417" t="s">
        <v>11363</v>
      </c>
      <c r="B417" t="s">
        <v>11364</v>
      </c>
      <c r="C417" t="s">
        <v>2703</v>
      </c>
      <c r="D417" t="s">
        <v>2704</v>
      </c>
    </row>
    <row r="418" spans="1:5" x14ac:dyDescent="0.3">
      <c r="A418" t="s">
        <v>11384</v>
      </c>
      <c r="B418" t="s">
        <v>11385</v>
      </c>
      <c r="C418" t="s">
        <v>2703</v>
      </c>
      <c r="D418" t="s">
        <v>2704</v>
      </c>
      <c r="E418" t="s">
        <v>11386</v>
      </c>
    </row>
    <row r="419" spans="1:5" x14ac:dyDescent="0.3">
      <c r="A419" t="s">
        <v>11509</v>
      </c>
      <c r="B419" t="s">
        <v>11510</v>
      </c>
      <c r="C419" t="s">
        <v>2703</v>
      </c>
      <c r="D419" t="s">
        <v>2704</v>
      </c>
      <c r="E419" t="s">
        <v>11511</v>
      </c>
    </row>
    <row r="420" spans="1:5" x14ac:dyDescent="0.3">
      <c r="A420" t="s">
        <v>1744</v>
      </c>
      <c r="B420" t="s">
        <v>1745</v>
      </c>
      <c r="C420" t="s">
        <v>1543</v>
      </c>
      <c r="D420" t="s">
        <v>1088</v>
      </c>
      <c r="E420" t="s">
        <v>1746</v>
      </c>
    </row>
    <row r="421" spans="1:5" x14ac:dyDescent="0.3">
      <c r="A421" t="s">
        <v>1879</v>
      </c>
      <c r="B421" t="s">
        <v>1880</v>
      </c>
      <c r="C421" t="s">
        <v>1153</v>
      </c>
      <c r="D421" t="s">
        <v>1088</v>
      </c>
      <c r="E421" t="s">
        <v>1881</v>
      </c>
    </row>
    <row r="422" spans="1:5" x14ac:dyDescent="0.3">
      <c r="A422" t="s">
        <v>1882</v>
      </c>
      <c r="B422" t="s">
        <v>1883</v>
      </c>
      <c r="C422" t="s">
        <v>1153</v>
      </c>
      <c r="D422" t="s">
        <v>1088</v>
      </c>
      <c r="E422" t="s">
        <v>1884</v>
      </c>
    </row>
    <row r="423" spans="1:5" x14ac:dyDescent="0.3">
      <c r="A423" t="s">
        <v>1553</v>
      </c>
      <c r="B423" t="s">
        <v>1554</v>
      </c>
      <c r="C423" t="s">
        <v>1533</v>
      </c>
      <c r="D423" t="s">
        <v>1111</v>
      </c>
      <c r="E423" t="s">
        <v>1555</v>
      </c>
    </row>
    <row r="424" spans="1:5" x14ac:dyDescent="0.3">
      <c r="A424" t="s">
        <v>1556</v>
      </c>
      <c r="B424" t="s">
        <v>1557</v>
      </c>
      <c r="C424" t="s">
        <v>1543</v>
      </c>
      <c r="D424" t="s">
        <v>1088</v>
      </c>
      <c r="E424" t="s">
        <v>1558</v>
      </c>
    </row>
    <row r="425" spans="1:5" x14ac:dyDescent="0.3">
      <c r="A425" t="s">
        <v>11456</v>
      </c>
      <c r="B425" t="s">
        <v>11457</v>
      </c>
      <c r="C425" t="s">
        <v>2696</v>
      </c>
      <c r="D425" t="s">
        <v>2696</v>
      </c>
      <c r="E425" t="s">
        <v>11458</v>
      </c>
    </row>
    <row r="426" spans="1:5" x14ac:dyDescent="0.3">
      <c r="A426" t="s">
        <v>11480</v>
      </c>
      <c r="B426" t="s">
        <v>11481</v>
      </c>
      <c r="C426" t="s">
        <v>3906</v>
      </c>
      <c r="D426" t="s">
        <v>133</v>
      </c>
      <c r="E426" t="s">
        <v>11482</v>
      </c>
    </row>
    <row r="427" spans="1:5" x14ac:dyDescent="0.3">
      <c r="A427" t="s">
        <v>11527</v>
      </c>
      <c r="B427" t="s">
        <v>11528</v>
      </c>
      <c r="C427" t="s">
        <v>3906</v>
      </c>
      <c r="D427" t="s">
        <v>133</v>
      </c>
      <c r="E427" t="s">
        <v>11529</v>
      </c>
    </row>
    <row r="428" spans="1:5" x14ac:dyDescent="0.3">
      <c r="A428" t="s">
        <v>11550</v>
      </c>
      <c r="B428" t="s">
        <v>11551</v>
      </c>
      <c r="C428" t="s">
        <v>3906</v>
      </c>
      <c r="D428" t="s">
        <v>133</v>
      </c>
      <c r="E428" t="s">
        <v>11552</v>
      </c>
    </row>
    <row r="429" spans="1:5" x14ac:dyDescent="0.3">
      <c r="A429" t="s">
        <v>11666</v>
      </c>
      <c r="B429" t="s">
        <v>11667</v>
      </c>
      <c r="C429" t="s">
        <v>4933</v>
      </c>
      <c r="D429" t="s">
        <v>3712</v>
      </c>
      <c r="E429" t="s">
        <v>11668</v>
      </c>
    </row>
    <row r="430" spans="1:5" x14ac:dyDescent="0.3">
      <c r="A430" t="s">
        <v>11688</v>
      </c>
      <c r="B430" t="s">
        <v>11689</v>
      </c>
      <c r="C430" t="s">
        <v>3936</v>
      </c>
      <c r="D430" t="s">
        <v>3712</v>
      </c>
      <c r="E430" t="s">
        <v>11690</v>
      </c>
    </row>
    <row r="431" spans="1:5" x14ac:dyDescent="0.3">
      <c r="A431" t="s">
        <v>10991</v>
      </c>
      <c r="B431" t="s">
        <v>10992</v>
      </c>
      <c r="C431" t="s">
        <v>4679</v>
      </c>
      <c r="D431" t="s">
        <v>2704</v>
      </c>
      <c r="E431" t="s">
        <v>10993</v>
      </c>
    </row>
    <row r="432" spans="1:5" x14ac:dyDescent="0.3">
      <c r="A432" t="s">
        <v>11013</v>
      </c>
      <c r="B432" t="s">
        <v>11014</v>
      </c>
      <c r="C432" t="s">
        <v>4167</v>
      </c>
      <c r="D432" t="s">
        <v>2852</v>
      </c>
      <c r="E432" t="s">
        <v>11015</v>
      </c>
    </row>
    <row r="433" spans="1:5" x14ac:dyDescent="0.3">
      <c r="A433" t="s">
        <v>1726</v>
      </c>
      <c r="B433" t="s">
        <v>1727</v>
      </c>
      <c r="C433" t="s">
        <v>1087</v>
      </c>
      <c r="D433" t="s">
        <v>1088</v>
      </c>
      <c r="E433" t="s">
        <v>1728</v>
      </c>
    </row>
    <row r="434" spans="1:5" x14ac:dyDescent="0.3">
      <c r="A434" t="s">
        <v>1562</v>
      </c>
      <c r="B434" t="s">
        <v>1563</v>
      </c>
      <c r="C434" t="s">
        <v>1543</v>
      </c>
      <c r="D434" t="s">
        <v>1088</v>
      </c>
      <c r="E434" t="s">
        <v>1564</v>
      </c>
    </row>
    <row r="435" spans="1:5" x14ac:dyDescent="0.3">
      <c r="A435" t="s">
        <v>11564</v>
      </c>
      <c r="B435" t="s">
        <v>11565</v>
      </c>
      <c r="C435" t="s">
        <v>3946</v>
      </c>
      <c r="D435" t="s">
        <v>2709</v>
      </c>
      <c r="E435" t="s">
        <v>11566</v>
      </c>
    </row>
    <row r="436" spans="1:5" x14ac:dyDescent="0.3">
      <c r="A436" t="s">
        <v>11588</v>
      </c>
      <c r="B436" t="s">
        <v>11589</v>
      </c>
      <c r="C436" t="s">
        <v>2703</v>
      </c>
      <c r="D436" t="s">
        <v>2704</v>
      </c>
      <c r="E436" t="s">
        <v>11590</v>
      </c>
    </row>
    <row r="437" spans="1:5" x14ac:dyDescent="0.3">
      <c r="A437" t="s">
        <v>11708</v>
      </c>
      <c r="B437" t="s">
        <v>9690</v>
      </c>
      <c r="C437" t="s">
        <v>4246</v>
      </c>
      <c r="D437" t="s">
        <v>2709</v>
      </c>
      <c r="E437" t="s">
        <v>11709</v>
      </c>
    </row>
    <row r="438" spans="1:5" x14ac:dyDescent="0.3">
      <c r="A438" t="s">
        <v>1756</v>
      </c>
      <c r="B438" t="s">
        <v>1757</v>
      </c>
      <c r="C438" t="s">
        <v>1543</v>
      </c>
      <c r="D438" t="s">
        <v>1088</v>
      </c>
      <c r="E438" t="s">
        <v>1758</v>
      </c>
    </row>
    <row r="439" spans="1:5" x14ac:dyDescent="0.3">
      <c r="A439" t="s">
        <v>1783</v>
      </c>
      <c r="B439" t="s">
        <v>1784</v>
      </c>
      <c r="C439" t="s">
        <v>1153</v>
      </c>
      <c r="D439" t="s">
        <v>1088</v>
      </c>
      <c r="E439" t="s">
        <v>1785</v>
      </c>
    </row>
    <row r="440" spans="1:5" x14ac:dyDescent="0.3">
      <c r="A440" t="s">
        <v>1792</v>
      </c>
      <c r="B440" t="s">
        <v>1793</v>
      </c>
      <c r="C440" t="s">
        <v>1153</v>
      </c>
      <c r="D440" t="s">
        <v>1088</v>
      </c>
      <c r="E440" t="s">
        <v>1794</v>
      </c>
    </row>
    <row r="441" spans="1:5" x14ac:dyDescent="0.3">
      <c r="A441" t="s">
        <v>11094</v>
      </c>
      <c r="B441" t="s">
        <v>11095</v>
      </c>
      <c r="C441" t="s">
        <v>6574</v>
      </c>
      <c r="D441" t="s">
        <v>2852</v>
      </c>
      <c r="E441" t="s">
        <v>11096</v>
      </c>
    </row>
    <row r="442" spans="1:5" x14ac:dyDescent="0.3">
      <c r="A442" t="s">
        <v>11116</v>
      </c>
      <c r="B442" t="s">
        <v>11117</v>
      </c>
      <c r="C442" t="s">
        <v>6747</v>
      </c>
      <c r="D442" t="s">
        <v>133</v>
      </c>
      <c r="E442" t="s">
        <v>11118</v>
      </c>
    </row>
    <row r="443" spans="1:5" x14ac:dyDescent="0.3">
      <c r="A443" t="s">
        <v>1768</v>
      </c>
      <c r="B443" t="s">
        <v>1769</v>
      </c>
      <c r="C443" t="s">
        <v>1543</v>
      </c>
      <c r="D443" t="s">
        <v>1088</v>
      </c>
      <c r="E443" t="s">
        <v>1770</v>
      </c>
    </row>
    <row r="444" spans="1:5" x14ac:dyDescent="0.3">
      <c r="A444" t="s">
        <v>11733</v>
      </c>
      <c r="B444" t="s">
        <v>11734</v>
      </c>
      <c r="C444" t="s">
        <v>3946</v>
      </c>
      <c r="D444" t="s">
        <v>2709</v>
      </c>
      <c r="E444" t="s">
        <v>11735</v>
      </c>
    </row>
    <row r="445" spans="1:5" x14ac:dyDescent="0.3">
      <c r="A445" t="s">
        <v>11608</v>
      </c>
      <c r="B445" t="s">
        <v>11609</v>
      </c>
      <c r="C445" t="s">
        <v>4167</v>
      </c>
      <c r="D445" t="s">
        <v>2852</v>
      </c>
      <c r="E445" t="s">
        <v>11610</v>
      </c>
    </row>
    <row r="446" spans="1:5" x14ac:dyDescent="0.3">
      <c r="A446" t="s">
        <v>11406</v>
      </c>
      <c r="B446" t="s">
        <v>11407</v>
      </c>
      <c r="C446" t="s">
        <v>6333</v>
      </c>
      <c r="D446" t="s">
        <v>2709</v>
      </c>
      <c r="E446" t="s">
        <v>11408</v>
      </c>
    </row>
    <row r="447" spans="1:5" x14ac:dyDescent="0.3">
      <c r="A447" t="s">
        <v>11429</v>
      </c>
      <c r="B447" t="s">
        <v>11430</v>
      </c>
      <c r="C447" t="s">
        <v>2703</v>
      </c>
      <c r="D447" t="s">
        <v>2704</v>
      </c>
      <c r="E447" t="s">
        <v>11431</v>
      </c>
    </row>
    <row r="448" spans="1:5" x14ac:dyDescent="0.3">
      <c r="A448" t="s">
        <v>11699</v>
      </c>
      <c r="B448" t="s">
        <v>11700</v>
      </c>
      <c r="C448" t="s">
        <v>4246</v>
      </c>
      <c r="D448" t="s">
        <v>2709</v>
      </c>
      <c r="E448" t="s">
        <v>11701</v>
      </c>
    </row>
    <row r="449" spans="1:5" x14ac:dyDescent="0.3">
      <c r="A449" t="s">
        <v>11722</v>
      </c>
      <c r="B449" t="s">
        <v>11723</v>
      </c>
      <c r="C449" t="s">
        <v>4246</v>
      </c>
      <c r="D449" t="s">
        <v>2709</v>
      </c>
      <c r="E449" t="s">
        <v>11724</v>
      </c>
    </row>
    <row r="450" spans="1:5" x14ac:dyDescent="0.3">
      <c r="A450" t="s">
        <v>11140</v>
      </c>
      <c r="B450" t="s">
        <v>1742</v>
      </c>
      <c r="C450" t="s">
        <v>6747</v>
      </c>
      <c r="D450" t="s">
        <v>133</v>
      </c>
      <c r="E450" t="s">
        <v>11141</v>
      </c>
    </row>
    <row r="451" spans="1:5" x14ac:dyDescent="0.3">
      <c r="A451" t="s">
        <v>11163</v>
      </c>
      <c r="B451" t="s">
        <v>11164</v>
      </c>
      <c r="C451" t="s">
        <v>6747</v>
      </c>
      <c r="D451" t="s">
        <v>133</v>
      </c>
      <c r="E451" t="s">
        <v>11165</v>
      </c>
    </row>
    <row r="452" spans="1:5" x14ac:dyDescent="0.3">
      <c r="A452" t="s">
        <v>11036</v>
      </c>
      <c r="B452" t="s">
        <v>2750</v>
      </c>
      <c r="C452" t="s">
        <v>4167</v>
      </c>
      <c r="D452" t="s">
        <v>2852</v>
      </c>
      <c r="E452" t="s">
        <v>11037</v>
      </c>
    </row>
    <row r="453" spans="1:5" x14ac:dyDescent="0.3">
      <c r="A453" t="s">
        <v>11059</v>
      </c>
      <c r="B453" t="s">
        <v>11060</v>
      </c>
      <c r="C453" t="s">
        <v>4933</v>
      </c>
      <c r="D453" t="s">
        <v>3712</v>
      </c>
      <c r="E453" t="s">
        <v>11061</v>
      </c>
    </row>
    <row r="454" spans="1:5" x14ac:dyDescent="0.3">
      <c r="A454" t="s">
        <v>1887</v>
      </c>
      <c r="B454" t="s">
        <v>1888</v>
      </c>
      <c r="C454" t="s">
        <v>1543</v>
      </c>
      <c r="D454" t="s">
        <v>1088</v>
      </c>
      <c r="E454" t="s">
        <v>1889</v>
      </c>
    </row>
    <row r="455" spans="1:5" x14ac:dyDescent="0.3">
      <c r="A455" t="s">
        <v>1899</v>
      </c>
      <c r="B455" t="s">
        <v>1900</v>
      </c>
      <c r="C455" t="s">
        <v>1543</v>
      </c>
      <c r="D455" t="s">
        <v>1088</v>
      </c>
      <c r="E455" t="s">
        <v>1901</v>
      </c>
    </row>
    <row r="456" spans="1:5" x14ac:dyDescent="0.3">
      <c r="A456" t="s">
        <v>11631</v>
      </c>
      <c r="B456" t="s">
        <v>11632</v>
      </c>
      <c r="C456" t="s">
        <v>4167</v>
      </c>
      <c r="D456" t="s">
        <v>2852</v>
      </c>
      <c r="E456" t="s">
        <v>11633</v>
      </c>
    </row>
    <row r="457" spans="1:5" x14ac:dyDescent="0.3">
      <c r="A457" t="s">
        <v>1765</v>
      </c>
      <c r="B457" t="s">
        <v>1766</v>
      </c>
      <c r="C457" t="s">
        <v>1153</v>
      </c>
      <c r="D457" t="s">
        <v>1088</v>
      </c>
      <c r="E457" t="s">
        <v>1767</v>
      </c>
    </row>
    <row r="458" spans="1:5" x14ac:dyDescent="0.3">
      <c r="A458" t="s">
        <v>11186</v>
      </c>
      <c r="B458" t="s">
        <v>5731</v>
      </c>
      <c r="C458" t="s">
        <v>6747</v>
      </c>
      <c r="D458" t="s">
        <v>133</v>
      </c>
      <c r="E458" t="s">
        <v>11187</v>
      </c>
    </row>
    <row r="459" spans="1:5" x14ac:dyDescent="0.3">
      <c r="A459" t="s">
        <v>11206</v>
      </c>
      <c r="B459" t="s">
        <v>3153</v>
      </c>
      <c r="C459" t="s">
        <v>4679</v>
      </c>
      <c r="D459" t="s">
        <v>2704</v>
      </c>
      <c r="E459" t="s">
        <v>11207</v>
      </c>
    </row>
    <row r="460" spans="1:5" x14ac:dyDescent="0.3">
      <c r="A460" t="s">
        <v>2034</v>
      </c>
      <c r="B460" t="s">
        <v>2035</v>
      </c>
      <c r="C460" t="s">
        <v>1533</v>
      </c>
      <c r="D460" t="s">
        <v>1111</v>
      </c>
      <c r="E460" t="s">
        <v>2036</v>
      </c>
    </row>
    <row r="461" spans="1:5" x14ac:dyDescent="0.3">
      <c r="A461" t="s">
        <v>2037</v>
      </c>
      <c r="B461" t="s">
        <v>2038</v>
      </c>
      <c r="C461" t="s">
        <v>1543</v>
      </c>
      <c r="D461" t="s">
        <v>1088</v>
      </c>
      <c r="E461" t="s">
        <v>2039</v>
      </c>
    </row>
    <row r="462" spans="1:5" x14ac:dyDescent="0.3">
      <c r="A462" t="s">
        <v>11748</v>
      </c>
      <c r="B462" t="s">
        <v>11749</v>
      </c>
      <c r="C462" t="s">
        <v>3946</v>
      </c>
      <c r="D462" t="s">
        <v>2709</v>
      </c>
      <c r="E462" t="s">
        <v>11750</v>
      </c>
    </row>
    <row r="463" spans="1:5" x14ac:dyDescent="0.3">
      <c r="A463" t="s">
        <v>11772</v>
      </c>
      <c r="B463" t="s">
        <v>11773</v>
      </c>
      <c r="C463" t="s">
        <v>11435</v>
      </c>
      <c r="D463" t="s">
        <v>3712</v>
      </c>
      <c r="E463" t="s">
        <v>11774</v>
      </c>
    </row>
    <row r="464" spans="1:5" x14ac:dyDescent="0.3">
      <c r="A464" t="s">
        <v>11757</v>
      </c>
      <c r="B464" t="s">
        <v>11758</v>
      </c>
      <c r="C464" t="s">
        <v>3946</v>
      </c>
      <c r="D464" t="s">
        <v>2709</v>
      </c>
      <c r="E464" t="s">
        <v>11759</v>
      </c>
    </row>
    <row r="465" spans="1:5" x14ac:dyDescent="0.3">
      <c r="A465" t="s">
        <v>11781</v>
      </c>
      <c r="B465" t="s">
        <v>11782</v>
      </c>
      <c r="C465" t="s">
        <v>11435</v>
      </c>
      <c r="D465" t="s">
        <v>3712</v>
      </c>
      <c r="E465" t="s">
        <v>11783</v>
      </c>
    </row>
    <row r="466" spans="1:5" x14ac:dyDescent="0.3">
      <c r="A466" t="s">
        <v>1816</v>
      </c>
      <c r="B466" t="s">
        <v>1817</v>
      </c>
      <c r="C466" t="s">
        <v>1196</v>
      </c>
      <c r="D466" t="s">
        <v>1088</v>
      </c>
      <c r="E466" t="s">
        <v>1818</v>
      </c>
    </row>
    <row r="467" spans="1:5" x14ac:dyDescent="0.3">
      <c r="A467" t="s">
        <v>11465</v>
      </c>
      <c r="B467" t="s">
        <v>11466</v>
      </c>
      <c r="C467" t="s">
        <v>2696</v>
      </c>
      <c r="D467" t="s">
        <v>2696</v>
      </c>
      <c r="E467" t="s">
        <v>11467</v>
      </c>
    </row>
    <row r="468" spans="1:5" x14ac:dyDescent="0.3">
      <c r="A468" t="s">
        <v>11227</v>
      </c>
      <c r="B468" t="s">
        <v>11228</v>
      </c>
      <c r="C468" t="s">
        <v>4679</v>
      </c>
      <c r="D468" t="s">
        <v>2704</v>
      </c>
      <c r="E468" t="s">
        <v>11229</v>
      </c>
    </row>
    <row r="469" spans="1:5" x14ac:dyDescent="0.3">
      <c r="A469" t="s">
        <v>11251</v>
      </c>
      <c r="B469" t="s">
        <v>11252</v>
      </c>
      <c r="C469" t="s">
        <v>4308</v>
      </c>
      <c r="D469" t="s">
        <v>133</v>
      </c>
      <c r="E469" t="s">
        <v>11253</v>
      </c>
    </row>
    <row r="470" spans="1:5" x14ac:dyDescent="0.3">
      <c r="A470" t="s">
        <v>2051</v>
      </c>
      <c r="B470" t="s">
        <v>2052</v>
      </c>
      <c r="C470" t="s">
        <v>1543</v>
      </c>
      <c r="D470" t="s">
        <v>1088</v>
      </c>
      <c r="E470" t="s">
        <v>2053</v>
      </c>
    </row>
    <row r="471" spans="1:5" x14ac:dyDescent="0.3">
      <c r="A471" t="s">
        <v>11080</v>
      </c>
      <c r="B471" t="s">
        <v>11081</v>
      </c>
      <c r="E471" t="s">
        <v>11082</v>
      </c>
    </row>
    <row r="472" spans="1:5" x14ac:dyDescent="0.3">
      <c r="A472" t="s">
        <v>11796</v>
      </c>
      <c r="B472" t="s">
        <v>11797</v>
      </c>
      <c r="C472" t="s">
        <v>11435</v>
      </c>
      <c r="D472" t="s">
        <v>3712</v>
      </c>
      <c r="E472" t="s">
        <v>11798</v>
      </c>
    </row>
    <row r="473" spans="1:5" x14ac:dyDescent="0.3">
      <c r="A473" t="s">
        <v>1917</v>
      </c>
      <c r="B473" t="s">
        <v>1918</v>
      </c>
      <c r="C473" t="s">
        <v>1110</v>
      </c>
      <c r="D473" t="s">
        <v>1111</v>
      </c>
      <c r="E473" t="s">
        <v>1919</v>
      </c>
    </row>
    <row r="474" spans="1:5" x14ac:dyDescent="0.3">
      <c r="A474" t="s">
        <v>1771</v>
      </c>
      <c r="B474" t="s">
        <v>1772</v>
      </c>
      <c r="C474" t="s">
        <v>1153</v>
      </c>
      <c r="D474" t="s">
        <v>1088</v>
      </c>
      <c r="E474" t="s">
        <v>1773</v>
      </c>
    </row>
    <row r="475" spans="1:5" x14ac:dyDescent="0.3">
      <c r="A475" t="s">
        <v>11658</v>
      </c>
      <c r="B475" t="s">
        <v>1664</v>
      </c>
      <c r="C475" t="s">
        <v>4933</v>
      </c>
      <c r="D475" t="s">
        <v>3712</v>
      </c>
      <c r="E475" t="s">
        <v>11659</v>
      </c>
    </row>
    <row r="476" spans="1:5" x14ac:dyDescent="0.3">
      <c r="A476" t="s">
        <v>11275</v>
      </c>
      <c r="B476" t="s">
        <v>11276</v>
      </c>
      <c r="C476" t="s">
        <v>4167</v>
      </c>
      <c r="D476" t="s">
        <v>2852</v>
      </c>
      <c r="E476" t="s">
        <v>11277</v>
      </c>
    </row>
    <row r="477" spans="1:5" x14ac:dyDescent="0.3">
      <c r="A477" t="s">
        <v>11298</v>
      </c>
      <c r="B477" t="s">
        <v>11299</v>
      </c>
      <c r="C477" t="s">
        <v>4781</v>
      </c>
      <c r="D477" t="s">
        <v>133</v>
      </c>
      <c r="E477" t="s">
        <v>11300</v>
      </c>
    </row>
    <row r="478" spans="1:5" x14ac:dyDescent="0.3">
      <c r="A478" t="s">
        <v>11831</v>
      </c>
      <c r="B478" t="s">
        <v>11832</v>
      </c>
      <c r="C478" t="s">
        <v>3946</v>
      </c>
      <c r="D478" t="s">
        <v>2709</v>
      </c>
      <c r="E478" t="s">
        <v>11833</v>
      </c>
    </row>
    <row r="479" spans="1:5" x14ac:dyDescent="0.3">
      <c r="A479" t="s">
        <v>11855</v>
      </c>
      <c r="B479" t="s">
        <v>11856</v>
      </c>
      <c r="C479" t="s">
        <v>3946</v>
      </c>
      <c r="D479" t="s">
        <v>2709</v>
      </c>
      <c r="E479" t="s">
        <v>11857</v>
      </c>
    </row>
    <row r="480" spans="1:5" x14ac:dyDescent="0.3">
      <c r="A480" t="s">
        <v>11318</v>
      </c>
      <c r="B480" t="s">
        <v>2747</v>
      </c>
      <c r="C480" t="s">
        <v>4781</v>
      </c>
      <c r="D480" t="s">
        <v>133</v>
      </c>
      <c r="E480" t="s">
        <v>11319</v>
      </c>
    </row>
    <row r="481" spans="1:5" x14ac:dyDescent="0.3">
      <c r="A481" t="s">
        <v>1589</v>
      </c>
      <c r="B481" t="s">
        <v>1590</v>
      </c>
      <c r="C481" t="s">
        <v>1209</v>
      </c>
      <c r="D481" t="s">
        <v>1088</v>
      </c>
      <c r="E481" t="s">
        <v>1591</v>
      </c>
    </row>
    <row r="482" spans="1:5" x14ac:dyDescent="0.3">
      <c r="A482" t="s">
        <v>11114</v>
      </c>
      <c r="B482" t="s">
        <v>2701</v>
      </c>
      <c r="C482" t="s">
        <v>6747</v>
      </c>
      <c r="D482" t="s">
        <v>133</v>
      </c>
      <c r="E482" t="s">
        <v>11115</v>
      </c>
    </row>
    <row r="483" spans="1:5" x14ac:dyDescent="0.3">
      <c r="A483" t="s">
        <v>11137</v>
      </c>
      <c r="B483" t="s">
        <v>11138</v>
      </c>
      <c r="C483" t="s">
        <v>6747</v>
      </c>
      <c r="D483" t="s">
        <v>133</v>
      </c>
      <c r="E483" t="s">
        <v>11139</v>
      </c>
    </row>
    <row r="484" spans="1:5" x14ac:dyDescent="0.3">
      <c r="A484" t="s">
        <v>11805</v>
      </c>
      <c r="B484" t="s">
        <v>11806</v>
      </c>
      <c r="C484" t="s">
        <v>11435</v>
      </c>
      <c r="D484" t="s">
        <v>3712</v>
      </c>
      <c r="E484" t="s">
        <v>11807</v>
      </c>
    </row>
    <row r="485" spans="1:5" x14ac:dyDescent="0.3">
      <c r="A485" t="s">
        <v>1923</v>
      </c>
      <c r="B485" t="s">
        <v>1924</v>
      </c>
      <c r="C485" t="s">
        <v>1543</v>
      </c>
      <c r="D485" t="s">
        <v>1088</v>
      </c>
      <c r="E485" t="s">
        <v>1925</v>
      </c>
    </row>
    <row r="486" spans="1:5" x14ac:dyDescent="0.3">
      <c r="A486" t="s">
        <v>11873</v>
      </c>
      <c r="B486" t="s">
        <v>11874</v>
      </c>
      <c r="C486" t="s">
        <v>2708</v>
      </c>
      <c r="D486" t="s">
        <v>2709</v>
      </c>
      <c r="E486" t="s">
        <v>11875</v>
      </c>
    </row>
    <row r="487" spans="1:5" x14ac:dyDescent="0.3">
      <c r="A487" t="s">
        <v>11498</v>
      </c>
      <c r="B487" t="s">
        <v>11499</v>
      </c>
      <c r="C487" t="s">
        <v>2703</v>
      </c>
      <c r="D487" t="s">
        <v>2704</v>
      </c>
      <c r="E487" t="s">
        <v>11500</v>
      </c>
    </row>
    <row r="488" spans="1:5" x14ac:dyDescent="0.3">
      <c r="A488" t="s">
        <v>1732</v>
      </c>
      <c r="B488" t="s">
        <v>1733</v>
      </c>
      <c r="C488" t="s">
        <v>1543</v>
      </c>
      <c r="D488" t="s">
        <v>1088</v>
      </c>
      <c r="E488" t="s">
        <v>1734</v>
      </c>
    </row>
    <row r="489" spans="1:5" x14ac:dyDescent="0.3">
      <c r="A489" t="s">
        <v>1592</v>
      </c>
      <c r="B489" t="s">
        <v>1593</v>
      </c>
      <c r="C489" t="s">
        <v>1209</v>
      </c>
      <c r="D489" t="s">
        <v>1088</v>
      </c>
    </row>
    <row r="490" spans="1:5" x14ac:dyDescent="0.3">
      <c r="A490" t="s">
        <v>11349</v>
      </c>
      <c r="B490" t="s">
        <v>11350</v>
      </c>
      <c r="C490" t="s">
        <v>2703</v>
      </c>
      <c r="D490" t="s">
        <v>2704</v>
      </c>
      <c r="E490" t="s">
        <v>11351</v>
      </c>
    </row>
    <row r="491" spans="1:5" x14ac:dyDescent="0.3">
      <c r="A491" t="s">
        <v>11680</v>
      </c>
      <c r="B491" t="s">
        <v>1706</v>
      </c>
      <c r="C491" t="s">
        <v>3936</v>
      </c>
      <c r="D491" t="s">
        <v>3712</v>
      </c>
      <c r="E491" t="s">
        <v>11681</v>
      </c>
    </row>
    <row r="492" spans="1:5" x14ac:dyDescent="0.3">
      <c r="A492" t="s">
        <v>11691</v>
      </c>
      <c r="B492" t="s">
        <v>10637</v>
      </c>
      <c r="C492" t="s">
        <v>4246</v>
      </c>
      <c r="D492" t="s">
        <v>2709</v>
      </c>
      <c r="E492" t="s">
        <v>11692</v>
      </c>
    </row>
    <row r="493" spans="1:5" x14ac:dyDescent="0.3">
      <c r="A493" t="s">
        <v>11817</v>
      </c>
      <c r="B493" t="s">
        <v>11818</v>
      </c>
      <c r="C493" t="s">
        <v>3946</v>
      </c>
      <c r="D493" t="s">
        <v>2709</v>
      </c>
      <c r="E493" t="s">
        <v>11819</v>
      </c>
    </row>
    <row r="494" spans="1:5" x14ac:dyDescent="0.3">
      <c r="A494" t="s">
        <v>11840</v>
      </c>
      <c r="B494" t="s">
        <v>11841</v>
      </c>
      <c r="C494" t="s">
        <v>3946</v>
      </c>
      <c r="D494" t="s">
        <v>2709</v>
      </c>
      <c r="E494" t="s">
        <v>11842</v>
      </c>
    </row>
    <row r="495" spans="1:5" x14ac:dyDescent="0.3">
      <c r="A495" t="s">
        <v>11893</v>
      </c>
      <c r="B495" t="s">
        <v>11894</v>
      </c>
      <c r="C495" t="s">
        <v>6574</v>
      </c>
      <c r="D495" t="s">
        <v>2852</v>
      </c>
      <c r="E495" t="s">
        <v>11895</v>
      </c>
    </row>
    <row r="496" spans="1:5" x14ac:dyDescent="0.3">
      <c r="A496" t="s">
        <v>11916</v>
      </c>
      <c r="B496" t="s">
        <v>11917</v>
      </c>
      <c r="C496" t="s">
        <v>2821</v>
      </c>
      <c r="D496" t="s">
        <v>133</v>
      </c>
      <c r="E496" t="s">
        <v>11918</v>
      </c>
    </row>
    <row r="497" spans="1:5" x14ac:dyDescent="0.3">
      <c r="A497" t="s">
        <v>11160</v>
      </c>
      <c r="B497" t="s">
        <v>11161</v>
      </c>
      <c r="C497" t="s">
        <v>6747</v>
      </c>
      <c r="D497" t="s">
        <v>133</v>
      </c>
      <c r="E497" t="s">
        <v>11162</v>
      </c>
    </row>
    <row r="498" spans="1:5" x14ac:dyDescent="0.3">
      <c r="A498" t="s">
        <v>11183</v>
      </c>
      <c r="B498" t="s">
        <v>11184</v>
      </c>
      <c r="C498" t="s">
        <v>6747</v>
      </c>
      <c r="D498" t="s">
        <v>133</v>
      </c>
      <c r="E498" t="s">
        <v>11185</v>
      </c>
    </row>
    <row r="499" spans="1:5" x14ac:dyDescent="0.3">
      <c r="A499" t="s">
        <v>11370</v>
      </c>
      <c r="B499" t="s">
        <v>6897</v>
      </c>
      <c r="C499" t="s">
        <v>2703</v>
      </c>
      <c r="D499" t="s">
        <v>2704</v>
      </c>
      <c r="E499" t="s">
        <v>11371</v>
      </c>
    </row>
    <row r="500" spans="1:5" x14ac:dyDescent="0.3">
      <c r="A500" t="s">
        <v>1597</v>
      </c>
      <c r="B500" t="s">
        <v>1598</v>
      </c>
      <c r="C500" t="s">
        <v>1543</v>
      </c>
      <c r="D500" t="s">
        <v>1088</v>
      </c>
      <c r="E500" t="s">
        <v>1599</v>
      </c>
    </row>
    <row r="501" spans="1:5" x14ac:dyDescent="0.3">
      <c r="A501" t="s">
        <v>11515</v>
      </c>
      <c r="B501" t="s">
        <v>11516</v>
      </c>
      <c r="C501" t="s">
        <v>3906</v>
      </c>
      <c r="D501" t="s">
        <v>133</v>
      </c>
      <c r="E501" t="s">
        <v>11517</v>
      </c>
    </row>
    <row r="502" spans="1:5" x14ac:dyDescent="0.3">
      <c r="A502" t="s">
        <v>11538</v>
      </c>
      <c r="B502" t="s">
        <v>11539</v>
      </c>
      <c r="C502" t="s">
        <v>3906</v>
      </c>
      <c r="D502" t="s">
        <v>133</v>
      </c>
      <c r="E502" t="s">
        <v>11540</v>
      </c>
    </row>
    <row r="503" spans="1:5" x14ac:dyDescent="0.3">
      <c r="A503" t="s">
        <v>1950</v>
      </c>
      <c r="B503" t="s">
        <v>1951</v>
      </c>
      <c r="C503" t="s">
        <v>1196</v>
      </c>
      <c r="D503" t="s">
        <v>1088</v>
      </c>
      <c r="E503" t="s">
        <v>1952</v>
      </c>
    </row>
    <row r="504" spans="1:5" x14ac:dyDescent="0.3">
      <c r="A504" t="s">
        <v>1959</v>
      </c>
      <c r="B504" t="s">
        <v>1960</v>
      </c>
      <c r="C504" t="s">
        <v>1196</v>
      </c>
      <c r="D504" t="s">
        <v>1088</v>
      </c>
      <c r="E504" t="s">
        <v>1961</v>
      </c>
    </row>
    <row r="505" spans="1:5" x14ac:dyDescent="0.3">
      <c r="A505" t="s">
        <v>11713</v>
      </c>
      <c r="B505" t="s">
        <v>11714</v>
      </c>
      <c r="C505" t="s">
        <v>4246</v>
      </c>
      <c r="D505" t="s">
        <v>2709</v>
      </c>
      <c r="E505" t="s">
        <v>11715</v>
      </c>
    </row>
    <row r="506" spans="1:5" x14ac:dyDescent="0.3">
      <c r="A506" t="s">
        <v>1807</v>
      </c>
      <c r="B506" t="s">
        <v>1808</v>
      </c>
      <c r="C506" t="s">
        <v>1543</v>
      </c>
      <c r="D506" t="s">
        <v>1088</v>
      </c>
      <c r="E506" t="s">
        <v>1809</v>
      </c>
    </row>
    <row r="507" spans="1:5" x14ac:dyDescent="0.3">
      <c r="A507" t="s">
        <v>11864</v>
      </c>
      <c r="B507" t="s">
        <v>11865</v>
      </c>
      <c r="C507" t="s">
        <v>3093</v>
      </c>
      <c r="D507" t="s">
        <v>2852</v>
      </c>
      <c r="E507" t="s">
        <v>11866</v>
      </c>
    </row>
    <row r="508" spans="1:5" x14ac:dyDescent="0.3">
      <c r="A508" t="s">
        <v>1804</v>
      </c>
      <c r="B508" t="s">
        <v>1805</v>
      </c>
      <c r="C508" t="s">
        <v>1543</v>
      </c>
      <c r="D508" t="s">
        <v>1088</v>
      </c>
      <c r="E508" t="s">
        <v>1806</v>
      </c>
    </row>
    <row r="509" spans="1:5" x14ac:dyDescent="0.3">
      <c r="A509" t="s">
        <v>1606</v>
      </c>
      <c r="B509" t="s">
        <v>1607</v>
      </c>
      <c r="C509" t="s">
        <v>1153</v>
      </c>
      <c r="D509" t="s">
        <v>1088</v>
      </c>
      <c r="E509" t="s">
        <v>1608</v>
      </c>
    </row>
    <row r="510" spans="1:5" x14ac:dyDescent="0.3">
      <c r="A510" t="s">
        <v>11392</v>
      </c>
      <c r="B510" t="s">
        <v>11393</v>
      </c>
      <c r="C510" t="s">
        <v>6333</v>
      </c>
      <c r="D510" t="s">
        <v>2709</v>
      </c>
      <c r="E510" t="s">
        <v>11394</v>
      </c>
    </row>
    <row r="511" spans="1:5" x14ac:dyDescent="0.3">
      <c r="A511" t="s">
        <v>11939</v>
      </c>
      <c r="B511" t="s">
        <v>11940</v>
      </c>
      <c r="C511" t="s">
        <v>2851</v>
      </c>
      <c r="D511" t="s">
        <v>2852</v>
      </c>
      <c r="E511" t="s">
        <v>11941</v>
      </c>
    </row>
    <row r="512" spans="1:5" x14ac:dyDescent="0.3">
      <c r="A512" t="s">
        <v>11963</v>
      </c>
      <c r="B512" t="s">
        <v>11964</v>
      </c>
      <c r="C512" t="s">
        <v>2851</v>
      </c>
      <c r="D512" t="s">
        <v>2852</v>
      </c>
      <c r="E512" t="s">
        <v>11965</v>
      </c>
    </row>
    <row r="513" spans="1:5" x14ac:dyDescent="0.3">
      <c r="A513" t="s">
        <v>11414</v>
      </c>
      <c r="B513" t="s">
        <v>11415</v>
      </c>
      <c r="C513" t="s">
        <v>6333</v>
      </c>
      <c r="D513" t="s">
        <v>2709</v>
      </c>
      <c r="E513" t="s">
        <v>11416</v>
      </c>
    </row>
    <row r="514" spans="1:5" x14ac:dyDescent="0.3">
      <c r="A514" t="s">
        <v>11439</v>
      </c>
      <c r="B514" t="s">
        <v>11440</v>
      </c>
      <c r="C514" t="s">
        <v>11435</v>
      </c>
      <c r="D514" t="s">
        <v>3712</v>
      </c>
      <c r="E514" t="s">
        <v>11441</v>
      </c>
    </row>
    <row r="515" spans="1:5" x14ac:dyDescent="0.3">
      <c r="A515" t="s">
        <v>11561</v>
      </c>
      <c r="B515" t="s">
        <v>11562</v>
      </c>
      <c r="C515" t="s">
        <v>4308</v>
      </c>
      <c r="D515" t="s">
        <v>133</v>
      </c>
      <c r="E515" t="s">
        <v>11563</v>
      </c>
    </row>
    <row r="516" spans="1:5" x14ac:dyDescent="0.3">
      <c r="A516" t="s">
        <v>11576</v>
      </c>
      <c r="B516" t="s">
        <v>11577</v>
      </c>
      <c r="C516" t="s">
        <v>3946</v>
      </c>
      <c r="D516" t="s">
        <v>2709</v>
      </c>
      <c r="E516" t="s">
        <v>11578</v>
      </c>
    </row>
    <row r="517" spans="1:5" x14ac:dyDescent="0.3">
      <c r="A517" t="s">
        <v>11882</v>
      </c>
      <c r="B517" t="s">
        <v>11883</v>
      </c>
      <c r="C517" t="s">
        <v>2708</v>
      </c>
      <c r="D517" t="s">
        <v>2709</v>
      </c>
      <c r="E517" t="s">
        <v>11884</v>
      </c>
    </row>
    <row r="518" spans="1:5" x14ac:dyDescent="0.3">
      <c r="A518" t="s">
        <v>11902</v>
      </c>
      <c r="B518" t="s">
        <v>11903</v>
      </c>
      <c r="C518" t="s">
        <v>6574</v>
      </c>
      <c r="D518" t="s">
        <v>2852</v>
      </c>
      <c r="E518" t="s">
        <v>11904</v>
      </c>
    </row>
    <row r="519" spans="1:5" x14ac:dyDescent="0.3">
      <c r="A519" t="s">
        <v>11103</v>
      </c>
      <c r="B519" t="s">
        <v>11104</v>
      </c>
      <c r="C519" t="s">
        <v>6747</v>
      </c>
      <c r="D519" t="s">
        <v>133</v>
      </c>
      <c r="E519" t="s">
        <v>11105</v>
      </c>
    </row>
    <row r="520" spans="1:5" x14ac:dyDescent="0.3">
      <c r="A520" t="s">
        <v>11125</v>
      </c>
      <c r="B520" t="s">
        <v>11126</v>
      </c>
      <c r="C520" t="s">
        <v>6747</v>
      </c>
      <c r="D520" t="s">
        <v>133</v>
      </c>
      <c r="E520" t="s">
        <v>11127</v>
      </c>
    </row>
    <row r="521" spans="1:5" x14ac:dyDescent="0.3">
      <c r="A521" t="s">
        <v>11986</v>
      </c>
      <c r="B521" t="s">
        <v>11987</v>
      </c>
      <c r="C521" t="s">
        <v>4207</v>
      </c>
      <c r="D521" t="s">
        <v>133</v>
      </c>
      <c r="E521" t="s">
        <v>11988</v>
      </c>
    </row>
    <row r="522" spans="1:5" x14ac:dyDescent="0.3">
      <c r="A522" t="s">
        <v>12007</v>
      </c>
      <c r="B522" t="s">
        <v>5016</v>
      </c>
      <c r="C522" t="s">
        <v>4207</v>
      </c>
      <c r="D522" t="s">
        <v>133</v>
      </c>
      <c r="E522" t="s">
        <v>12008</v>
      </c>
    </row>
    <row r="523" spans="1:5" x14ac:dyDescent="0.3">
      <c r="A523" t="s">
        <v>1810</v>
      </c>
      <c r="B523" t="s">
        <v>1811</v>
      </c>
      <c r="C523" t="s">
        <v>1543</v>
      </c>
      <c r="D523" t="s">
        <v>1088</v>
      </c>
      <c r="E523" t="s">
        <v>1812</v>
      </c>
    </row>
    <row r="524" spans="1:5" x14ac:dyDescent="0.3">
      <c r="A524" t="s">
        <v>11739</v>
      </c>
      <c r="B524" t="s">
        <v>11740</v>
      </c>
      <c r="C524" t="s">
        <v>3946</v>
      </c>
      <c r="D524" t="s">
        <v>2709</v>
      </c>
      <c r="E524" t="s">
        <v>11741</v>
      </c>
    </row>
    <row r="525" spans="1:5" x14ac:dyDescent="0.3">
      <c r="A525" t="s">
        <v>11924</v>
      </c>
      <c r="B525" t="s">
        <v>11925</v>
      </c>
      <c r="C525" t="s">
        <v>2821</v>
      </c>
      <c r="D525" t="s">
        <v>133</v>
      </c>
      <c r="E525" t="s">
        <v>11926</v>
      </c>
    </row>
    <row r="526" spans="1:5" x14ac:dyDescent="0.3">
      <c r="A526" t="s">
        <v>1819</v>
      </c>
      <c r="B526" t="s">
        <v>1820</v>
      </c>
      <c r="C526" t="s">
        <v>1196</v>
      </c>
      <c r="D526" t="s">
        <v>1088</v>
      </c>
      <c r="E526" t="s">
        <v>1821</v>
      </c>
    </row>
    <row r="527" spans="1:5" x14ac:dyDescent="0.3">
      <c r="A527" t="s">
        <v>7534</v>
      </c>
      <c r="B527" t="s">
        <v>7535</v>
      </c>
      <c r="C527" t="s">
        <v>4246</v>
      </c>
      <c r="D527" t="s">
        <v>2709</v>
      </c>
      <c r="E527" t="s">
        <v>7536</v>
      </c>
    </row>
    <row r="528" spans="1:5" x14ac:dyDescent="0.3">
      <c r="A528" t="s">
        <v>7557</v>
      </c>
      <c r="B528" t="s">
        <v>7558</v>
      </c>
      <c r="C528" t="s">
        <v>4246</v>
      </c>
      <c r="D528" t="s">
        <v>2709</v>
      </c>
      <c r="E528" t="s">
        <v>7559</v>
      </c>
    </row>
    <row r="529" spans="1:5" x14ac:dyDescent="0.3">
      <c r="A529" t="s">
        <v>11148</v>
      </c>
      <c r="B529" t="s">
        <v>11149</v>
      </c>
      <c r="C529" t="s">
        <v>6747</v>
      </c>
      <c r="D529" t="s">
        <v>133</v>
      </c>
      <c r="E529" t="s">
        <v>11150</v>
      </c>
    </row>
    <row r="530" spans="1:5" x14ac:dyDescent="0.3">
      <c r="A530" t="s">
        <v>11171</v>
      </c>
      <c r="B530" t="s">
        <v>11172</v>
      </c>
      <c r="C530" t="s">
        <v>6747</v>
      </c>
      <c r="D530" t="s">
        <v>133</v>
      </c>
      <c r="E530" t="s">
        <v>11173</v>
      </c>
    </row>
    <row r="531" spans="1:5" x14ac:dyDescent="0.3">
      <c r="A531" t="s">
        <v>11204</v>
      </c>
      <c r="B531" t="s">
        <v>7383</v>
      </c>
      <c r="C531" t="s">
        <v>4679</v>
      </c>
      <c r="D531" t="s">
        <v>2704</v>
      </c>
      <c r="E531" t="s">
        <v>11205</v>
      </c>
    </row>
    <row r="532" spans="1:5" x14ac:dyDescent="0.3">
      <c r="A532" t="s">
        <v>11224</v>
      </c>
      <c r="B532" t="s">
        <v>11225</v>
      </c>
      <c r="C532" t="s">
        <v>4679</v>
      </c>
      <c r="D532" t="s">
        <v>2704</v>
      </c>
      <c r="E532" t="s">
        <v>11226</v>
      </c>
    </row>
    <row r="533" spans="1:5" x14ac:dyDescent="0.3">
      <c r="A533" t="s">
        <v>11598</v>
      </c>
      <c r="B533" t="s">
        <v>11599</v>
      </c>
      <c r="C533" t="s">
        <v>2703</v>
      </c>
      <c r="D533" t="s">
        <v>2704</v>
      </c>
      <c r="E533" t="s">
        <v>11600</v>
      </c>
    </row>
    <row r="534" spans="1:5" x14ac:dyDescent="0.3">
      <c r="A534" t="s">
        <v>11620</v>
      </c>
      <c r="B534" t="s">
        <v>11621</v>
      </c>
      <c r="C534" t="s">
        <v>4167</v>
      </c>
      <c r="D534" t="s">
        <v>2852</v>
      </c>
      <c r="E534" t="s">
        <v>11622</v>
      </c>
    </row>
    <row r="535" spans="1:5" x14ac:dyDescent="0.3">
      <c r="A535" t="s">
        <v>1825</v>
      </c>
      <c r="B535" t="s">
        <v>1826</v>
      </c>
      <c r="C535" t="s">
        <v>1196</v>
      </c>
      <c r="D535" t="s">
        <v>1088</v>
      </c>
      <c r="E535" t="s">
        <v>1827</v>
      </c>
    </row>
    <row r="536" spans="1:5" x14ac:dyDescent="0.3">
      <c r="A536" t="s">
        <v>11948</v>
      </c>
      <c r="B536" t="s">
        <v>11949</v>
      </c>
      <c r="C536" t="s">
        <v>2851</v>
      </c>
      <c r="D536" t="s">
        <v>2852</v>
      </c>
      <c r="E536" t="s">
        <v>11950</v>
      </c>
    </row>
    <row r="537" spans="1:5" x14ac:dyDescent="0.3">
      <c r="A537" t="s">
        <v>7580</v>
      </c>
      <c r="B537" t="s">
        <v>7581</v>
      </c>
      <c r="C537" t="s">
        <v>134</v>
      </c>
      <c r="D537" t="s">
        <v>133</v>
      </c>
      <c r="E537" t="s">
        <v>7582</v>
      </c>
    </row>
    <row r="538" spans="1:5" x14ac:dyDescent="0.3">
      <c r="A538" t="s">
        <v>7604</v>
      </c>
      <c r="B538" t="s">
        <v>7605</v>
      </c>
      <c r="C538" t="s">
        <v>4308</v>
      </c>
      <c r="D538" t="s">
        <v>133</v>
      </c>
      <c r="E538" t="s">
        <v>7606</v>
      </c>
    </row>
    <row r="539" spans="1:5" x14ac:dyDescent="0.3">
      <c r="A539" t="s">
        <v>11192</v>
      </c>
      <c r="B539" t="s">
        <v>11193</v>
      </c>
      <c r="C539" t="s">
        <v>6747</v>
      </c>
      <c r="D539" t="s">
        <v>133</v>
      </c>
      <c r="E539" t="s">
        <v>11194</v>
      </c>
    </row>
    <row r="540" spans="1:5" x14ac:dyDescent="0.3">
      <c r="A540" t="s">
        <v>11214</v>
      </c>
      <c r="B540" t="s">
        <v>11215</v>
      </c>
      <c r="C540" t="s">
        <v>4679</v>
      </c>
      <c r="D540" t="s">
        <v>2704</v>
      </c>
      <c r="E540" t="s">
        <v>11216</v>
      </c>
    </row>
    <row r="541" spans="1:5" x14ac:dyDescent="0.3">
      <c r="A541" t="s">
        <v>11972</v>
      </c>
      <c r="B541" t="s">
        <v>11973</v>
      </c>
      <c r="E541" t="s">
        <v>11974</v>
      </c>
    </row>
    <row r="542" spans="1:5" x14ac:dyDescent="0.3">
      <c r="A542" t="s">
        <v>11994</v>
      </c>
      <c r="B542" t="s">
        <v>11995</v>
      </c>
      <c r="C542" t="s">
        <v>4207</v>
      </c>
      <c r="D542" t="s">
        <v>133</v>
      </c>
      <c r="E542" t="s">
        <v>11996</v>
      </c>
    </row>
    <row r="543" spans="1:5" x14ac:dyDescent="0.3">
      <c r="A543" t="s">
        <v>11643</v>
      </c>
      <c r="B543" t="s">
        <v>11644</v>
      </c>
      <c r="C543" t="s">
        <v>4167</v>
      </c>
      <c r="D543" t="s">
        <v>2852</v>
      </c>
      <c r="E543" t="s">
        <v>11645</v>
      </c>
    </row>
    <row r="544" spans="1:5" x14ac:dyDescent="0.3">
      <c r="A544" t="s">
        <v>1759</v>
      </c>
      <c r="B544" t="s">
        <v>1760</v>
      </c>
      <c r="C544" t="s">
        <v>1153</v>
      </c>
      <c r="D544" t="s">
        <v>1088</v>
      </c>
      <c r="E544" t="s">
        <v>1761</v>
      </c>
    </row>
    <row r="545" spans="1:5" x14ac:dyDescent="0.3">
      <c r="A545" t="s">
        <v>11236</v>
      </c>
      <c r="B545" t="s">
        <v>11237</v>
      </c>
      <c r="C545" t="s">
        <v>3946</v>
      </c>
      <c r="D545" t="s">
        <v>2709</v>
      </c>
      <c r="E545" t="s">
        <v>11238</v>
      </c>
    </row>
    <row r="546" spans="1:5" x14ac:dyDescent="0.3">
      <c r="A546" t="s">
        <v>11260</v>
      </c>
      <c r="B546" t="s">
        <v>11261</v>
      </c>
      <c r="C546" t="s">
        <v>4167</v>
      </c>
      <c r="D546" t="s">
        <v>2852</v>
      </c>
      <c r="E546" t="s">
        <v>11262</v>
      </c>
    </row>
    <row r="547" spans="1:5" x14ac:dyDescent="0.3">
      <c r="A547" t="s">
        <v>11450</v>
      </c>
      <c r="B547" t="s">
        <v>11451</v>
      </c>
      <c r="C547" t="s">
        <v>2696</v>
      </c>
      <c r="D547" t="s">
        <v>2696</v>
      </c>
      <c r="E547" t="s">
        <v>11452</v>
      </c>
    </row>
    <row r="548" spans="1:5" x14ac:dyDescent="0.3">
      <c r="A548" t="s">
        <v>7519</v>
      </c>
      <c r="B548" t="s">
        <v>7520</v>
      </c>
      <c r="C548" t="s">
        <v>4246</v>
      </c>
      <c r="D548" t="s">
        <v>2709</v>
      </c>
      <c r="E548" t="s">
        <v>7521</v>
      </c>
    </row>
    <row r="549" spans="1:5" x14ac:dyDescent="0.3">
      <c r="A549" t="s">
        <v>7543</v>
      </c>
      <c r="B549" t="s">
        <v>6215</v>
      </c>
      <c r="C549" t="s">
        <v>4246</v>
      </c>
      <c r="D549" t="s">
        <v>2709</v>
      </c>
      <c r="E549" t="s">
        <v>7544</v>
      </c>
    </row>
    <row r="550" spans="1:5" x14ac:dyDescent="0.3">
      <c r="A550" t="s">
        <v>2365</v>
      </c>
      <c r="B550" t="s">
        <v>2366</v>
      </c>
      <c r="C550" t="s">
        <v>1533</v>
      </c>
      <c r="D550" t="s">
        <v>1111</v>
      </c>
      <c r="E550" t="s">
        <v>2367</v>
      </c>
    </row>
    <row r="551" spans="1:5" x14ac:dyDescent="0.3">
      <c r="A551" t="s">
        <v>7646</v>
      </c>
      <c r="B551" t="s">
        <v>7647</v>
      </c>
      <c r="C551" t="s">
        <v>2708</v>
      </c>
      <c r="D551" t="s">
        <v>2709</v>
      </c>
      <c r="E551" t="s">
        <v>7648</v>
      </c>
    </row>
    <row r="552" spans="1:5" x14ac:dyDescent="0.3">
      <c r="A552" t="s">
        <v>11284</v>
      </c>
      <c r="B552" t="s">
        <v>11285</v>
      </c>
      <c r="C552" t="s">
        <v>4781</v>
      </c>
      <c r="D552" t="s">
        <v>133</v>
      </c>
      <c r="E552" t="s">
        <v>11286</v>
      </c>
    </row>
    <row r="553" spans="1:5" x14ac:dyDescent="0.3">
      <c r="A553" t="s">
        <v>11307</v>
      </c>
      <c r="B553" t="s">
        <v>7163</v>
      </c>
      <c r="C553" t="s">
        <v>4781</v>
      </c>
      <c r="D553" t="s">
        <v>133</v>
      </c>
      <c r="E553" t="s">
        <v>11308</v>
      </c>
    </row>
    <row r="554" spans="1:5" x14ac:dyDescent="0.3">
      <c r="A554" t="s">
        <v>11763</v>
      </c>
      <c r="B554" t="s">
        <v>11764</v>
      </c>
      <c r="C554" t="s">
        <v>3946</v>
      </c>
      <c r="D554" t="s">
        <v>2709</v>
      </c>
      <c r="E554" t="s">
        <v>11765</v>
      </c>
    </row>
    <row r="555" spans="1:5" x14ac:dyDescent="0.3">
      <c r="A555" t="s">
        <v>11787</v>
      </c>
      <c r="B555" t="s">
        <v>11788</v>
      </c>
      <c r="C555" t="s">
        <v>11435</v>
      </c>
      <c r="D555" t="s">
        <v>3712</v>
      </c>
      <c r="E555" t="s">
        <v>11789</v>
      </c>
    </row>
    <row r="556" spans="1:5" x14ac:dyDescent="0.3">
      <c r="A556" t="s">
        <v>1762</v>
      </c>
      <c r="B556" t="s">
        <v>1763</v>
      </c>
      <c r="C556" t="s">
        <v>1153</v>
      </c>
      <c r="D556" t="s">
        <v>1088</v>
      </c>
      <c r="E556" t="s">
        <v>1764</v>
      </c>
    </row>
    <row r="557" spans="1:5" x14ac:dyDescent="0.3">
      <c r="A557" t="s">
        <v>11669</v>
      </c>
      <c r="B557" t="s">
        <v>11670</v>
      </c>
      <c r="C557" t="s">
        <v>3936</v>
      </c>
      <c r="D557" t="s">
        <v>3712</v>
      </c>
      <c r="E557" t="s">
        <v>11671</v>
      </c>
    </row>
    <row r="558" spans="1:5" x14ac:dyDescent="0.3">
      <c r="A558" t="s">
        <v>11474</v>
      </c>
      <c r="B558" t="s">
        <v>11475</v>
      </c>
      <c r="C558" t="s">
        <v>3906</v>
      </c>
      <c r="D558" t="s">
        <v>133</v>
      </c>
      <c r="E558" t="s">
        <v>11476</v>
      </c>
    </row>
    <row r="559" spans="1:5" x14ac:dyDescent="0.3">
      <c r="A559" t="s">
        <v>1642</v>
      </c>
      <c r="B559" t="s">
        <v>1643</v>
      </c>
      <c r="C559" t="s">
        <v>1087</v>
      </c>
      <c r="D559" t="s">
        <v>1088</v>
      </c>
      <c r="E559" t="s">
        <v>1644</v>
      </c>
    </row>
    <row r="560" spans="1:5" x14ac:dyDescent="0.3">
      <c r="A560" t="s">
        <v>11489</v>
      </c>
      <c r="B560" t="s">
        <v>11490</v>
      </c>
      <c r="C560" t="s">
        <v>3906</v>
      </c>
      <c r="D560" t="s">
        <v>133</v>
      </c>
      <c r="E560" t="s">
        <v>11491</v>
      </c>
    </row>
    <row r="561" spans="1:5" x14ac:dyDescent="0.3">
      <c r="A561" t="s">
        <v>1831</v>
      </c>
      <c r="B561" t="s">
        <v>1832</v>
      </c>
      <c r="C561" t="s">
        <v>1087</v>
      </c>
      <c r="D561" t="s">
        <v>1088</v>
      </c>
      <c r="E561" t="s">
        <v>1833</v>
      </c>
    </row>
    <row r="562" spans="1:5" x14ac:dyDescent="0.3">
      <c r="A562" t="s">
        <v>7670</v>
      </c>
      <c r="B562" t="s">
        <v>7671</v>
      </c>
      <c r="C562" t="s">
        <v>3860</v>
      </c>
      <c r="D562" t="s">
        <v>2704</v>
      </c>
      <c r="E562" t="s">
        <v>7672</v>
      </c>
    </row>
    <row r="563" spans="1:5" x14ac:dyDescent="0.3">
      <c r="A563" t="s">
        <v>1843</v>
      </c>
      <c r="B563" t="s">
        <v>1844</v>
      </c>
      <c r="C563" t="s">
        <v>1110</v>
      </c>
      <c r="D563" t="s">
        <v>1111</v>
      </c>
      <c r="E563" t="s">
        <v>1845</v>
      </c>
    </row>
    <row r="564" spans="1:5" x14ac:dyDescent="0.3">
      <c r="A564" t="s">
        <v>1663</v>
      </c>
      <c r="B564" t="s">
        <v>1664</v>
      </c>
      <c r="C564" t="s">
        <v>1087</v>
      </c>
      <c r="D564" t="s">
        <v>1088</v>
      </c>
      <c r="E564" t="s">
        <v>1665</v>
      </c>
    </row>
    <row r="565" spans="1:5" x14ac:dyDescent="0.3">
      <c r="A565" t="s">
        <v>1672</v>
      </c>
      <c r="B565" t="s">
        <v>1673</v>
      </c>
      <c r="C565" t="s">
        <v>1543</v>
      </c>
      <c r="D565" t="s">
        <v>1088</v>
      </c>
      <c r="E565" t="s">
        <v>1674</v>
      </c>
    </row>
    <row r="566" spans="1:5" x14ac:dyDescent="0.3">
      <c r="A566" t="s">
        <v>11326</v>
      </c>
      <c r="B566" t="s">
        <v>7274</v>
      </c>
      <c r="C566" t="s">
        <v>4781</v>
      </c>
      <c r="D566" t="s">
        <v>133</v>
      </c>
      <c r="E566" t="s">
        <v>11327</v>
      </c>
    </row>
    <row r="567" spans="1:5" x14ac:dyDescent="0.3">
      <c r="A567" t="s">
        <v>2072</v>
      </c>
      <c r="B567" t="s">
        <v>2073</v>
      </c>
      <c r="C567" t="s">
        <v>1209</v>
      </c>
      <c r="D567" t="s">
        <v>1088</v>
      </c>
      <c r="E567" t="s">
        <v>2074</v>
      </c>
    </row>
    <row r="568" spans="1:5" x14ac:dyDescent="0.3">
      <c r="A568" t="s">
        <v>7566</v>
      </c>
      <c r="B568" t="s">
        <v>7567</v>
      </c>
      <c r="C568" t="s">
        <v>4246</v>
      </c>
      <c r="D568" t="s">
        <v>2709</v>
      </c>
      <c r="E568" t="s">
        <v>7568</v>
      </c>
    </row>
    <row r="569" spans="1:5" x14ac:dyDescent="0.3">
      <c r="A569" t="s">
        <v>7589</v>
      </c>
      <c r="B569" t="s">
        <v>7590</v>
      </c>
      <c r="C569" t="s">
        <v>134</v>
      </c>
      <c r="D569" t="s">
        <v>133</v>
      </c>
      <c r="E569" t="s">
        <v>7591</v>
      </c>
    </row>
    <row r="570" spans="1:5" x14ac:dyDescent="0.3">
      <c r="A570" t="s">
        <v>2380</v>
      </c>
      <c r="B570" t="s">
        <v>1167</v>
      </c>
      <c r="C570" t="s">
        <v>1153</v>
      </c>
      <c r="D570" t="s">
        <v>1088</v>
      </c>
      <c r="E570" t="s">
        <v>2381</v>
      </c>
    </row>
    <row r="571" spans="1:5" x14ac:dyDescent="0.3">
      <c r="A571" t="s">
        <v>7701</v>
      </c>
      <c r="B571" t="s">
        <v>7702</v>
      </c>
      <c r="C571" t="s">
        <v>7682</v>
      </c>
      <c r="D571" t="s">
        <v>3712</v>
      </c>
      <c r="E571" t="s">
        <v>7703</v>
      </c>
    </row>
    <row r="572" spans="1:5" x14ac:dyDescent="0.3">
      <c r="A572" t="s">
        <v>11506</v>
      </c>
      <c r="B572" t="s">
        <v>11507</v>
      </c>
      <c r="C572" t="s">
        <v>2703</v>
      </c>
      <c r="D572" t="s">
        <v>2704</v>
      </c>
      <c r="E572" t="s">
        <v>11508</v>
      </c>
    </row>
    <row r="573" spans="1:5" x14ac:dyDescent="0.3">
      <c r="A573" t="s">
        <v>1861</v>
      </c>
      <c r="B573" t="s">
        <v>1862</v>
      </c>
      <c r="C573" t="s">
        <v>1543</v>
      </c>
      <c r="D573" t="s">
        <v>1088</v>
      </c>
      <c r="E573" t="s">
        <v>1863</v>
      </c>
    </row>
    <row r="574" spans="1:5" x14ac:dyDescent="0.3">
      <c r="A574" t="s">
        <v>11248</v>
      </c>
      <c r="B574" t="s">
        <v>11249</v>
      </c>
      <c r="C574" t="s">
        <v>4308</v>
      </c>
      <c r="D574" t="s">
        <v>133</v>
      </c>
      <c r="E574" t="s">
        <v>11250</v>
      </c>
    </row>
    <row r="575" spans="1:5" x14ac:dyDescent="0.3">
      <c r="A575" t="s">
        <v>11272</v>
      </c>
      <c r="B575" t="s">
        <v>11273</v>
      </c>
      <c r="C575" t="s">
        <v>4167</v>
      </c>
      <c r="D575" t="s">
        <v>2852</v>
      </c>
      <c r="E575" t="s">
        <v>11274</v>
      </c>
    </row>
    <row r="576" spans="1:5" x14ac:dyDescent="0.3">
      <c r="A576" t="s">
        <v>1774</v>
      </c>
      <c r="B576" t="s">
        <v>1775</v>
      </c>
      <c r="C576" t="s">
        <v>1533</v>
      </c>
      <c r="D576" t="s">
        <v>1111</v>
      </c>
      <c r="E576" t="s">
        <v>1776</v>
      </c>
    </row>
    <row r="577" spans="1:5" x14ac:dyDescent="0.3">
      <c r="A577" t="s">
        <v>11702</v>
      </c>
      <c r="B577" t="s">
        <v>11703</v>
      </c>
      <c r="C577" t="s">
        <v>4246</v>
      </c>
      <c r="D577" t="s">
        <v>2709</v>
      </c>
      <c r="E577" t="s">
        <v>11704</v>
      </c>
    </row>
    <row r="578" spans="1:5" x14ac:dyDescent="0.3">
      <c r="A578" t="s">
        <v>7723</v>
      </c>
      <c r="B578" t="s">
        <v>7724</v>
      </c>
      <c r="C578" t="s">
        <v>6349</v>
      </c>
      <c r="D578" t="s">
        <v>2841</v>
      </c>
      <c r="E578" t="s">
        <v>7725</v>
      </c>
    </row>
    <row r="579" spans="1:5" x14ac:dyDescent="0.3">
      <c r="A579" t="s">
        <v>7745</v>
      </c>
      <c r="B579" t="s">
        <v>7746</v>
      </c>
      <c r="C579" t="s">
        <v>6349</v>
      </c>
      <c r="D579" t="s">
        <v>2841</v>
      </c>
      <c r="E579" t="s">
        <v>7747</v>
      </c>
    </row>
    <row r="580" spans="1:5" x14ac:dyDescent="0.3">
      <c r="A580" t="s">
        <v>11524</v>
      </c>
      <c r="B580" t="s">
        <v>11525</v>
      </c>
      <c r="C580" t="s">
        <v>3906</v>
      </c>
      <c r="D580" t="s">
        <v>133</v>
      </c>
      <c r="E580" t="s">
        <v>11526</v>
      </c>
    </row>
    <row r="581" spans="1:5" x14ac:dyDescent="0.3">
      <c r="A581" t="s">
        <v>11547</v>
      </c>
      <c r="B581" t="s">
        <v>11548</v>
      </c>
      <c r="C581" t="s">
        <v>3906</v>
      </c>
      <c r="D581" t="s">
        <v>133</v>
      </c>
      <c r="E581" t="s">
        <v>11549</v>
      </c>
    </row>
    <row r="582" spans="1:5" x14ac:dyDescent="0.3">
      <c r="A582" t="s">
        <v>1675</v>
      </c>
      <c r="B582" t="s">
        <v>1676</v>
      </c>
      <c r="C582" t="s">
        <v>1543</v>
      </c>
      <c r="D582" t="s">
        <v>1088</v>
      </c>
      <c r="E582" t="s">
        <v>1677</v>
      </c>
    </row>
    <row r="583" spans="1:5" x14ac:dyDescent="0.3">
      <c r="A583" t="s">
        <v>11532</v>
      </c>
      <c r="B583" t="s">
        <v>11533</v>
      </c>
      <c r="C583" t="s">
        <v>3906</v>
      </c>
      <c r="D583" t="s">
        <v>133</v>
      </c>
      <c r="E583" t="s">
        <v>11534</v>
      </c>
    </row>
    <row r="584" spans="1:5" x14ac:dyDescent="0.3">
      <c r="A584" t="s">
        <v>11823</v>
      </c>
      <c r="B584" t="s">
        <v>11664</v>
      </c>
      <c r="C584" t="s">
        <v>3946</v>
      </c>
      <c r="D584" t="s">
        <v>2709</v>
      </c>
      <c r="E584" t="s">
        <v>11824</v>
      </c>
    </row>
    <row r="585" spans="1:5" x14ac:dyDescent="0.3">
      <c r="A585" t="s">
        <v>11846</v>
      </c>
      <c r="B585" t="s">
        <v>11847</v>
      </c>
      <c r="C585" t="s">
        <v>3946</v>
      </c>
      <c r="D585" t="s">
        <v>2709</v>
      </c>
      <c r="E585" t="s">
        <v>11848</v>
      </c>
    </row>
    <row r="586" spans="1:5" x14ac:dyDescent="0.3">
      <c r="A586" t="s">
        <v>11725</v>
      </c>
      <c r="B586" t="s">
        <v>11726</v>
      </c>
      <c r="C586" t="s">
        <v>4246</v>
      </c>
      <c r="D586" t="s">
        <v>2709</v>
      </c>
      <c r="E586" t="s">
        <v>11727</v>
      </c>
    </row>
    <row r="587" spans="1:5" x14ac:dyDescent="0.3">
      <c r="A587" t="s">
        <v>1789</v>
      </c>
      <c r="B587" t="s">
        <v>1790</v>
      </c>
      <c r="C587" t="s">
        <v>1543</v>
      </c>
      <c r="D587" t="s">
        <v>1088</v>
      </c>
      <c r="E587" t="s">
        <v>1791</v>
      </c>
    </row>
    <row r="588" spans="1:5" x14ac:dyDescent="0.3">
      <c r="A588" t="s">
        <v>11296</v>
      </c>
      <c r="B588" t="s">
        <v>5781</v>
      </c>
      <c r="C588" t="s">
        <v>4781</v>
      </c>
      <c r="D588" t="s">
        <v>133</v>
      </c>
      <c r="E588" t="s">
        <v>11297</v>
      </c>
    </row>
    <row r="589" spans="1:5" x14ac:dyDescent="0.3">
      <c r="A589" t="s">
        <v>11315</v>
      </c>
      <c r="B589" t="s">
        <v>11316</v>
      </c>
      <c r="C589" t="s">
        <v>4781</v>
      </c>
      <c r="D589" t="s">
        <v>133</v>
      </c>
      <c r="E589" t="s">
        <v>11317</v>
      </c>
    </row>
    <row r="590" spans="1:5" x14ac:dyDescent="0.3">
      <c r="A590" t="s">
        <v>1896</v>
      </c>
      <c r="B590" t="s">
        <v>1897</v>
      </c>
      <c r="C590" t="s">
        <v>1501</v>
      </c>
      <c r="D590" t="s">
        <v>1088</v>
      </c>
      <c r="E590" t="s">
        <v>1898</v>
      </c>
    </row>
    <row r="591" spans="1:5" x14ac:dyDescent="0.3">
      <c r="A591" t="s">
        <v>11585</v>
      </c>
      <c r="B591" t="s">
        <v>11586</v>
      </c>
      <c r="C591" t="s">
        <v>2703</v>
      </c>
      <c r="D591" t="s">
        <v>2704</v>
      </c>
      <c r="E591" t="s">
        <v>11587</v>
      </c>
    </row>
    <row r="592" spans="1:5" x14ac:dyDescent="0.3">
      <c r="A592" t="s">
        <v>7769</v>
      </c>
      <c r="B592" t="s">
        <v>7770</v>
      </c>
      <c r="C592" t="s">
        <v>2696</v>
      </c>
      <c r="D592" t="s">
        <v>2696</v>
      </c>
      <c r="E592" t="s">
        <v>7771</v>
      </c>
    </row>
    <row r="593" spans="1:5" x14ac:dyDescent="0.3">
      <c r="A593" t="s">
        <v>7793</v>
      </c>
      <c r="B593" t="s">
        <v>7794</v>
      </c>
      <c r="C593" t="s">
        <v>2696</v>
      </c>
      <c r="D593" t="s">
        <v>2696</v>
      </c>
      <c r="E593" t="s">
        <v>7795</v>
      </c>
    </row>
    <row r="594" spans="1:5" x14ac:dyDescent="0.3">
      <c r="A594" t="s">
        <v>1795</v>
      </c>
      <c r="B594" t="s">
        <v>1796</v>
      </c>
      <c r="C594" t="s">
        <v>1543</v>
      </c>
      <c r="D594" t="s">
        <v>1088</v>
      </c>
      <c r="E594" t="s">
        <v>1797</v>
      </c>
    </row>
    <row r="595" spans="1:5" x14ac:dyDescent="0.3">
      <c r="A595" t="s">
        <v>11751</v>
      </c>
      <c r="B595" t="s">
        <v>11752</v>
      </c>
      <c r="C595" t="s">
        <v>3946</v>
      </c>
      <c r="D595" t="s">
        <v>2709</v>
      </c>
      <c r="E595" t="s">
        <v>11753</v>
      </c>
    </row>
    <row r="596" spans="1:5" x14ac:dyDescent="0.3">
      <c r="A596" t="s">
        <v>1876</v>
      </c>
      <c r="B596" t="s">
        <v>1877</v>
      </c>
      <c r="C596" t="s">
        <v>1543</v>
      </c>
      <c r="D596" t="s">
        <v>1088</v>
      </c>
      <c r="E596" t="s">
        <v>1878</v>
      </c>
    </row>
    <row r="597" spans="1:5" x14ac:dyDescent="0.3">
      <c r="A597" t="s">
        <v>1885</v>
      </c>
      <c r="B597" t="s">
        <v>1835</v>
      </c>
      <c r="C597" t="s">
        <v>1543</v>
      </c>
      <c r="D597" t="s">
        <v>1088</v>
      </c>
      <c r="E597" t="s">
        <v>1886</v>
      </c>
    </row>
    <row r="598" spans="1:5" x14ac:dyDescent="0.3">
      <c r="A598" t="s">
        <v>1849</v>
      </c>
      <c r="B598" t="s">
        <v>1850</v>
      </c>
      <c r="C598" t="s">
        <v>1209</v>
      </c>
      <c r="D598" t="s">
        <v>1088</v>
      </c>
      <c r="E598" t="s">
        <v>1851</v>
      </c>
    </row>
    <row r="599" spans="1:5" x14ac:dyDescent="0.3">
      <c r="A599" t="s">
        <v>1852</v>
      </c>
      <c r="B599" t="s">
        <v>1853</v>
      </c>
      <c r="C599" t="s">
        <v>1209</v>
      </c>
      <c r="D599" t="s">
        <v>1088</v>
      </c>
      <c r="E599" t="s">
        <v>1854</v>
      </c>
    </row>
    <row r="600" spans="1:5" x14ac:dyDescent="0.3">
      <c r="A600" t="s">
        <v>11775</v>
      </c>
      <c r="B600" t="s">
        <v>11776</v>
      </c>
      <c r="C600" t="s">
        <v>11435</v>
      </c>
      <c r="D600" t="s">
        <v>3712</v>
      </c>
      <c r="E600" t="s">
        <v>11777</v>
      </c>
    </row>
    <row r="601" spans="1:5" x14ac:dyDescent="0.3">
      <c r="A601" t="s">
        <v>11606</v>
      </c>
      <c r="B601" t="s">
        <v>8038</v>
      </c>
      <c r="C601" t="s">
        <v>4167</v>
      </c>
      <c r="D601" t="s">
        <v>2852</v>
      </c>
      <c r="E601" t="s">
        <v>11607</v>
      </c>
    </row>
    <row r="602" spans="1:5" x14ac:dyDescent="0.3">
      <c r="A602" t="s">
        <v>7817</v>
      </c>
      <c r="B602" t="s">
        <v>7818</v>
      </c>
      <c r="C602" t="s">
        <v>2696</v>
      </c>
      <c r="D602" t="s">
        <v>2696</v>
      </c>
      <c r="E602" t="s">
        <v>7819</v>
      </c>
    </row>
    <row r="603" spans="1:5" x14ac:dyDescent="0.3">
      <c r="A603" t="s">
        <v>7841</v>
      </c>
      <c r="B603" t="s">
        <v>7842</v>
      </c>
      <c r="C603" t="s">
        <v>2696</v>
      </c>
      <c r="D603" t="s">
        <v>2696</v>
      </c>
      <c r="E603" t="s">
        <v>7843</v>
      </c>
    </row>
    <row r="604" spans="1:5" x14ac:dyDescent="0.3">
      <c r="A604" t="s">
        <v>11885</v>
      </c>
      <c r="B604" t="s">
        <v>11886</v>
      </c>
      <c r="C604" t="s">
        <v>6574</v>
      </c>
      <c r="D604" t="s">
        <v>2852</v>
      </c>
      <c r="E604" t="s">
        <v>11887</v>
      </c>
    </row>
    <row r="605" spans="1:5" x14ac:dyDescent="0.3">
      <c r="A605" t="s">
        <v>11908</v>
      </c>
      <c r="B605" t="s">
        <v>11909</v>
      </c>
      <c r="C605" t="s">
        <v>2821</v>
      </c>
      <c r="D605" t="s">
        <v>133</v>
      </c>
      <c r="E605" t="s">
        <v>11910</v>
      </c>
    </row>
    <row r="606" spans="1:5" x14ac:dyDescent="0.3">
      <c r="A606" t="s">
        <v>11799</v>
      </c>
      <c r="B606" t="s">
        <v>11800</v>
      </c>
      <c r="C606" t="s">
        <v>11435</v>
      </c>
      <c r="D606" t="s">
        <v>3712</v>
      </c>
      <c r="E606" t="s">
        <v>11801</v>
      </c>
    </row>
    <row r="607" spans="1:5" x14ac:dyDescent="0.3">
      <c r="A607" t="s">
        <v>11811</v>
      </c>
      <c r="B607" t="s">
        <v>11812</v>
      </c>
      <c r="C607" t="s">
        <v>3946</v>
      </c>
      <c r="D607" t="s">
        <v>2709</v>
      </c>
      <c r="E607" t="s">
        <v>11813</v>
      </c>
    </row>
    <row r="608" spans="1:5" x14ac:dyDescent="0.3">
      <c r="A608" t="s">
        <v>11555</v>
      </c>
      <c r="B608" t="s">
        <v>11556</v>
      </c>
      <c r="C608" t="s">
        <v>3906</v>
      </c>
      <c r="D608" t="s">
        <v>133</v>
      </c>
      <c r="E608" t="s">
        <v>11557</v>
      </c>
    </row>
    <row r="609" spans="1:5" x14ac:dyDescent="0.3">
      <c r="A609" t="s">
        <v>11570</v>
      </c>
      <c r="B609" t="s">
        <v>11571</v>
      </c>
      <c r="C609" t="s">
        <v>3946</v>
      </c>
      <c r="D609" t="s">
        <v>2709</v>
      </c>
      <c r="E609" t="s">
        <v>11572</v>
      </c>
    </row>
    <row r="610" spans="1:5" x14ac:dyDescent="0.3">
      <c r="A610" t="s">
        <v>11628</v>
      </c>
      <c r="B610" t="s">
        <v>11629</v>
      </c>
      <c r="C610" t="s">
        <v>4167</v>
      </c>
      <c r="D610" t="s">
        <v>2852</v>
      </c>
      <c r="E610" t="s">
        <v>11630</v>
      </c>
    </row>
    <row r="611" spans="1:5" x14ac:dyDescent="0.3">
      <c r="A611" t="s">
        <v>1911</v>
      </c>
      <c r="B611" t="s">
        <v>1912</v>
      </c>
      <c r="C611" t="s">
        <v>1153</v>
      </c>
      <c r="D611" t="s">
        <v>1088</v>
      </c>
      <c r="E611" t="s">
        <v>1913</v>
      </c>
    </row>
    <row r="612" spans="1:5" x14ac:dyDescent="0.3">
      <c r="A612" t="s">
        <v>11346</v>
      </c>
      <c r="B612" t="s">
        <v>11347</v>
      </c>
      <c r="C612" t="s">
        <v>2703</v>
      </c>
      <c r="D612" t="s">
        <v>2704</v>
      </c>
      <c r="E612" t="s">
        <v>11348</v>
      </c>
    </row>
    <row r="613" spans="1:5" x14ac:dyDescent="0.3">
      <c r="A613" t="s">
        <v>11367</v>
      </c>
      <c r="B613" t="s">
        <v>11368</v>
      </c>
      <c r="C613" t="s">
        <v>2703</v>
      </c>
      <c r="D613" t="s">
        <v>2704</v>
      </c>
      <c r="E613" t="s">
        <v>11369</v>
      </c>
    </row>
    <row r="614" spans="1:5" x14ac:dyDescent="0.3">
      <c r="A614" t="s">
        <v>11930</v>
      </c>
      <c r="B614" t="s">
        <v>11931</v>
      </c>
      <c r="C614" t="s">
        <v>2821</v>
      </c>
      <c r="D614" t="s">
        <v>133</v>
      </c>
      <c r="E614" t="s">
        <v>11932</v>
      </c>
    </row>
    <row r="615" spans="1:5" x14ac:dyDescent="0.3">
      <c r="A615" t="s">
        <v>1890</v>
      </c>
      <c r="B615" t="s">
        <v>1891</v>
      </c>
      <c r="C615" t="s">
        <v>1196</v>
      </c>
      <c r="D615" t="s">
        <v>1088</v>
      </c>
      <c r="E615" t="s">
        <v>1892</v>
      </c>
    </row>
    <row r="616" spans="1:5" x14ac:dyDescent="0.3">
      <c r="A616" t="s">
        <v>11594</v>
      </c>
      <c r="B616" t="s">
        <v>6187</v>
      </c>
      <c r="C616" t="s">
        <v>2703</v>
      </c>
      <c r="D616" t="s">
        <v>2704</v>
      </c>
      <c r="E616" t="s">
        <v>11595</v>
      </c>
    </row>
    <row r="617" spans="1:5" x14ac:dyDescent="0.3">
      <c r="A617" t="s">
        <v>11614</v>
      </c>
      <c r="B617" t="s">
        <v>11615</v>
      </c>
      <c r="C617" t="s">
        <v>4167</v>
      </c>
      <c r="D617" t="s">
        <v>2852</v>
      </c>
      <c r="E617" t="s">
        <v>11616</v>
      </c>
    </row>
    <row r="618" spans="1:5" x14ac:dyDescent="0.3">
      <c r="A618" t="s">
        <v>1867</v>
      </c>
      <c r="B618" t="s">
        <v>1868</v>
      </c>
      <c r="C618" t="s">
        <v>1543</v>
      </c>
      <c r="D618" t="s">
        <v>1088</v>
      </c>
      <c r="E618" t="s">
        <v>1869</v>
      </c>
    </row>
    <row r="619" spans="1:5" x14ac:dyDescent="0.3">
      <c r="A619" t="s">
        <v>1873</v>
      </c>
      <c r="B619" t="s">
        <v>1874</v>
      </c>
      <c r="C619" t="s">
        <v>1153</v>
      </c>
      <c r="D619" t="s">
        <v>1088</v>
      </c>
      <c r="E619" t="s">
        <v>1875</v>
      </c>
    </row>
    <row r="620" spans="1:5" x14ac:dyDescent="0.3">
      <c r="A620" t="s">
        <v>11637</v>
      </c>
      <c r="B620" t="s">
        <v>11638</v>
      </c>
      <c r="C620" t="s">
        <v>4167</v>
      </c>
      <c r="D620" t="s">
        <v>2852</v>
      </c>
      <c r="E620" t="s">
        <v>11639</v>
      </c>
    </row>
    <row r="621" spans="1:5" x14ac:dyDescent="0.3">
      <c r="A621" t="s">
        <v>1717</v>
      </c>
      <c r="B621" t="s">
        <v>1718</v>
      </c>
      <c r="C621" t="s">
        <v>1153</v>
      </c>
      <c r="D621" t="s">
        <v>1088</v>
      </c>
      <c r="E621" t="s">
        <v>1719</v>
      </c>
    </row>
    <row r="622" spans="1:5" x14ac:dyDescent="0.3">
      <c r="A622" t="s">
        <v>11334</v>
      </c>
      <c r="B622" t="s">
        <v>11335</v>
      </c>
      <c r="C622" t="s">
        <v>4933</v>
      </c>
      <c r="D622" t="s">
        <v>3712</v>
      </c>
      <c r="E622" t="s">
        <v>11336</v>
      </c>
    </row>
    <row r="623" spans="1:5" x14ac:dyDescent="0.3">
      <c r="A623" t="s">
        <v>11358</v>
      </c>
      <c r="B623" t="s">
        <v>4172</v>
      </c>
      <c r="C623" t="s">
        <v>2703</v>
      </c>
      <c r="D623" t="s">
        <v>2704</v>
      </c>
      <c r="E623" t="s">
        <v>11359</v>
      </c>
    </row>
    <row r="624" spans="1:5" x14ac:dyDescent="0.3">
      <c r="A624" t="s">
        <v>1720</v>
      </c>
      <c r="B624" t="s">
        <v>1721</v>
      </c>
      <c r="C624" t="s">
        <v>1153</v>
      </c>
      <c r="D624" t="s">
        <v>1088</v>
      </c>
      <c r="E624" t="s">
        <v>1722</v>
      </c>
    </row>
    <row r="625" spans="1:5" x14ac:dyDescent="0.3">
      <c r="A625" t="s">
        <v>7612</v>
      </c>
      <c r="B625" t="s">
        <v>3664</v>
      </c>
      <c r="C625" t="s">
        <v>4679</v>
      </c>
      <c r="D625" t="s">
        <v>2704</v>
      </c>
      <c r="E625" t="s">
        <v>7613</v>
      </c>
    </row>
    <row r="626" spans="1:5" x14ac:dyDescent="0.3">
      <c r="A626" t="s">
        <v>7631</v>
      </c>
      <c r="B626" t="s">
        <v>7632</v>
      </c>
      <c r="C626" t="s">
        <v>134</v>
      </c>
      <c r="D626" t="s">
        <v>133</v>
      </c>
      <c r="E626" t="s">
        <v>7633</v>
      </c>
    </row>
    <row r="627" spans="1:5" x14ac:dyDescent="0.3">
      <c r="A627" t="s">
        <v>7865</v>
      </c>
      <c r="B627" t="s">
        <v>7866</v>
      </c>
      <c r="C627" t="s">
        <v>2696</v>
      </c>
      <c r="D627" t="s">
        <v>2696</v>
      </c>
      <c r="E627" t="s">
        <v>7867</v>
      </c>
    </row>
    <row r="628" spans="1:5" x14ac:dyDescent="0.3">
      <c r="A628" t="s">
        <v>7888</v>
      </c>
      <c r="B628" t="s">
        <v>7889</v>
      </c>
      <c r="C628" t="s">
        <v>2696</v>
      </c>
      <c r="D628" t="s">
        <v>2696</v>
      </c>
      <c r="E628" t="s">
        <v>7890</v>
      </c>
    </row>
    <row r="629" spans="1:5" x14ac:dyDescent="0.3">
      <c r="A629" t="s">
        <v>11378</v>
      </c>
      <c r="B629" t="s">
        <v>11379</v>
      </c>
      <c r="C629" t="s">
        <v>2703</v>
      </c>
      <c r="D629" t="s">
        <v>2704</v>
      </c>
      <c r="E629" t="s">
        <v>11380</v>
      </c>
    </row>
    <row r="630" spans="1:5" x14ac:dyDescent="0.3">
      <c r="A630" t="s">
        <v>2087</v>
      </c>
      <c r="B630" t="s">
        <v>2088</v>
      </c>
      <c r="C630" t="s">
        <v>1153</v>
      </c>
      <c r="D630" t="s">
        <v>1088</v>
      </c>
      <c r="E630" t="s">
        <v>2089</v>
      </c>
    </row>
    <row r="631" spans="1:5" x14ac:dyDescent="0.3">
      <c r="A631" t="s">
        <v>11663</v>
      </c>
      <c r="B631" t="s">
        <v>11664</v>
      </c>
      <c r="C631" t="s">
        <v>4933</v>
      </c>
      <c r="D631" t="s">
        <v>3712</v>
      </c>
      <c r="E631" t="s">
        <v>11665</v>
      </c>
    </row>
    <row r="632" spans="1:5" x14ac:dyDescent="0.3">
      <c r="A632" t="s">
        <v>11685</v>
      </c>
      <c r="B632" t="s">
        <v>11686</v>
      </c>
      <c r="C632" t="s">
        <v>3936</v>
      </c>
      <c r="D632" t="s">
        <v>3712</v>
      </c>
      <c r="E632" t="s">
        <v>11687</v>
      </c>
    </row>
    <row r="633" spans="1:5" x14ac:dyDescent="0.3">
      <c r="A633" t="s">
        <v>11834</v>
      </c>
      <c r="B633" t="s">
        <v>11835</v>
      </c>
      <c r="C633" t="s">
        <v>3946</v>
      </c>
      <c r="D633" t="s">
        <v>2709</v>
      </c>
      <c r="E633" t="s">
        <v>11836</v>
      </c>
    </row>
    <row r="634" spans="1:5" x14ac:dyDescent="0.3">
      <c r="A634" t="s">
        <v>11858</v>
      </c>
      <c r="B634" t="s">
        <v>11859</v>
      </c>
      <c r="C634" t="s">
        <v>4167</v>
      </c>
      <c r="D634" t="s">
        <v>2852</v>
      </c>
      <c r="E634" t="s">
        <v>11860</v>
      </c>
    </row>
    <row r="635" spans="1:5" x14ac:dyDescent="0.3">
      <c r="A635" t="s">
        <v>11389</v>
      </c>
      <c r="B635" t="s">
        <v>11390</v>
      </c>
      <c r="C635" t="s">
        <v>2696</v>
      </c>
      <c r="D635" t="s">
        <v>2696</v>
      </c>
      <c r="E635" t="s">
        <v>11391</v>
      </c>
    </row>
    <row r="636" spans="1:5" x14ac:dyDescent="0.3">
      <c r="A636" t="s">
        <v>11411</v>
      </c>
      <c r="B636" t="s">
        <v>11412</v>
      </c>
      <c r="C636" t="s">
        <v>6333</v>
      </c>
      <c r="D636" t="s">
        <v>2709</v>
      </c>
      <c r="E636" t="s">
        <v>11413</v>
      </c>
    </row>
    <row r="637" spans="1:5" x14ac:dyDescent="0.3">
      <c r="A637" t="s">
        <v>7655</v>
      </c>
      <c r="B637" t="s">
        <v>7656</v>
      </c>
      <c r="C637" t="s">
        <v>2708</v>
      </c>
      <c r="D637" t="s">
        <v>2709</v>
      </c>
      <c r="E637" t="s">
        <v>7657</v>
      </c>
    </row>
    <row r="638" spans="1:5" x14ac:dyDescent="0.3">
      <c r="A638" t="s">
        <v>2641</v>
      </c>
      <c r="B638" t="s">
        <v>2642</v>
      </c>
      <c r="C638" t="s">
        <v>1153</v>
      </c>
      <c r="D638" t="s">
        <v>1088</v>
      </c>
      <c r="E638" t="s">
        <v>2643</v>
      </c>
    </row>
    <row r="639" spans="1:5" x14ac:dyDescent="0.3">
      <c r="A639" t="s">
        <v>2090</v>
      </c>
      <c r="B639" t="s">
        <v>2091</v>
      </c>
      <c r="C639" t="s">
        <v>1153</v>
      </c>
      <c r="D639" t="s">
        <v>1088</v>
      </c>
      <c r="E639" t="s">
        <v>2092</v>
      </c>
    </row>
    <row r="640" spans="1:5" x14ac:dyDescent="0.3">
      <c r="A640" t="s">
        <v>11400</v>
      </c>
      <c r="B640" t="s">
        <v>11401</v>
      </c>
      <c r="C640" t="s">
        <v>6333</v>
      </c>
      <c r="D640" t="s">
        <v>2709</v>
      </c>
      <c r="E640" t="s">
        <v>11402</v>
      </c>
    </row>
    <row r="641" spans="1:5" x14ac:dyDescent="0.3">
      <c r="A641" t="s">
        <v>11696</v>
      </c>
      <c r="B641" t="s">
        <v>11697</v>
      </c>
      <c r="C641" t="s">
        <v>4246</v>
      </c>
      <c r="D641" t="s">
        <v>2709</v>
      </c>
      <c r="E641" t="s">
        <v>11698</v>
      </c>
    </row>
    <row r="642" spans="1:5" x14ac:dyDescent="0.3">
      <c r="A642" t="s">
        <v>11719</v>
      </c>
      <c r="B642" t="s">
        <v>11720</v>
      </c>
      <c r="C642" t="s">
        <v>4246</v>
      </c>
      <c r="D642" t="s">
        <v>2709</v>
      </c>
      <c r="E642" t="s">
        <v>11721</v>
      </c>
    </row>
    <row r="643" spans="1:5" x14ac:dyDescent="0.3">
      <c r="A643" t="s">
        <v>7910</v>
      </c>
      <c r="B643" t="s">
        <v>7911</v>
      </c>
      <c r="C643" t="s">
        <v>2696</v>
      </c>
      <c r="D643" t="s">
        <v>2696</v>
      </c>
      <c r="E643" t="s">
        <v>7912</v>
      </c>
    </row>
    <row r="644" spans="1:5" x14ac:dyDescent="0.3">
      <c r="A644" t="s">
        <v>7933</v>
      </c>
      <c r="B644" t="s">
        <v>7934</v>
      </c>
      <c r="C644" t="s">
        <v>2696</v>
      </c>
      <c r="D644" t="s">
        <v>2696</v>
      </c>
      <c r="E644" t="s">
        <v>7935</v>
      </c>
    </row>
    <row r="645" spans="1:5" x14ac:dyDescent="0.3">
      <c r="A645" t="s">
        <v>11436</v>
      </c>
      <c r="B645" t="s">
        <v>11437</v>
      </c>
      <c r="C645" t="s">
        <v>11435</v>
      </c>
      <c r="D645" t="s">
        <v>3712</v>
      </c>
      <c r="E645" t="s">
        <v>11438</v>
      </c>
    </row>
    <row r="646" spans="1:5" x14ac:dyDescent="0.3">
      <c r="A646" t="s">
        <v>11447</v>
      </c>
      <c r="B646" t="s">
        <v>11448</v>
      </c>
      <c r="C646" t="s">
        <v>2696</v>
      </c>
      <c r="D646" t="s">
        <v>2696</v>
      </c>
      <c r="E646" t="s">
        <v>11449</v>
      </c>
    </row>
    <row r="647" spans="1:5" x14ac:dyDescent="0.3">
      <c r="A647" t="s">
        <v>1813</v>
      </c>
      <c r="B647" t="s">
        <v>1814</v>
      </c>
      <c r="C647" t="s">
        <v>1543</v>
      </c>
      <c r="D647" t="s">
        <v>1088</v>
      </c>
      <c r="E647" t="s">
        <v>1815</v>
      </c>
    </row>
    <row r="648" spans="1:5" x14ac:dyDescent="0.3">
      <c r="A648" t="s">
        <v>11876</v>
      </c>
      <c r="B648" t="s">
        <v>11877</v>
      </c>
      <c r="C648" t="s">
        <v>2708</v>
      </c>
      <c r="D648" t="s">
        <v>2709</v>
      </c>
      <c r="E648" t="s">
        <v>11878</v>
      </c>
    </row>
    <row r="649" spans="1:5" x14ac:dyDescent="0.3">
      <c r="A649" t="s">
        <v>1893</v>
      </c>
      <c r="B649" t="s">
        <v>1894</v>
      </c>
      <c r="C649" t="s">
        <v>1196</v>
      </c>
      <c r="D649" t="s">
        <v>1088</v>
      </c>
      <c r="E649" t="s">
        <v>1895</v>
      </c>
    </row>
    <row r="650" spans="1:5" x14ac:dyDescent="0.3">
      <c r="A650" t="s">
        <v>11954</v>
      </c>
      <c r="B650" t="s">
        <v>11955</v>
      </c>
      <c r="C650" t="s">
        <v>2851</v>
      </c>
      <c r="D650" t="s">
        <v>2852</v>
      </c>
      <c r="E650" t="s">
        <v>11956</v>
      </c>
    </row>
    <row r="651" spans="1:5" x14ac:dyDescent="0.3">
      <c r="A651" t="s">
        <v>1741</v>
      </c>
      <c r="B651" t="s">
        <v>1742</v>
      </c>
      <c r="C651" t="s">
        <v>1543</v>
      </c>
      <c r="D651" t="s">
        <v>1088</v>
      </c>
      <c r="E651" t="s">
        <v>1743</v>
      </c>
    </row>
    <row r="652" spans="1:5" x14ac:dyDescent="0.3">
      <c r="A652" t="s">
        <v>1753</v>
      </c>
      <c r="B652" t="s">
        <v>1754</v>
      </c>
      <c r="C652" t="s">
        <v>1543</v>
      </c>
      <c r="D652" t="s">
        <v>1088</v>
      </c>
      <c r="E652" t="s">
        <v>1755</v>
      </c>
    </row>
    <row r="653" spans="1:5" x14ac:dyDescent="0.3">
      <c r="A653" t="s">
        <v>11896</v>
      </c>
      <c r="B653" t="s">
        <v>11897</v>
      </c>
      <c r="C653" t="s">
        <v>6574</v>
      </c>
      <c r="D653" t="s">
        <v>2852</v>
      </c>
      <c r="E653" t="s">
        <v>11898</v>
      </c>
    </row>
    <row r="654" spans="1:5" x14ac:dyDescent="0.3">
      <c r="A654" t="s">
        <v>11919</v>
      </c>
      <c r="B654" t="s">
        <v>4209</v>
      </c>
      <c r="C654" t="s">
        <v>2821</v>
      </c>
      <c r="D654" t="s">
        <v>133</v>
      </c>
      <c r="E654" t="s">
        <v>11920</v>
      </c>
    </row>
    <row r="655" spans="1:5" x14ac:dyDescent="0.3">
      <c r="A655" t="s">
        <v>11471</v>
      </c>
      <c r="B655" t="s">
        <v>11472</v>
      </c>
      <c r="C655" t="s">
        <v>2696</v>
      </c>
      <c r="D655" t="s">
        <v>2696</v>
      </c>
      <c r="E655" t="s">
        <v>11473</v>
      </c>
    </row>
    <row r="656" spans="1:5" x14ac:dyDescent="0.3">
      <c r="A656" t="s">
        <v>11423</v>
      </c>
      <c r="B656" t="s">
        <v>11424</v>
      </c>
      <c r="C656" t="s">
        <v>2703</v>
      </c>
      <c r="D656" t="s">
        <v>2704</v>
      </c>
      <c r="E656" t="s">
        <v>11425</v>
      </c>
    </row>
    <row r="657" spans="1:5" x14ac:dyDescent="0.3">
      <c r="A657" t="s">
        <v>11442</v>
      </c>
      <c r="B657" t="s">
        <v>11443</v>
      </c>
      <c r="C657" t="s">
        <v>3860</v>
      </c>
      <c r="D657" t="s">
        <v>2704</v>
      </c>
      <c r="E657" t="s">
        <v>11444</v>
      </c>
    </row>
    <row r="658" spans="1:5" x14ac:dyDescent="0.3">
      <c r="A658" t="s">
        <v>11745</v>
      </c>
      <c r="B658" t="s">
        <v>11746</v>
      </c>
      <c r="C658" t="s">
        <v>3946</v>
      </c>
      <c r="D658" t="s">
        <v>2709</v>
      </c>
      <c r="E658" t="s">
        <v>11747</v>
      </c>
    </row>
    <row r="659" spans="1:5" x14ac:dyDescent="0.3">
      <c r="A659" t="s">
        <v>11769</v>
      </c>
      <c r="B659" t="s">
        <v>11770</v>
      </c>
      <c r="C659" t="s">
        <v>3946</v>
      </c>
      <c r="D659" t="s">
        <v>2709</v>
      </c>
      <c r="E659" t="s">
        <v>11771</v>
      </c>
    </row>
    <row r="660" spans="1:5" x14ac:dyDescent="0.3">
      <c r="A660" t="s">
        <v>7957</v>
      </c>
      <c r="B660" t="s">
        <v>7958</v>
      </c>
      <c r="C660" t="s">
        <v>2696</v>
      </c>
      <c r="D660" t="s">
        <v>2696</v>
      </c>
      <c r="E660" t="s">
        <v>7959</v>
      </c>
    </row>
    <row r="661" spans="1:5" x14ac:dyDescent="0.3">
      <c r="A661" t="s">
        <v>7981</v>
      </c>
      <c r="B661" t="s">
        <v>7982</v>
      </c>
      <c r="C661" t="s">
        <v>2696</v>
      </c>
      <c r="D661" t="s">
        <v>2696</v>
      </c>
      <c r="E661" t="s">
        <v>7983</v>
      </c>
    </row>
    <row r="662" spans="1:5" x14ac:dyDescent="0.3">
      <c r="A662" t="s">
        <v>11793</v>
      </c>
      <c r="B662" t="s">
        <v>11794</v>
      </c>
      <c r="C662" t="s">
        <v>11435</v>
      </c>
      <c r="D662" t="s">
        <v>3712</v>
      </c>
      <c r="E662" t="s">
        <v>11795</v>
      </c>
    </row>
    <row r="663" spans="1:5" x14ac:dyDescent="0.3">
      <c r="A663" t="s">
        <v>1777</v>
      </c>
      <c r="B663" t="s">
        <v>1778</v>
      </c>
      <c r="C663" t="s">
        <v>1110</v>
      </c>
      <c r="D663" t="s">
        <v>1111</v>
      </c>
      <c r="E663" t="s">
        <v>1779</v>
      </c>
    </row>
    <row r="664" spans="1:5" x14ac:dyDescent="0.3">
      <c r="A664" t="s">
        <v>1828</v>
      </c>
      <c r="B664" t="s">
        <v>1829</v>
      </c>
      <c r="C664" t="s">
        <v>1196</v>
      </c>
      <c r="D664" t="s">
        <v>1088</v>
      </c>
      <c r="E664" t="s">
        <v>1830</v>
      </c>
    </row>
    <row r="665" spans="1:5" x14ac:dyDescent="0.3">
      <c r="A665" t="s">
        <v>1834</v>
      </c>
      <c r="B665" t="s">
        <v>1835</v>
      </c>
      <c r="C665" t="s">
        <v>1196</v>
      </c>
      <c r="D665" t="s">
        <v>1088</v>
      </c>
      <c r="E665" t="s">
        <v>1836</v>
      </c>
    </row>
    <row r="666" spans="1:5" x14ac:dyDescent="0.3">
      <c r="A666" t="s">
        <v>11459</v>
      </c>
      <c r="B666" t="s">
        <v>11460</v>
      </c>
      <c r="C666" t="s">
        <v>2696</v>
      </c>
      <c r="D666" t="s">
        <v>2696</v>
      </c>
      <c r="E666" t="s">
        <v>11461</v>
      </c>
    </row>
    <row r="667" spans="1:5" x14ac:dyDescent="0.3">
      <c r="A667" t="s">
        <v>11483</v>
      </c>
      <c r="B667" t="s">
        <v>11484</v>
      </c>
      <c r="C667" t="s">
        <v>3906</v>
      </c>
      <c r="D667" t="s">
        <v>133</v>
      </c>
      <c r="E667" t="s">
        <v>11485</v>
      </c>
    </row>
    <row r="668" spans="1:5" x14ac:dyDescent="0.3">
      <c r="A668" t="s">
        <v>1902</v>
      </c>
      <c r="B668" t="s">
        <v>1903</v>
      </c>
      <c r="C668" t="s">
        <v>1087</v>
      </c>
      <c r="D668" t="s">
        <v>1088</v>
      </c>
      <c r="E668" t="s">
        <v>1904</v>
      </c>
    </row>
    <row r="669" spans="1:5" x14ac:dyDescent="0.3">
      <c r="A669" t="s">
        <v>1905</v>
      </c>
      <c r="B669" t="s">
        <v>1906</v>
      </c>
      <c r="C669" t="s">
        <v>1087</v>
      </c>
      <c r="D669" t="s">
        <v>1088</v>
      </c>
      <c r="E669" t="s">
        <v>1907</v>
      </c>
    </row>
    <row r="670" spans="1:5" x14ac:dyDescent="0.3">
      <c r="A670" t="s">
        <v>7686</v>
      </c>
      <c r="B670" t="s">
        <v>7687</v>
      </c>
      <c r="C670" t="s">
        <v>7682</v>
      </c>
      <c r="D670" t="s">
        <v>3712</v>
      </c>
      <c r="E670" t="s">
        <v>7688</v>
      </c>
    </row>
    <row r="671" spans="1:5" x14ac:dyDescent="0.3">
      <c r="A671" t="s">
        <v>7709</v>
      </c>
      <c r="B671" t="s">
        <v>7710</v>
      </c>
      <c r="C671" t="s">
        <v>7682</v>
      </c>
      <c r="D671" t="s">
        <v>3712</v>
      </c>
      <c r="E671" t="s">
        <v>7711</v>
      </c>
    </row>
    <row r="672" spans="1:5" x14ac:dyDescent="0.3">
      <c r="A672" t="s">
        <v>11942</v>
      </c>
      <c r="B672" t="s">
        <v>11943</v>
      </c>
      <c r="C672" t="s">
        <v>2851</v>
      </c>
      <c r="D672" t="s">
        <v>2852</v>
      </c>
      <c r="E672" t="s">
        <v>11944</v>
      </c>
    </row>
    <row r="673" spans="1:5" x14ac:dyDescent="0.3">
      <c r="A673" t="s">
        <v>11966</v>
      </c>
      <c r="B673" t="s">
        <v>11967</v>
      </c>
      <c r="C673" t="s">
        <v>2851</v>
      </c>
      <c r="D673" t="s">
        <v>2852</v>
      </c>
      <c r="E673" t="s">
        <v>11968</v>
      </c>
    </row>
    <row r="674" spans="1:5" x14ac:dyDescent="0.3">
      <c r="A674" t="s">
        <v>8005</v>
      </c>
      <c r="B674" t="s">
        <v>5115</v>
      </c>
      <c r="C674" t="s">
        <v>2696</v>
      </c>
      <c r="D674" t="s">
        <v>2696</v>
      </c>
      <c r="E674" t="s">
        <v>8006</v>
      </c>
    </row>
    <row r="675" spans="1:5" x14ac:dyDescent="0.3">
      <c r="A675" t="s">
        <v>7731</v>
      </c>
      <c r="B675" t="s">
        <v>7732</v>
      </c>
      <c r="C675" t="s">
        <v>6349</v>
      </c>
      <c r="D675" t="s">
        <v>2841</v>
      </c>
      <c r="E675" t="s">
        <v>7733</v>
      </c>
    </row>
    <row r="676" spans="1:5" x14ac:dyDescent="0.3">
      <c r="A676" t="s">
        <v>2105</v>
      </c>
      <c r="B676" t="s">
        <v>2106</v>
      </c>
      <c r="C676" t="s">
        <v>1087</v>
      </c>
      <c r="D676" t="s">
        <v>1088</v>
      </c>
      <c r="E676" t="s">
        <v>2107</v>
      </c>
    </row>
    <row r="677" spans="1:5" x14ac:dyDescent="0.3">
      <c r="A677" t="s">
        <v>11501</v>
      </c>
      <c r="B677" t="s">
        <v>11502</v>
      </c>
      <c r="C677" t="s">
        <v>2703</v>
      </c>
      <c r="D677" t="s">
        <v>2704</v>
      </c>
      <c r="E677" t="s">
        <v>11503</v>
      </c>
    </row>
    <row r="678" spans="1:5" x14ac:dyDescent="0.3">
      <c r="A678" t="s">
        <v>8028</v>
      </c>
      <c r="B678" t="s">
        <v>8029</v>
      </c>
      <c r="C678" t="s">
        <v>2696</v>
      </c>
      <c r="D678" t="s">
        <v>2696</v>
      </c>
      <c r="E678" t="s">
        <v>8030</v>
      </c>
    </row>
    <row r="679" spans="1:5" x14ac:dyDescent="0.3">
      <c r="A679" t="s">
        <v>8051</v>
      </c>
      <c r="B679" t="s">
        <v>8052</v>
      </c>
      <c r="C679" t="s">
        <v>2696</v>
      </c>
      <c r="D679" t="s">
        <v>2696</v>
      </c>
      <c r="E679" t="s">
        <v>8053</v>
      </c>
    </row>
    <row r="680" spans="1:5" x14ac:dyDescent="0.3">
      <c r="A680" t="s">
        <v>11512</v>
      </c>
      <c r="B680" t="s">
        <v>11513</v>
      </c>
      <c r="C680" t="s">
        <v>2703</v>
      </c>
      <c r="D680" t="s">
        <v>2704</v>
      </c>
      <c r="E680" t="s">
        <v>11514</v>
      </c>
    </row>
    <row r="681" spans="1:5" x14ac:dyDescent="0.3">
      <c r="A681" t="s">
        <v>1908</v>
      </c>
      <c r="B681" t="s">
        <v>1909</v>
      </c>
      <c r="C681" t="s">
        <v>1543</v>
      </c>
      <c r="D681" t="s">
        <v>1088</v>
      </c>
      <c r="E681" t="s">
        <v>1910</v>
      </c>
    </row>
    <row r="682" spans="1:5" x14ac:dyDescent="0.3">
      <c r="A682" t="s">
        <v>7754</v>
      </c>
      <c r="B682" t="s">
        <v>7755</v>
      </c>
      <c r="C682" t="s">
        <v>6349</v>
      </c>
      <c r="D682" t="s">
        <v>2841</v>
      </c>
      <c r="E682" t="s">
        <v>7756</v>
      </c>
    </row>
    <row r="683" spans="1:5" x14ac:dyDescent="0.3">
      <c r="A683" t="s">
        <v>7778</v>
      </c>
      <c r="B683" t="s">
        <v>7779</v>
      </c>
      <c r="C683" t="s">
        <v>2696</v>
      </c>
      <c r="D683" t="s">
        <v>2696</v>
      </c>
      <c r="E683" t="s">
        <v>7780</v>
      </c>
    </row>
    <row r="684" spans="1:5" x14ac:dyDescent="0.3">
      <c r="A684" t="s">
        <v>2117</v>
      </c>
      <c r="B684" t="s">
        <v>2118</v>
      </c>
      <c r="C684" t="s">
        <v>1543</v>
      </c>
      <c r="D684" t="s">
        <v>1088</v>
      </c>
      <c r="E684" t="s">
        <v>2119</v>
      </c>
    </row>
    <row r="685" spans="1:5" x14ac:dyDescent="0.3">
      <c r="A685" t="s">
        <v>11518</v>
      </c>
      <c r="B685" t="s">
        <v>11519</v>
      </c>
      <c r="C685" t="s">
        <v>3906</v>
      </c>
      <c r="D685" t="s">
        <v>133</v>
      </c>
      <c r="E685" t="s">
        <v>11520</v>
      </c>
    </row>
    <row r="686" spans="1:5" x14ac:dyDescent="0.3">
      <c r="A686" t="s">
        <v>11989</v>
      </c>
      <c r="B686" t="s">
        <v>9783</v>
      </c>
      <c r="C686" t="s">
        <v>4207</v>
      </c>
      <c r="D686" t="s">
        <v>133</v>
      </c>
      <c r="E686" t="s">
        <v>11990</v>
      </c>
    </row>
    <row r="687" spans="1:5" x14ac:dyDescent="0.3">
      <c r="A687" t="s">
        <v>12009</v>
      </c>
      <c r="B687" t="s">
        <v>12010</v>
      </c>
      <c r="C687" t="s">
        <v>4207</v>
      </c>
      <c r="D687" t="s">
        <v>133</v>
      </c>
      <c r="E687" t="s">
        <v>12011</v>
      </c>
    </row>
    <row r="688" spans="1:5" x14ac:dyDescent="0.3">
      <c r="A688" t="s">
        <v>8074</v>
      </c>
      <c r="B688" t="s">
        <v>8075</v>
      </c>
      <c r="C688" t="s">
        <v>2696</v>
      </c>
      <c r="D688" t="s">
        <v>2696</v>
      </c>
      <c r="E688" t="s">
        <v>8076</v>
      </c>
    </row>
    <row r="689" spans="1:5" x14ac:dyDescent="0.3">
      <c r="A689" t="s">
        <v>8095</v>
      </c>
      <c r="B689" t="s">
        <v>8096</v>
      </c>
      <c r="C689" t="s">
        <v>2696</v>
      </c>
      <c r="D689" t="s">
        <v>2696</v>
      </c>
      <c r="E689" t="s">
        <v>8097</v>
      </c>
    </row>
    <row r="690" spans="1:5" x14ac:dyDescent="0.3">
      <c r="A690" t="s">
        <v>7802</v>
      </c>
      <c r="B690" t="s">
        <v>7803</v>
      </c>
      <c r="C690" t="s">
        <v>2696</v>
      </c>
      <c r="D690" t="s">
        <v>2696</v>
      </c>
      <c r="E690" t="s">
        <v>7804</v>
      </c>
    </row>
    <row r="691" spans="1:5" x14ac:dyDescent="0.3">
      <c r="A691" t="s">
        <v>7826</v>
      </c>
      <c r="B691" t="s">
        <v>7827</v>
      </c>
      <c r="C691" t="s">
        <v>2696</v>
      </c>
      <c r="D691" t="s">
        <v>2696</v>
      </c>
      <c r="E691" t="s">
        <v>7828</v>
      </c>
    </row>
    <row r="692" spans="1:5" x14ac:dyDescent="0.3">
      <c r="A692" t="s">
        <v>8119</v>
      </c>
      <c r="B692" t="s">
        <v>4450</v>
      </c>
      <c r="C692" t="s">
        <v>6349</v>
      </c>
      <c r="D692" t="s">
        <v>2841</v>
      </c>
      <c r="E692" t="s">
        <v>8120</v>
      </c>
    </row>
    <row r="693" spans="1:5" x14ac:dyDescent="0.3">
      <c r="A693" t="s">
        <v>8141</v>
      </c>
      <c r="B693" t="s">
        <v>8142</v>
      </c>
      <c r="C693" t="s">
        <v>3860</v>
      </c>
      <c r="D693" t="s">
        <v>2704</v>
      </c>
      <c r="E693" t="s">
        <v>8143</v>
      </c>
    </row>
    <row r="694" spans="1:5" x14ac:dyDescent="0.3">
      <c r="A694" t="s">
        <v>11530</v>
      </c>
      <c r="B694" t="s">
        <v>11143</v>
      </c>
      <c r="C694" t="s">
        <v>3906</v>
      </c>
      <c r="D694" t="s">
        <v>133</v>
      </c>
      <c r="E694" t="s">
        <v>11531</v>
      </c>
    </row>
    <row r="695" spans="1:5" x14ac:dyDescent="0.3">
      <c r="A695" t="s">
        <v>11553</v>
      </c>
      <c r="B695" t="s">
        <v>10938</v>
      </c>
      <c r="C695" t="s">
        <v>3906</v>
      </c>
      <c r="D695" t="s">
        <v>133</v>
      </c>
      <c r="E695" t="s">
        <v>11554</v>
      </c>
    </row>
    <row r="696" spans="1:5" x14ac:dyDescent="0.3">
      <c r="A696" t="s">
        <v>7850</v>
      </c>
      <c r="B696" t="s">
        <v>7851</v>
      </c>
      <c r="C696" t="s">
        <v>2696</v>
      </c>
      <c r="D696" t="s">
        <v>2696</v>
      </c>
      <c r="E696" t="s">
        <v>7852</v>
      </c>
    </row>
    <row r="697" spans="1:5" x14ac:dyDescent="0.3">
      <c r="A697" t="s">
        <v>7873</v>
      </c>
      <c r="B697" t="s">
        <v>7874</v>
      </c>
      <c r="C697" t="s">
        <v>2696</v>
      </c>
      <c r="D697" t="s">
        <v>2696</v>
      </c>
      <c r="E697" t="s">
        <v>7875</v>
      </c>
    </row>
    <row r="698" spans="1:5" x14ac:dyDescent="0.3">
      <c r="A698" t="s">
        <v>7537</v>
      </c>
      <c r="B698" t="s">
        <v>7538</v>
      </c>
      <c r="C698" t="s">
        <v>4246</v>
      </c>
      <c r="D698" t="s">
        <v>2709</v>
      </c>
      <c r="E698" t="s">
        <v>7539</v>
      </c>
    </row>
    <row r="699" spans="1:5" x14ac:dyDescent="0.3">
      <c r="A699" t="s">
        <v>7560</v>
      </c>
      <c r="B699" t="s">
        <v>7561</v>
      </c>
      <c r="C699" t="s">
        <v>4246</v>
      </c>
      <c r="D699" t="s">
        <v>2709</v>
      </c>
      <c r="E699" t="s">
        <v>7562</v>
      </c>
    </row>
    <row r="700" spans="1:5" x14ac:dyDescent="0.3">
      <c r="A700" t="s">
        <v>11828</v>
      </c>
      <c r="B700" t="s">
        <v>11829</v>
      </c>
      <c r="C700" t="s">
        <v>3946</v>
      </c>
      <c r="D700" t="s">
        <v>2709</v>
      </c>
      <c r="E700" t="s">
        <v>11830</v>
      </c>
    </row>
    <row r="701" spans="1:5" x14ac:dyDescent="0.3">
      <c r="A701" t="s">
        <v>11852</v>
      </c>
      <c r="B701" t="s">
        <v>11853</v>
      </c>
      <c r="C701" t="s">
        <v>3946</v>
      </c>
      <c r="D701" t="s">
        <v>2709</v>
      </c>
      <c r="E701" t="s">
        <v>11854</v>
      </c>
    </row>
    <row r="702" spans="1:5" x14ac:dyDescent="0.3">
      <c r="A702" t="s">
        <v>8164</v>
      </c>
      <c r="B702" t="s">
        <v>8165</v>
      </c>
      <c r="C702" t="s">
        <v>3860</v>
      </c>
      <c r="D702" t="s">
        <v>2704</v>
      </c>
      <c r="E702" t="s">
        <v>8166</v>
      </c>
    </row>
    <row r="703" spans="1:5" x14ac:dyDescent="0.3">
      <c r="A703" t="s">
        <v>8187</v>
      </c>
      <c r="B703" t="s">
        <v>8188</v>
      </c>
      <c r="C703" t="s">
        <v>2696</v>
      </c>
      <c r="D703" t="s">
        <v>2696</v>
      </c>
      <c r="E703" t="s">
        <v>8189</v>
      </c>
    </row>
    <row r="704" spans="1:5" x14ac:dyDescent="0.3">
      <c r="A704" t="s">
        <v>7896</v>
      </c>
      <c r="B704" t="s">
        <v>6328</v>
      </c>
      <c r="C704" t="s">
        <v>2696</v>
      </c>
      <c r="D704" t="s">
        <v>2696</v>
      </c>
      <c r="E704" t="s">
        <v>7897</v>
      </c>
    </row>
    <row r="705" spans="1:5" x14ac:dyDescent="0.3">
      <c r="A705" t="s">
        <v>7919</v>
      </c>
      <c r="B705" t="s">
        <v>3874</v>
      </c>
      <c r="C705" t="s">
        <v>2696</v>
      </c>
      <c r="D705" t="s">
        <v>2696</v>
      </c>
      <c r="E705" t="s">
        <v>7920</v>
      </c>
    </row>
    <row r="706" spans="1:5" x14ac:dyDescent="0.3">
      <c r="A706" t="s">
        <v>7583</v>
      </c>
      <c r="B706" t="s">
        <v>7584</v>
      </c>
      <c r="C706" t="s">
        <v>134</v>
      </c>
      <c r="D706" t="s">
        <v>133</v>
      </c>
      <c r="E706" t="s">
        <v>7585</v>
      </c>
    </row>
    <row r="707" spans="1:5" x14ac:dyDescent="0.3">
      <c r="A707" t="s">
        <v>11567</v>
      </c>
      <c r="B707" t="s">
        <v>11568</v>
      </c>
      <c r="C707" t="s">
        <v>3946</v>
      </c>
      <c r="D707" t="s">
        <v>2709</v>
      </c>
      <c r="E707" t="s">
        <v>11569</v>
      </c>
    </row>
    <row r="708" spans="1:5" x14ac:dyDescent="0.3">
      <c r="A708" t="s">
        <v>11591</v>
      </c>
      <c r="B708" t="s">
        <v>11592</v>
      </c>
      <c r="C708" t="s">
        <v>2703</v>
      </c>
      <c r="D708" t="s">
        <v>2704</v>
      </c>
      <c r="E708" t="s">
        <v>11593</v>
      </c>
    </row>
    <row r="709" spans="1:5" x14ac:dyDescent="0.3">
      <c r="A709" t="s">
        <v>11541</v>
      </c>
      <c r="B709" t="s">
        <v>11542</v>
      </c>
      <c r="C709" t="s">
        <v>3906</v>
      </c>
      <c r="D709" t="s">
        <v>133</v>
      </c>
      <c r="E709" t="s">
        <v>11543</v>
      </c>
    </row>
    <row r="710" spans="1:5" x14ac:dyDescent="0.3">
      <c r="A710" t="s">
        <v>1914</v>
      </c>
      <c r="B710" t="s">
        <v>1915</v>
      </c>
      <c r="C710" t="s">
        <v>1153</v>
      </c>
      <c r="D710" t="s">
        <v>1088</v>
      </c>
      <c r="E710" t="s">
        <v>1916</v>
      </c>
    </row>
    <row r="711" spans="1:5" x14ac:dyDescent="0.3">
      <c r="A711" t="s">
        <v>11655</v>
      </c>
      <c r="B711" t="s">
        <v>11656</v>
      </c>
      <c r="C711" t="s">
        <v>4933</v>
      </c>
      <c r="D711" t="s">
        <v>3712</v>
      </c>
      <c r="E711" t="s">
        <v>11657</v>
      </c>
    </row>
    <row r="712" spans="1:5" x14ac:dyDescent="0.3">
      <c r="A712" t="s">
        <v>8211</v>
      </c>
      <c r="B712" t="s">
        <v>8212</v>
      </c>
      <c r="C712" t="s">
        <v>2696</v>
      </c>
      <c r="D712" t="s">
        <v>2696</v>
      </c>
      <c r="E712" t="s">
        <v>8213</v>
      </c>
    </row>
    <row r="713" spans="1:5" x14ac:dyDescent="0.3">
      <c r="A713" t="s">
        <v>8234</v>
      </c>
      <c r="B713" t="s">
        <v>8235</v>
      </c>
      <c r="C713" t="s">
        <v>2696</v>
      </c>
      <c r="D713" t="s">
        <v>2696</v>
      </c>
      <c r="E713" t="s">
        <v>8236</v>
      </c>
    </row>
    <row r="714" spans="1:5" x14ac:dyDescent="0.3">
      <c r="A714" t="s">
        <v>7942</v>
      </c>
      <c r="B714" t="s">
        <v>7943</v>
      </c>
      <c r="C714" t="s">
        <v>2696</v>
      </c>
      <c r="D714" t="s">
        <v>2696</v>
      </c>
      <c r="E714" t="s">
        <v>7944</v>
      </c>
    </row>
    <row r="715" spans="1:5" x14ac:dyDescent="0.3">
      <c r="A715" t="s">
        <v>7966</v>
      </c>
      <c r="B715" t="s">
        <v>7967</v>
      </c>
      <c r="C715" t="s">
        <v>2696</v>
      </c>
      <c r="D715" t="s">
        <v>2696</v>
      </c>
      <c r="E715" t="s">
        <v>7968</v>
      </c>
    </row>
    <row r="716" spans="1:5" x14ac:dyDescent="0.3">
      <c r="A716" t="s">
        <v>7607</v>
      </c>
      <c r="B716" t="s">
        <v>1874</v>
      </c>
      <c r="C716" t="s">
        <v>4679</v>
      </c>
      <c r="D716" t="s">
        <v>2704</v>
      </c>
      <c r="E716" t="s">
        <v>7608</v>
      </c>
    </row>
    <row r="717" spans="1:5" x14ac:dyDescent="0.3">
      <c r="A717" t="s">
        <v>7625</v>
      </c>
      <c r="B717" t="s">
        <v>7626</v>
      </c>
      <c r="C717" t="s">
        <v>134</v>
      </c>
      <c r="D717" t="s">
        <v>133</v>
      </c>
      <c r="E717" t="s">
        <v>7627</v>
      </c>
    </row>
    <row r="718" spans="1:5" x14ac:dyDescent="0.3">
      <c r="A718" t="s">
        <v>2120</v>
      </c>
      <c r="B718" t="s">
        <v>2121</v>
      </c>
      <c r="C718" t="s">
        <v>1501</v>
      </c>
      <c r="D718" t="s">
        <v>1088</v>
      </c>
      <c r="E718" t="s">
        <v>2122</v>
      </c>
    </row>
    <row r="719" spans="1:5" x14ac:dyDescent="0.3">
      <c r="A719" t="s">
        <v>11579</v>
      </c>
      <c r="B719" t="s">
        <v>11580</v>
      </c>
      <c r="C719" t="s">
        <v>3946</v>
      </c>
      <c r="D719" t="s">
        <v>2709</v>
      </c>
      <c r="E719" t="s">
        <v>11581</v>
      </c>
    </row>
    <row r="720" spans="1:5" x14ac:dyDescent="0.3">
      <c r="A720" t="s">
        <v>11677</v>
      </c>
      <c r="B720" t="s">
        <v>11678</v>
      </c>
      <c r="C720" t="s">
        <v>3936</v>
      </c>
      <c r="D720" t="s">
        <v>3712</v>
      </c>
      <c r="E720" t="s">
        <v>11679</v>
      </c>
    </row>
    <row r="721" spans="1:5" x14ac:dyDescent="0.3">
      <c r="A721" t="s">
        <v>1938</v>
      </c>
      <c r="B721" t="s">
        <v>1939</v>
      </c>
      <c r="C721" t="s">
        <v>1533</v>
      </c>
      <c r="D721" t="s">
        <v>1111</v>
      </c>
      <c r="E721" t="s">
        <v>1940</v>
      </c>
    </row>
    <row r="722" spans="1:5" x14ac:dyDescent="0.3">
      <c r="A722" t="s">
        <v>8256</v>
      </c>
      <c r="B722" t="s">
        <v>8257</v>
      </c>
      <c r="C722" t="s">
        <v>2696</v>
      </c>
      <c r="D722" t="s">
        <v>2696</v>
      </c>
      <c r="E722" t="s">
        <v>8258</v>
      </c>
    </row>
    <row r="723" spans="1:5" x14ac:dyDescent="0.3">
      <c r="A723" t="s">
        <v>8279</v>
      </c>
      <c r="B723" t="s">
        <v>8280</v>
      </c>
      <c r="C723" t="s">
        <v>2696</v>
      </c>
      <c r="D723" t="s">
        <v>2696</v>
      </c>
      <c r="E723" t="s">
        <v>8281</v>
      </c>
    </row>
    <row r="724" spans="1:5" x14ac:dyDescent="0.3">
      <c r="A724" t="s">
        <v>7990</v>
      </c>
      <c r="B724" t="s">
        <v>7991</v>
      </c>
      <c r="C724" t="s">
        <v>2696</v>
      </c>
      <c r="D724" t="s">
        <v>2696</v>
      </c>
      <c r="E724" t="s">
        <v>7992</v>
      </c>
    </row>
    <row r="725" spans="1:5" x14ac:dyDescent="0.3">
      <c r="A725" t="s">
        <v>8013</v>
      </c>
      <c r="B725" t="s">
        <v>8014</v>
      </c>
      <c r="C725" t="s">
        <v>2696</v>
      </c>
      <c r="D725" t="s">
        <v>2696</v>
      </c>
      <c r="E725" t="s">
        <v>8015</v>
      </c>
    </row>
    <row r="726" spans="1:5" x14ac:dyDescent="0.3">
      <c r="A726" t="s">
        <v>11611</v>
      </c>
      <c r="B726" t="s">
        <v>11612</v>
      </c>
      <c r="C726" t="s">
        <v>4167</v>
      </c>
      <c r="D726" t="s">
        <v>2852</v>
      </c>
      <c r="E726" t="s">
        <v>11613</v>
      </c>
    </row>
    <row r="727" spans="1:5" x14ac:dyDescent="0.3">
      <c r="A727" t="s">
        <v>11634</v>
      </c>
      <c r="B727" t="s">
        <v>11635</v>
      </c>
      <c r="C727" t="s">
        <v>4167</v>
      </c>
      <c r="D727" t="s">
        <v>2852</v>
      </c>
      <c r="E727" t="s">
        <v>11636</v>
      </c>
    </row>
    <row r="728" spans="1:5" x14ac:dyDescent="0.3">
      <c r="A728" t="s">
        <v>1786</v>
      </c>
      <c r="B728" t="s">
        <v>1787</v>
      </c>
      <c r="C728" t="s">
        <v>1543</v>
      </c>
      <c r="D728" t="s">
        <v>1088</v>
      </c>
      <c r="E728" t="s">
        <v>1788</v>
      </c>
    </row>
    <row r="729" spans="1:5" x14ac:dyDescent="0.3">
      <c r="A729" t="s">
        <v>11870</v>
      </c>
      <c r="B729" t="s">
        <v>11871</v>
      </c>
      <c r="C729" t="s">
        <v>2708</v>
      </c>
      <c r="D729" t="s">
        <v>2709</v>
      </c>
      <c r="E729" t="s">
        <v>11872</v>
      </c>
    </row>
    <row r="730" spans="1:5" x14ac:dyDescent="0.3">
      <c r="A730" t="s">
        <v>11710</v>
      </c>
      <c r="B730" t="s">
        <v>11711</v>
      </c>
      <c r="C730" t="s">
        <v>4246</v>
      </c>
      <c r="D730" t="s">
        <v>2709</v>
      </c>
      <c r="E730" t="s">
        <v>11712</v>
      </c>
    </row>
    <row r="731" spans="1:5" x14ac:dyDescent="0.3">
      <c r="A731" t="s">
        <v>1944</v>
      </c>
      <c r="B731" t="s">
        <v>1945</v>
      </c>
      <c r="C731" t="s">
        <v>1543</v>
      </c>
      <c r="D731" t="s">
        <v>1088</v>
      </c>
      <c r="E731" t="s">
        <v>1946</v>
      </c>
    </row>
    <row r="732" spans="1:5" x14ac:dyDescent="0.3">
      <c r="A732" t="s">
        <v>8303</v>
      </c>
      <c r="B732" t="s">
        <v>8304</v>
      </c>
      <c r="C732" t="s">
        <v>2696</v>
      </c>
      <c r="D732" t="s">
        <v>2696</v>
      </c>
      <c r="E732" t="s">
        <v>8305</v>
      </c>
    </row>
    <row r="733" spans="1:5" x14ac:dyDescent="0.3">
      <c r="A733" t="s">
        <v>8327</v>
      </c>
      <c r="B733" t="s">
        <v>8328</v>
      </c>
      <c r="C733" t="s">
        <v>2696</v>
      </c>
      <c r="D733" t="s">
        <v>2696</v>
      </c>
      <c r="E733" t="s">
        <v>8329</v>
      </c>
    </row>
    <row r="734" spans="1:5" x14ac:dyDescent="0.3">
      <c r="A734" t="s">
        <v>8037</v>
      </c>
      <c r="B734" t="s">
        <v>8038</v>
      </c>
      <c r="C734" t="s">
        <v>2696</v>
      </c>
      <c r="D734" t="s">
        <v>2696</v>
      </c>
      <c r="E734" t="s">
        <v>8039</v>
      </c>
    </row>
    <row r="735" spans="1:5" x14ac:dyDescent="0.3">
      <c r="A735" t="s">
        <v>11891</v>
      </c>
      <c r="B735" t="s">
        <v>3501</v>
      </c>
      <c r="C735" t="s">
        <v>6574</v>
      </c>
      <c r="D735" t="s">
        <v>2852</v>
      </c>
      <c r="E735" t="s">
        <v>11892</v>
      </c>
    </row>
    <row r="736" spans="1:5" x14ac:dyDescent="0.3">
      <c r="A736" t="s">
        <v>11913</v>
      </c>
      <c r="B736" t="s">
        <v>11914</v>
      </c>
      <c r="C736" t="s">
        <v>2821</v>
      </c>
      <c r="D736" t="s">
        <v>133</v>
      </c>
      <c r="E736" t="s">
        <v>11915</v>
      </c>
    </row>
    <row r="737" spans="1:5" x14ac:dyDescent="0.3">
      <c r="A737" t="s">
        <v>1926</v>
      </c>
      <c r="B737" t="s">
        <v>1927</v>
      </c>
      <c r="C737" t="s">
        <v>1153</v>
      </c>
      <c r="D737" t="s">
        <v>1088</v>
      </c>
      <c r="E737" t="s">
        <v>1928</v>
      </c>
    </row>
    <row r="738" spans="1:5" x14ac:dyDescent="0.3">
      <c r="A738" t="s">
        <v>1932</v>
      </c>
      <c r="B738" t="s">
        <v>1933</v>
      </c>
      <c r="C738" t="s">
        <v>1153</v>
      </c>
      <c r="D738" t="s">
        <v>1088</v>
      </c>
      <c r="E738" t="s">
        <v>1934</v>
      </c>
    </row>
    <row r="739" spans="1:5" x14ac:dyDescent="0.3">
      <c r="A739" t="s">
        <v>8350</v>
      </c>
      <c r="B739" t="s">
        <v>8351</v>
      </c>
      <c r="C739" t="s">
        <v>2696</v>
      </c>
      <c r="D739" t="s">
        <v>2696</v>
      </c>
      <c r="E739" t="s">
        <v>8352</v>
      </c>
    </row>
    <row r="740" spans="1:5" x14ac:dyDescent="0.3">
      <c r="A740" t="s">
        <v>8374</v>
      </c>
      <c r="B740" t="s">
        <v>8375</v>
      </c>
      <c r="C740" t="s">
        <v>2696</v>
      </c>
      <c r="D740" t="s">
        <v>2696</v>
      </c>
      <c r="E740" t="s">
        <v>8376</v>
      </c>
    </row>
    <row r="741" spans="1:5" x14ac:dyDescent="0.3">
      <c r="A741" t="s">
        <v>8060</v>
      </c>
      <c r="B741" t="s">
        <v>8061</v>
      </c>
      <c r="C741" t="s">
        <v>2696</v>
      </c>
      <c r="D741" t="s">
        <v>2696</v>
      </c>
      <c r="E741" t="s">
        <v>8062</v>
      </c>
    </row>
    <row r="742" spans="1:5" x14ac:dyDescent="0.3">
      <c r="A742" t="s">
        <v>8082</v>
      </c>
      <c r="B742" t="s">
        <v>2669</v>
      </c>
      <c r="C742" t="s">
        <v>2696</v>
      </c>
      <c r="D742" t="s">
        <v>2696</v>
      </c>
      <c r="E742" t="s">
        <v>8083</v>
      </c>
    </row>
    <row r="743" spans="1:5" x14ac:dyDescent="0.3">
      <c r="A743" t="s">
        <v>11977</v>
      </c>
      <c r="B743" t="s">
        <v>11978</v>
      </c>
      <c r="E743" t="s">
        <v>11979</v>
      </c>
    </row>
    <row r="744" spans="1:5" x14ac:dyDescent="0.3">
      <c r="A744" t="s">
        <v>11999</v>
      </c>
      <c r="B744" t="s">
        <v>6235</v>
      </c>
      <c r="C744" t="s">
        <v>4207</v>
      </c>
      <c r="D744" t="s">
        <v>133</v>
      </c>
      <c r="E744" t="s">
        <v>12000</v>
      </c>
    </row>
    <row r="745" spans="1:5" x14ac:dyDescent="0.3">
      <c r="A745" t="s">
        <v>8397</v>
      </c>
      <c r="B745" t="s">
        <v>8398</v>
      </c>
      <c r="C745" t="s">
        <v>2696</v>
      </c>
      <c r="D745" t="s">
        <v>2696</v>
      </c>
      <c r="E745" t="s">
        <v>8399</v>
      </c>
    </row>
    <row r="746" spans="1:5" x14ac:dyDescent="0.3">
      <c r="A746" t="s">
        <v>8419</v>
      </c>
      <c r="B746" t="s">
        <v>8420</v>
      </c>
      <c r="C746" t="s">
        <v>2696</v>
      </c>
      <c r="D746" t="s">
        <v>2696</v>
      </c>
      <c r="E746" t="s">
        <v>8421</v>
      </c>
    </row>
    <row r="747" spans="1:5" x14ac:dyDescent="0.3">
      <c r="A747" t="s">
        <v>11660</v>
      </c>
      <c r="B747" t="s">
        <v>11661</v>
      </c>
      <c r="C747" t="s">
        <v>4933</v>
      </c>
      <c r="D747" t="s">
        <v>3712</v>
      </c>
      <c r="E747" t="s">
        <v>11662</v>
      </c>
    </row>
    <row r="748" spans="1:5" x14ac:dyDescent="0.3">
      <c r="A748" t="s">
        <v>1956</v>
      </c>
      <c r="B748" t="s">
        <v>1957</v>
      </c>
      <c r="C748" t="s">
        <v>1543</v>
      </c>
      <c r="D748" t="s">
        <v>1088</v>
      </c>
      <c r="E748" t="s">
        <v>1958</v>
      </c>
    </row>
    <row r="749" spans="1:5" x14ac:dyDescent="0.3">
      <c r="A749" t="s">
        <v>11736</v>
      </c>
      <c r="B749" t="s">
        <v>11737</v>
      </c>
      <c r="C749" t="s">
        <v>3946</v>
      </c>
      <c r="D749" t="s">
        <v>2709</v>
      </c>
      <c r="E749" t="s">
        <v>11738</v>
      </c>
    </row>
    <row r="750" spans="1:5" x14ac:dyDescent="0.3">
      <c r="A750" t="s">
        <v>8443</v>
      </c>
      <c r="B750" t="s">
        <v>8444</v>
      </c>
      <c r="C750" t="s">
        <v>2696</v>
      </c>
      <c r="D750" t="s">
        <v>2696</v>
      </c>
      <c r="E750" t="s">
        <v>8445</v>
      </c>
    </row>
    <row r="751" spans="1:5" x14ac:dyDescent="0.3">
      <c r="A751" t="s">
        <v>8467</v>
      </c>
      <c r="B751" t="s">
        <v>8468</v>
      </c>
      <c r="C751" t="s">
        <v>2696</v>
      </c>
      <c r="D751" t="s">
        <v>2696</v>
      </c>
      <c r="E751" t="s">
        <v>8469</v>
      </c>
    </row>
    <row r="752" spans="1:5" x14ac:dyDescent="0.3">
      <c r="A752" t="s">
        <v>8104</v>
      </c>
      <c r="B752" t="s">
        <v>8105</v>
      </c>
      <c r="C752" t="s">
        <v>2696</v>
      </c>
      <c r="D752" t="s">
        <v>2696</v>
      </c>
      <c r="E752" t="s">
        <v>8106</v>
      </c>
    </row>
    <row r="753" spans="1:5" x14ac:dyDescent="0.3">
      <c r="A753" t="s">
        <v>8126</v>
      </c>
      <c r="B753" t="s">
        <v>8127</v>
      </c>
      <c r="C753" t="s">
        <v>6349</v>
      </c>
      <c r="D753" t="s">
        <v>2841</v>
      </c>
      <c r="E753" t="s">
        <v>8128</v>
      </c>
    </row>
    <row r="754" spans="1:5" x14ac:dyDescent="0.3">
      <c r="A754" t="s">
        <v>11601</v>
      </c>
      <c r="B754" t="s">
        <v>11602</v>
      </c>
      <c r="C754" t="s">
        <v>2703</v>
      </c>
      <c r="D754" t="s">
        <v>2704</v>
      </c>
      <c r="E754" t="s">
        <v>11603</v>
      </c>
    </row>
    <row r="755" spans="1:5" x14ac:dyDescent="0.3">
      <c r="A755" t="s">
        <v>11623</v>
      </c>
      <c r="B755" t="s">
        <v>11624</v>
      </c>
      <c r="C755" t="s">
        <v>4167</v>
      </c>
      <c r="D755" t="s">
        <v>2852</v>
      </c>
      <c r="E755" t="s">
        <v>11625</v>
      </c>
    </row>
    <row r="756" spans="1:5" x14ac:dyDescent="0.3">
      <c r="A756" t="s">
        <v>7525</v>
      </c>
      <c r="B756" t="s">
        <v>7526</v>
      </c>
      <c r="C756" t="s">
        <v>4246</v>
      </c>
      <c r="D756" t="s">
        <v>2709</v>
      </c>
      <c r="E756" t="s">
        <v>7527</v>
      </c>
    </row>
    <row r="757" spans="1:5" x14ac:dyDescent="0.3">
      <c r="A757" t="s">
        <v>7548</v>
      </c>
      <c r="B757" t="s">
        <v>7549</v>
      </c>
      <c r="C757" t="s">
        <v>4246</v>
      </c>
      <c r="D757" t="s">
        <v>2709</v>
      </c>
      <c r="E757" t="s">
        <v>7550</v>
      </c>
    </row>
    <row r="758" spans="1:5" x14ac:dyDescent="0.3">
      <c r="A758" t="s">
        <v>8491</v>
      </c>
      <c r="B758" t="s">
        <v>8492</v>
      </c>
      <c r="C758" t="s">
        <v>2696</v>
      </c>
      <c r="D758" t="s">
        <v>2696</v>
      </c>
      <c r="E758" t="s">
        <v>8493</v>
      </c>
    </row>
    <row r="759" spans="1:5" x14ac:dyDescent="0.3">
      <c r="A759" t="s">
        <v>11760</v>
      </c>
      <c r="B759" t="s">
        <v>11761</v>
      </c>
      <c r="C759" t="s">
        <v>3946</v>
      </c>
      <c r="D759" t="s">
        <v>2709</v>
      </c>
      <c r="E759" t="s">
        <v>11762</v>
      </c>
    </row>
    <row r="760" spans="1:5" x14ac:dyDescent="0.3">
      <c r="A760" t="s">
        <v>11784</v>
      </c>
      <c r="B760" t="s">
        <v>11785</v>
      </c>
      <c r="C760" t="s">
        <v>11435</v>
      </c>
      <c r="D760" t="s">
        <v>3712</v>
      </c>
      <c r="E760" t="s">
        <v>11786</v>
      </c>
    </row>
    <row r="761" spans="1:5" x14ac:dyDescent="0.3">
      <c r="A761" t="s">
        <v>8150</v>
      </c>
      <c r="B761" t="s">
        <v>6840</v>
      </c>
      <c r="C761" t="s">
        <v>3860</v>
      </c>
      <c r="D761" t="s">
        <v>2704</v>
      </c>
      <c r="E761" t="s">
        <v>8151</v>
      </c>
    </row>
    <row r="762" spans="1:5" x14ac:dyDescent="0.3">
      <c r="A762" t="s">
        <v>8173</v>
      </c>
      <c r="B762" t="s">
        <v>2446</v>
      </c>
      <c r="C762" t="s">
        <v>2696</v>
      </c>
      <c r="D762" t="s">
        <v>2696</v>
      </c>
      <c r="E762" t="s">
        <v>8174</v>
      </c>
    </row>
    <row r="763" spans="1:5" x14ac:dyDescent="0.3">
      <c r="A763" t="s">
        <v>7572</v>
      </c>
      <c r="B763" t="s">
        <v>7573</v>
      </c>
      <c r="C763" t="s">
        <v>4246</v>
      </c>
      <c r="D763" t="s">
        <v>2709</v>
      </c>
      <c r="E763" t="s">
        <v>7574</v>
      </c>
    </row>
    <row r="764" spans="1:5" x14ac:dyDescent="0.3">
      <c r="A764" t="s">
        <v>7595</v>
      </c>
      <c r="B764" t="s">
        <v>7596</v>
      </c>
      <c r="C764" t="s">
        <v>4308</v>
      </c>
      <c r="D764" t="s">
        <v>133</v>
      </c>
      <c r="E764" t="s">
        <v>7597</v>
      </c>
    </row>
    <row r="765" spans="1:5" x14ac:dyDescent="0.3">
      <c r="A765" t="s">
        <v>7649</v>
      </c>
      <c r="B765" t="s">
        <v>7650</v>
      </c>
      <c r="C765" t="s">
        <v>2708</v>
      </c>
      <c r="D765" t="s">
        <v>2709</v>
      </c>
      <c r="E765" t="s">
        <v>7651</v>
      </c>
    </row>
    <row r="766" spans="1:5" x14ac:dyDescent="0.3">
      <c r="A766" t="s">
        <v>7673</v>
      </c>
      <c r="B766" t="s">
        <v>7674</v>
      </c>
      <c r="C766" t="s">
        <v>3860</v>
      </c>
      <c r="D766" t="s">
        <v>2704</v>
      </c>
      <c r="E766" t="s">
        <v>7675</v>
      </c>
    </row>
    <row r="767" spans="1:5" x14ac:dyDescent="0.3">
      <c r="A767" t="s">
        <v>8196</v>
      </c>
      <c r="B767" t="s">
        <v>8197</v>
      </c>
      <c r="C767" t="s">
        <v>2696</v>
      </c>
      <c r="D767" t="s">
        <v>2696</v>
      </c>
      <c r="E767" t="s">
        <v>8198</v>
      </c>
    </row>
    <row r="768" spans="1:5" x14ac:dyDescent="0.3">
      <c r="A768" t="s">
        <v>8220</v>
      </c>
      <c r="B768" t="s">
        <v>8221</v>
      </c>
      <c r="C768" t="s">
        <v>2696</v>
      </c>
      <c r="D768" t="s">
        <v>2696</v>
      </c>
      <c r="E768" t="s">
        <v>8222</v>
      </c>
    </row>
    <row r="769" spans="1:5" x14ac:dyDescent="0.3">
      <c r="A769" t="s">
        <v>7617</v>
      </c>
      <c r="B769" t="s">
        <v>7618</v>
      </c>
      <c r="C769" t="s">
        <v>4679</v>
      </c>
      <c r="D769" t="s">
        <v>2704</v>
      </c>
      <c r="E769" t="s">
        <v>7619</v>
      </c>
    </row>
    <row r="770" spans="1:5" x14ac:dyDescent="0.3">
      <c r="A770" t="s">
        <v>7637</v>
      </c>
      <c r="B770" t="s">
        <v>7638</v>
      </c>
      <c r="C770" t="s">
        <v>134</v>
      </c>
      <c r="D770" t="s">
        <v>133</v>
      </c>
      <c r="E770" t="s">
        <v>7639</v>
      </c>
    </row>
    <row r="771" spans="1:5" x14ac:dyDescent="0.3">
      <c r="A771" t="s">
        <v>11682</v>
      </c>
      <c r="B771" t="s">
        <v>11683</v>
      </c>
      <c r="C771" t="s">
        <v>3936</v>
      </c>
      <c r="D771" t="s">
        <v>3712</v>
      </c>
      <c r="E771" t="s">
        <v>11684</v>
      </c>
    </row>
    <row r="772" spans="1:5" x14ac:dyDescent="0.3">
      <c r="A772" t="s">
        <v>11693</v>
      </c>
      <c r="B772" t="s">
        <v>11694</v>
      </c>
      <c r="C772" t="s">
        <v>4246</v>
      </c>
      <c r="D772" t="s">
        <v>2709</v>
      </c>
      <c r="E772" t="s">
        <v>11695</v>
      </c>
    </row>
    <row r="773" spans="1:5" x14ac:dyDescent="0.3">
      <c r="A773" t="s">
        <v>8512</v>
      </c>
      <c r="B773" t="s">
        <v>8513</v>
      </c>
      <c r="C773" t="s">
        <v>2696</v>
      </c>
      <c r="D773" t="s">
        <v>2696</v>
      </c>
      <c r="E773" t="s">
        <v>8514</v>
      </c>
    </row>
    <row r="774" spans="1:5" x14ac:dyDescent="0.3">
      <c r="A774" t="s">
        <v>8535</v>
      </c>
      <c r="B774" t="s">
        <v>8536</v>
      </c>
      <c r="C774" t="s">
        <v>2696</v>
      </c>
      <c r="D774" t="s">
        <v>2696</v>
      </c>
      <c r="E774" t="s">
        <v>8537</v>
      </c>
    </row>
    <row r="775" spans="1:5" x14ac:dyDescent="0.3">
      <c r="A775" t="s">
        <v>11808</v>
      </c>
      <c r="B775" t="s">
        <v>11809</v>
      </c>
      <c r="C775" t="s">
        <v>11435</v>
      </c>
      <c r="D775" t="s">
        <v>3712</v>
      </c>
      <c r="E775" t="s">
        <v>11810</v>
      </c>
    </row>
    <row r="776" spans="1:5" x14ac:dyDescent="0.3">
      <c r="A776" t="s">
        <v>11820</v>
      </c>
      <c r="B776" t="s">
        <v>11821</v>
      </c>
      <c r="C776" t="s">
        <v>3946</v>
      </c>
      <c r="D776" t="s">
        <v>2709</v>
      </c>
      <c r="E776" t="s">
        <v>11822</v>
      </c>
    </row>
    <row r="777" spans="1:5" x14ac:dyDescent="0.3">
      <c r="A777" t="s">
        <v>7661</v>
      </c>
      <c r="B777" t="s">
        <v>7662</v>
      </c>
      <c r="C777" t="s">
        <v>3860</v>
      </c>
      <c r="D777" t="s">
        <v>2704</v>
      </c>
      <c r="E777" t="s">
        <v>7663</v>
      </c>
    </row>
    <row r="778" spans="1:5" x14ac:dyDescent="0.3">
      <c r="A778" t="s">
        <v>7679</v>
      </c>
      <c r="B778" t="s">
        <v>7680</v>
      </c>
      <c r="C778" t="s">
        <v>7682</v>
      </c>
      <c r="D778" t="s">
        <v>3712</v>
      </c>
      <c r="E778" t="s">
        <v>7681</v>
      </c>
    </row>
    <row r="779" spans="1:5" x14ac:dyDescent="0.3">
      <c r="A779" t="s">
        <v>7704</v>
      </c>
      <c r="B779" t="s">
        <v>3572</v>
      </c>
      <c r="C779" t="s">
        <v>7682</v>
      </c>
      <c r="D779" t="s">
        <v>3712</v>
      </c>
      <c r="E779" t="s">
        <v>7705</v>
      </c>
    </row>
    <row r="780" spans="1:5" x14ac:dyDescent="0.3">
      <c r="A780" t="s">
        <v>8559</v>
      </c>
      <c r="B780" t="s">
        <v>8560</v>
      </c>
      <c r="C780" t="s">
        <v>2696</v>
      </c>
      <c r="D780" t="s">
        <v>2696</v>
      </c>
      <c r="E780" t="s">
        <v>8561</v>
      </c>
    </row>
    <row r="781" spans="1:5" x14ac:dyDescent="0.3">
      <c r="A781" t="s">
        <v>8583</v>
      </c>
      <c r="B781" t="s">
        <v>8584</v>
      </c>
      <c r="C781" t="s">
        <v>2696</v>
      </c>
      <c r="D781" t="s">
        <v>2696</v>
      </c>
      <c r="E781" t="s">
        <v>8585</v>
      </c>
    </row>
    <row r="782" spans="1:5" x14ac:dyDescent="0.3">
      <c r="A782" t="s">
        <v>11843</v>
      </c>
      <c r="B782" t="s">
        <v>11844</v>
      </c>
      <c r="C782" t="s">
        <v>3946</v>
      </c>
      <c r="D782" t="s">
        <v>2709</v>
      </c>
      <c r="E782" t="s">
        <v>11845</v>
      </c>
    </row>
    <row r="783" spans="1:5" x14ac:dyDescent="0.3">
      <c r="A783" t="s">
        <v>11867</v>
      </c>
      <c r="B783" t="s">
        <v>11868</v>
      </c>
      <c r="C783" t="s">
        <v>3093</v>
      </c>
      <c r="D783" t="s">
        <v>2852</v>
      </c>
      <c r="E783" t="s">
        <v>11869</v>
      </c>
    </row>
    <row r="784" spans="1:5" x14ac:dyDescent="0.3">
      <c r="A784" t="s">
        <v>2560</v>
      </c>
      <c r="B784" t="s">
        <v>2561</v>
      </c>
      <c r="C784" t="s">
        <v>1153</v>
      </c>
      <c r="D784" t="s">
        <v>1088</v>
      </c>
      <c r="E784" t="s">
        <v>2562</v>
      </c>
    </row>
    <row r="785" spans="1:5" x14ac:dyDescent="0.3">
      <c r="A785" t="s">
        <v>7692</v>
      </c>
      <c r="B785" t="s">
        <v>7693</v>
      </c>
      <c r="C785" t="s">
        <v>7682</v>
      </c>
      <c r="D785" t="s">
        <v>3712</v>
      </c>
      <c r="E785" t="s">
        <v>7694</v>
      </c>
    </row>
    <row r="786" spans="1:5" x14ac:dyDescent="0.3">
      <c r="A786" t="s">
        <v>8607</v>
      </c>
      <c r="B786" t="s">
        <v>8608</v>
      </c>
      <c r="C786" t="s">
        <v>2696</v>
      </c>
      <c r="D786" t="s">
        <v>2696</v>
      </c>
      <c r="E786" t="s">
        <v>8609</v>
      </c>
    </row>
    <row r="787" spans="1:5" x14ac:dyDescent="0.3">
      <c r="A787" t="s">
        <v>8630</v>
      </c>
      <c r="B787" t="s">
        <v>8631</v>
      </c>
      <c r="C787" t="s">
        <v>4246</v>
      </c>
      <c r="D787" t="s">
        <v>2709</v>
      </c>
      <c r="E787" t="s">
        <v>8632</v>
      </c>
    </row>
    <row r="788" spans="1:5" x14ac:dyDescent="0.3">
      <c r="A788" t="s">
        <v>7726</v>
      </c>
      <c r="B788" t="s">
        <v>4328</v>
      </c>
      <c r="C788" t="s">
        <v>6349</v>
      </c>
      <c r="D788" t="s">
        <v>2841</v>
      </c>
      <c r="E788" t="s">
        <v>7727</v>
      </c>
    </row>
    <row r="789" spans="1:5" x14ac:dyDescent="0.3">
      <c r="A789" t="s">
        <v>7748</v>
      </c>
      <c r="B789" t="s">
        <v>7749</v>
      </c>
      <c r="C789" t="s">
        <v>6349</v>
      </c>
      <c r="D789" t="s">
        <v>2841</v>
      </c>
      <c r="E789" t="s">
        <v>7750</v>
      </c>
    </row>
    <row r="790" spans="1:5" x14ac:dyDescent="0.3">
      <c r="A790" t="s">
        <v>11716</v>
      </c>
      <c r="B790" t="s">
        <v>11717</v>
      </c>
      <c r="C790" t="s">
        <v>4246</v>
      </c>
      <c r="D790" t="s">
        <v>2709</v>
      </c>
      <c r="E790" t="s">
        <v>11718</v>
      </c>
    </row>
    <row r="791" spans="1:5" x14ac:dyDescent="0.3">
      <c r="A791" t="s">
        <v>1941</v>
      </c>
      <c r="B791" t="s">
        <v>1942</v>
      </c>
      <c r="C791" t="s">
        <v>1543</v>
      </c>
      <c r="D791" t="s">
        <v>1088</v>
      </c>
      <c r="E791" t="s">
        <v>1943</v>
      </c>
    </row>
    <row r="792" spans="1:5" x14ac:dyDescent="0.3">
      <c r="A792" t="s">
        <v>7715</v>
      </c>
      <c r="B792" t="s">
        <v>7716</v>
      </c>
      <c r="C792" t="s">
        <v>6349</v>
      </c>
      <c r="D792" t="s">
        <v>2841</v>
      </c>
      <c r="E792" t="s">
        <v>7717</v>
      </c>
    </row>
    <row r="793" spans="1:5" x14ac:dyDescent="0.3">
      <c r="A793" t="s">
        <v>7737</v>
      </c>
      <c r="B793" t="s">
        <v>4328</v>
      </c>
      <c r="C793" t="s">
        <v>6349</v>
      </c>
      <c r="D793" t="s">
        <v>2841</v>
      </c>
      <c r="E793" t="s">
        <v>7738</v>
      </c>
    </row>
    <row r="794" spans="1:5" x14ac:dyDescent="0.3">
      <c r="A794" t="s">
        <v>8242</v>
      </c>
      <c r="B794" t="s">
        <v>8243</v>
      </c>
      <c r="C794" t="s">
        <v>2696</v>
      </c>
      <c r="D794" t="s">
        <v>2696</v>
      </c>
      <c r="E794" t="s">
        <v>8244</v>
      </c>
    </row>
    <row r="795" spans="1:5" x14ac:dyDescent="0.3">
      <c r="A795" t="s">
        <v>8264</v>
      </c>
      <c r="B795" t="s">
        <v>8265</v>
      </c>
      <c r="C795" t="s">
        <v>2696</v>
      </c>
      <c r="D795" t="s">
        <v>2696</v>
      </c>
      <c r="E795" t="s">
        <v>8266</v>
      </c>
    </row>
    <row r="796" spans="1:5" x14ac:dyDescent="0.3">
      <c r="A796" t="s">
        <v>7772</v>
      </c>
      <c r="B796" t="s">
        <v>7773</v>
      </c>
      <c r="C796" t="s">
        <v>2696</v>
      </c>
      <c r="D796" t="s">
        <v>2696</v>
      </c>
      <c r="E796" t="s">
        <v>7774</v>
      </c>
    </row>
    <row r="797" spans="1:5" x14ac:dyDescent="0.3">
      <c r="A797" t="s">
        <v>7796</v>
      </c>
      <c r="B797" t="s">
        <v>7797</v>
      </c>
      <c r="C797" t="s">
        <v>2696</v>
      </c>
      <c r="D797" t="s">
        <v>2696</v>
      </c>
      <c r="E797" t="s">
        <v>7798</v>
      </c>
    </row>
    <row r="798" spans="1:5" x14ac:dyDescent="0.3">
      <c r="A798" t="s">
        <v>1983</v>
      </c>
      <c r="B798" t="s">
        <v>1984</v>
      </c>
      <c r="C798" t="s">
        <v>1543</v>
      </c>
      <c r="D798" t="s">
        <v>1088</v>
      </c>
      <c r="E798" t="s">
        <v>1985</v>
      </c>
    </row>
    <row r="799" spans="1:5" x14ac:dyDescent="0.3">
      <c r="A799" t="s">
        <v>1998</v>
      </c>
      <c r="B799" t="s">
        <v>1999</v>
      </c>
      <c r="C799" t="s">
        <v>1196</v>
      </c>
      <c r="D799" t="s">
        <v>1088</v>
      </c>
      <c r="E799" t="s">
        <v>2000</v>
      </c>
    </row>
    <row r="800" spans="1:5" x14ac:dyDescent="0.3">
      <c r="A800" t="s">
        <v>8288</v>
      </c>
      <c r="B800" t="s">
        <v>8289</v>
      </c>
      <c r="C800" t="s">
        <v>2696</v>
      </c>
      <c r="D800" t="s">
        <v>2696</v>
      </c>
      <c r="E800" t="s">
        <v>8290</v>
      </c>
    </row>
    <row r="801" spans="1:5" x14ac:dyDescent="0.3">
      <c r="A801" t="s">
        <v>8312</v>
      </c>
      <c r="B801" t="s">
        <v>8313</v>
      </c>
      <c r="C801" t="s">
        <v>2696</v>
      </c>
      <c r="D801" t="s">
        <v>2696</v>
      </c>
      <c r="E801" t="s">
        <v>8314</v>
      </c>
    </row>
    <row r="802" spans="1:5" x14ac:dyDescent="0.3">
      <c r="A802" t="s">
        <v>1947</v>
      </c>
      <c r="B802" t="s">
        <v>1948</v>
      </c>
      <c r="C802" t="s">
        <v>1543</v>
      </c>
      <c r="D802" t="s">
        <v>1088</v>
      </c>
      <c r="E802" t="s">
        <v>1949</v>
      </c>
    </row>
    <row r="803" spans="1:5" x14ac:dyDescent="0.3">
      <c r="A803" t="s">
        <v>11742</v>
      </c>
      <c r="B803" t="s">
        <v>11743</v>
      </c>
      <c r="C803" t="s">
        <v>3946</v>
      </c>
      <c r="D803" t="s">
        <v>2709</v>
      </c>
      <c r="E803" t="s">
        <v>11744</v>
      </c>
    </row>
    <row r="804" spans="1:5" x14ac:dyDescent="0.3">
      <c r="A804" t="s">
        <v>7820</v>
      </c>
      <c r="B804" t="s">
        <v>7821</v>
      </c>
      <c r="C804" t="s">
        <v>2696</v>
      </c>
      <c r="D804" t="s">
        <v>2696</v>
      </c>
      <c r="E804" t="s">
        <v>7822</v>
      </c>
    </row>
    <row r="805" spans="1:5" x14ac:dyDescent="0.3">
      <c r="A805" t="s">
        <v>7844</v>
      </c>
      <c r="B805" t="s">
        <v>7845</v>
      </c>
      <c r="C805" t="s">
        <v>2696</v>
      </c>
      <c r="D805" t="s">
        <v>2696</v>
      </c>
      <c r="E805" t="s">
        <v>7846</v>
      </c>
    </row>
    <row r="806" spans="1:5" x14ac:dyDescent="0.3">
      <c r="A806" t="s">
        <v>11646</v>
      </c>
      <c r="B806" t="s">
        <v>11647</v>
      </c>
      <c r="C806" t="s">
        <v>4167</v>
      </c>
      <c r="D806" t="s">
        <v>2852</v>
      </c>
      <c r="E806" t="s">
        <v>11648</v>
      </c>
    </row>
    <row r="807" spans="1:5" x14ac:dyDescent="0.3">
      <c r="A807" t="s">
        <v>2144</v>
      </c>
      <c r="B807" t="s">
        <v>2145</v>
      </c>
      <c r="C807" t="s">
        <v>1153</v>
      </c>
      <c r="D807" t="s">
        <v>1088</v>
      </c>
      <c r="E807" t="s">
        <v>2146</v>
      </c>
    </row>
    <row r="808" spans="1:5" x14ac:dyDescent="0.3">
      <c r="A808" t="s">
        <v>11905</v>
      </c>
      <c r="B808" t="s">
        <v>11906</v>
      </c>
      <c r="C808" t="s">
        <v>6574</v>
      </c>
      <c r="D808" t="s">
        <v>2852</v>
      </c>
      <c r="E808" t="s">
        <v>11907</v>
      </c>
    </row>
    <row r="809" spans="1:5" x14ac:dyDescent="0.3">
      <c r="A809" t="s">
        <v>11927</v>
      </c>
      <c r="B809" t="s">
        <v>11928</v>
      </c>
      <c r="C809" t="s">
        <v>2821</v>
      </c>
      <c r="D809" t="s">
        <v>133</v>
      </c>
      <c r="E809" t="s">
        <v>11929</v>
      </c>
    </row>
    <row r="810" spans="1:5" x14ac:dyDescent="0.3">
      <c r="A810" t="s">
        <v>11766</v>
      </c>
      <c r="B810" t="s">
        <v>11767</v>
      </c>
      <c r="C810" t="s">
        <v>3946</v>
      </c>
      <c r="D810" t="s">
        <v>2709</v>
      </c>
      <c r="E810" t="s">
        <v>11768</v>
      </c>
    </row>
    <row r="811" spans="1:5" x14ac:dyDescent="0.3">
      <c r="A811" t="s">
        <v>11790</v>
      </c>
      <c r="B811" t="s">
        <v>11791</v>
      </c>
      <c r="C811" t="s">
        <v>11435</v>
      </c>
      <c r="D811" t="s">
        <v>3712</v>
      </c>
      <c r="E811" t="s">
        <v>11792</v>
      </c>
    </row>
    <row r="812" spans="1:5" x14ac:dyDescent="0.3">
      <c r="A812" t="s">
        <v>8336</v>
      </c>
      <c r="B812" t="s">
        <v>8337</v>
      </c>
      <c r="C812" t="s">
        <v>2696</v>
      </c>
      <c r="D812" t="s">
        <v>2696</v>
      </c>
      <c r="E812" t="s">
        <v>8338</v>
      </c>
    </row>
    <row r="813" spans="1:5" x14ac:dyDescent="0.3">
      <c r="A813" t="s">
        <v>8359</v>
      </c>
      <c r="B813" t="s">
        <v>8360</v>
      </c>
      <c r="C813" t="s">
        <v>2696</v>
      </c>
      <c r="D813" t="s">
        <v>2696</v>
      </c>
      <c r="E813" t="s">
        <v>8361</v>
      </c>
    </row>
    <row r="814" spans="1:5" x14ac:dyDescent="0.3">
      <c r="A814" t="s">
        <v>2147</v>
      </c>
      <c r="B814" t="s">
        <v>2148</v>
      </c>
      <c r="C814" t="s">
        <v>1153</v>
      </c>
      <c r="D814" t="s">
        <v>1088</v>
      </c>
      <c r="E814" t="s">
        <v>2149</v>
      </c>
    </row>
    <row r="815" spans="1:5" x14ac:dyDescent="0.3">
      <c r="A815" t="s">
        <v>11672</v>
      </c>
      <c r="B815" t="s">
        <v>6328</v>
      </c>
      <c r="C815" t="s">
        <v>3936</v>
      </c>
      <c r="D815" t="s">
        <v>3712</v>
      </c>
      <c r="E815" t="s">
        <v>11673</v>
      </c>
    </row>
    <row r="816" spans="1:5" x14ac:dyDescent="0.3">
      <c r="A816" t="s">
        <v>7868</v>
      </c>
      <c r="B816" t="s">
        <v>3880</v>
      </c>
      <c r="C816" t="s">
        <v>2696</v>
      </c>
      <c r="D816" t="s">
        <v>2696</v>
      </c>
      <c r="E816" t="s">
        <v>7869</v>
      </c>
    </row>
    <row r="817" spans="1:5" x14ac:dyDescent="0.3">
      <c r="A817" t="s">
        <v>7891</v>
      </c>
      <c r="B817" t="s">
        <v>7892</v>
      </c>
      <c r="C817" t="s">
        <v>2696</v>
      </c>
      <c r="D817" t="s">
        <v>2696</v>
      </c>
      <c r="E817" t="s">
        <v>1083</v>
      </c>
    </row>
    <row r="818" spans="1:5" x14ac:dyDescent="0.3">
      <c r="A818" t="s">
        <v>2007</v>
      </c>
      <c r="B818" t="s">
        <v>2008</v>
      </c>
      <c r="C818" t="s">
        <v>1196</v>
      </c>
      <c r="D818" t="s">
        <v>1088</v>
      </c>
      <c r="E818" t="s">
        <v>2009</v>
      </c>
    </row>
    <row r="819" spans="1:5" x14ac:dyDescent="0.3">
      <c r="A819" t="s">
        <v>2016</v>
      </c>
      <c r="B819" t="s">
        <v>2017</v>
      </c>
      <c r="C819" t="s">
        <v>1196</v>
      </c>
      <c r="D819" t="s">
        <v>1088</v>
      </c>
      <c r="E819" t="s">
        <v>2018</v>
      </c>
    </row>
    <row r="820" spans="1:5" x14ac:dyDescent="0.3">
      <c r="A820" t="s">
        <v>8382</v>
      </c>
      <c r="B820" t="s">
        <v>8383</v>
      </c>
      <c r="C820" t="s">
        <v>2696</v>
      </c>
      <c r="D820" t="s">
        <v>2696</v>
      </c>
      <c r="E820" t="s">
        <v>8384</v>
      </c>
    </row>
    <row r="821" spans="1:5" x14ac:dyDescent="0.3">
      <c r="A821" t="s">
        <v>8405</v>
      </c>
      <c r="B821" t="s">
        <v>8380</v>
      </c>
      <c r="C821" t="s">
        <v>2696</v>
      </c>
      <c r="D821" t="s">
        <v>2696</v>
      </c>
      <c r="E821" t="s">
        <v>8406</v>
      </c>
    </row>
    <row r="822" spans="1:5" x14ac:dyDescent="0.3">
      <c r="A822" t="s">
        <v>7760</v>
      </c>
      <c r="B822" t="s">
        <v>7761</v>
      </c>
      <c r="C822" t="s">
        <v>2696</v>
      </c>
      <c r="D822" t="s">
        <v>2696</v>
      </c>
      <c r="E822" t="s">
        <v>7762</v>
      </c>
    </row>
    <row r="823" spans="1:5" x14ac:dyDescent="0.3">
      <c r="A823" t="s">
        <v>7784</v>
      </c>
      <c r="B823" t="s">
        <v>7785</v>
      </c>
      <c r="C823" t="s">
        <v>2696</v>
      </c>
      <c r="D823" t="s">
        <v>2696</v>
      </c>
      <c r="E823" t="s">
        <v>7786</v>
      </c>
    </row>
    <row r="824" spans="1:5" x14ac:dyDescent="0.3">
      <c r="A824" t="s">
        <v>2168</v>
      </c>
      <c r="B824" t="s">
        <v>2169</v>
      </c>
      <c r="C824" t="s">
        <v>1533</v>
      </c>
      <c r="D824" t="s">
        <v>1111</v>
      </c>
      <c r="E824" t="s">
        <v>2170</v>
      </c>
    </row>
    <row r="825" spans="1:5" x14ac:dyDescent="0.3">
      <c r="A825" t="s">
        <v>11705</v>
      </c>
      <c r="B825" t="s">
        <v>11706</v>
      </c>
      <c r="C825" t="s">
        <v>4246</v>
      </c>
      <c r="D825" t="s">
        <v>2709</v>
      </c>
      <c r="E825" t="s">
        <v>11707</v>
      </c>
    </row>
    <row r="826" spans="1:5" x14ac:dyDescent="0.3">
      <c r="A826" t="s">
        <v>7808</v>
      </c>
      <c r="B826" t="s">
        <v>7809</v>
      </c>
      <c r="C826" t="s">
        <v>2696</v>
      </c>
      <c r="D826" t="s">
        <v>2696</v>
      </c>
      <c r="E826" t="s">
        <v>7810</v>
      </c>
    </row>
    <row r="827" spans="1:5" x14ac:dyDescent="0.3">
      <c r="A827" t="s">
        <v>7832</v>
      </c>
      <c r="B827" t="s">
        <v>7833</v>
      </c>
      <c r="C827" t="s">
        <v>2696</v>
      </c>
      <c r="D827" t="s">
        <v>2696</v>
      </c>
      <c r="E827" t="s">
        <v>7834</v>
      </c>
    </row>
    <row r="828" spans="1:5" x14ac:dyDescent="0.3">
      <c r="A828" t="s">
        <v>2004</v>
      </c>
      <c r="B828" t="s">
        <v>2005</v>
      </c>
      <c r="C828" t="s">
        <v>1110</v>
      </c>
      <c r="D828" t="s">
        <v>1111</v>
      </c>
      <c r="E828" t="s">
        <v>2006</v>
      </c>
    </row>
    <row r="829" spans="1:5" x14ac:dyDescent="0.3">
      <c r="A829" t="s">
        <v>11825</v>
      </c>
      <c r="B829" t="s">
        <v>11826</v>
      </c>
      <c r="C829" t="s">
        <v>3946</v>
      </c>
      <c r="D829" t="s">
        <v>2709</v>
      </c>
      <c r="E829" t="s">
        <v>11827</v>
      </c>
    </row>
    <row r="830" spans="1:5" x14ac:dyDescent="0.3">
      <c r="A830" t="s">
        <v>7913</v>
      </c>
      <c r="B830" t="s">
        <v>7914</v>
      </c>
      <c r="C830" t="s">
        <v>2696</v>
      </c>
      <c r="D830" t="s">
        <v>2696</v>
      </c>
      <c r="E830" t="s">
        <v>7915</v>
      </c>
    </row>
    <row r="831" spans="1:5" x14ac:dyDescent="0.3">
      <c r="A831" t="s">
        <v>7936</v>
      </c>
      <c r="B831" t="s">
        <v>7937</v>
      </c>
      <c r="C831" t="s">
        <v>2696</v>
      </c>
      <c r="D831" t="s">
        <v>2696</v>
      </c>
      <c r="E831" t="s">
        <v>7938</v>
      </c>
    </row>
    <row r="832" spans="1:5" x14ac:dyDescent="0.3">
      <c r="A832" t="s">
        <v>11951</v>
      </c>
      <c r="B832" t="s">
        <v>11952</v>
      </c>
      <c r="C832" t="s">
        <v>2851</v>
      </c>
      <c r="D832" t="s">
        <v>2852</v>
      </c>
      <c r="E832" t="s">
        <v>11953</v>
      </c>
    </row>
    <row r="833" spans="1:5" x14ac:dyDescent="0.3">
      <c r="A833" t="s">
        <v>11975</v>
      </c>
      <c r="B833" t="s">
        <v>2750</v>
      </c>
      <c r="E833" t="s">
        <v>11976</v>
      </c>
    </row>
    <row r="834" spans="1:5" x14ac:dyDescent="0.3">
      <c r="A834" t="s">
        <v>8428</v>
      </c>
      <c r="B834" t="s">
        <v>8429</v>
      </c>
      <c r="C834" t="s">
        <v>2696</v>
      </c>
      <c r="D834" t="s">
        <v>2696</v>
      </c>
      <c r="E834" t="s">
        <v>8430</v>
      </c>
    </row>
    <row r="835" spans="1:5" x14ac:dyDescent="0.3">
      <c r="A835" t="s">
        <v>8452</v>
      </c>
      <c r="B835" t="s">
        <v>8453</v>
      </c>
      <c r="C835" t="s">
        <v>2696</v>
      </c>
      <c r="D835" t="s">
        <v>2696</v>
      </c>
      <c r="E835" t="s">
        <v>8454</v>
      </c>
    </row>
    <row r="836" spans="1:5" x14ac:dyDescent="0.3">
      <c r="A836" t="s">
        <v>7856</v>
      </c>
      <c r="B836" t="s">
        <v>7857</v>
      </c>
      <c r="C836" t="s">
        <v>2696</v>
      </c>
      <c r="D836" t="s">
        <v>2696</v>
      </c>
      <c r="E836" t="s">
        <v>7858</v>
      </c>
    </row>
    <row r="837" spans="1:5" x14ac:dyDescent="0.3">
      <c r="A837" t="s">
        <v>7879</v>
      </c>
      <c r="B837" t="s">
        <v>7880</v>
      </c>
      <c r="C837" t="s">
        <v>2696</v>
      </c>
      <c r="D837" t="s">
        <v>2696</v>
      </c>
      <c r="E837" t="s">
        <v>7881</v>
      </c>
    </row>
    <row r="838" spans="1:5" x14ac:dyDescent="0.3">
      <c r="A838" t="s">
        <v>1798</v>
      </c>
      <c r="B838" t="s">
        <v>1799</v>
      </c>
      <c r="C838" t="s">
        <v>1196</v>
      </c>
      <c r="D838" t="s">
        <v>1088</v>
      </c>
      <c r="E838" t="s">
        <v>1800</v>
      </c>
    </row>
    <row r="839" spans="1:5" x14ac:dyDescent="0.3">
      <c r="A839" t="s">
        <v>1801</v>
      </c>
      <c r="B839" t="s">
        <v>1802</v>
      </c>
      <c r="C839" t="s">
        <v>1196</v>
      </c>
      <c r="D839" t="s">
        <v>1088</v>
      </c>
      <c r="E839" t="s">
        <v>1803</v>
      </c>
    </row>
    <row r="840" spans="1:5" x14ac:dyDescent="0.3">
      <c r="A840" t="s">
        <v>11849</v>
      </c>
      <c r="B840" t="s">
        <v>11850</v>
      </c>
      <c r="C840" t="s">
        <v>3946</v>
      </c>
      <c r="D840" t="s">
        <v>2709</v>
      </c>
      <c r="E840" t="s">
        <v>11851</v>
      </c>
    </row>
    <row r="841" spans="1:5" x14ac:dyDescent="0.3">
      <c r="A841" t="s">
        <v>2013</v>
      </c>
      <c r="B841" t="s">
        <v>2014</v>
      </c>
      <c r="C841" t="s">
        <v>1543</v>
      </c>
      <c r="D841" t="s">
        <v>1088</v>
      </c>
      <c r="E841" t="s">
        <v>2015</v>
      </c>
    </row>
    <row r="842" spans="1:5" x14ac:dyDescent="0.3">
      <c r="A842" t="s">
        <v>8476</v>
      </c>
      <c r="B842" t="s">
        <v>8477</v>
      </c>
      <c r="C842" t="s">
        <v>2696</v>
      </c>
      <c r="D842" t="s">
        <v>2696</v>
      </c>
      <c r="E842" t="s">
        <v>8478</v>
      </c>
    </row>
    <row r="843" spans="1:5" x14ac:dyDescent="0.3">
      <c r="A843" t="s">
        <v>11728</v>
      </c>
      <c r="B843" t="s">
        <v>11729</v>
      </c>
      <c r="C843" t="s">
        <v>4246</v>
      </c>
      <c r="D843" t="s">
        <v>2709</v>
      </c>
      <c r="E843" t="s">
        <v>11730</v>
      </c>
    </row>
    <row r="844" spans="1:5" x14ac:dyDescent="0.3">
      <c r="A844" t="s">
        <v>2189</v>
      </c>
      <c r="B844" t="s">
        <v>2190</v>
      </c>
      <c r="C844" t="s">
        <v>1543</v>
      </c>
      <c r="D844" t="s">
        <v>1088</v>
      </c>
      <c r="E844" t="s">
        <v>2191</v>
      </c>
    </row>
    <row r="845" spans="1:5" x14ac:dyDescent="0.3">
      <c r="A845" t="s">
        <v>7901</v>
      </c>
      <c r="B845" t="s">
        <v>7902</v>
      </c>
      <c r="C845" t="s">
        <v>2696</v>
      </c>
      <c r="D845" t="s">
        <v>2696</v>
      </c>
      <c r="E845" t="s">
        <v>7903</v>
      </c>
    </row>
    <row r="846" spans="1:5" x14ac:dyDescent="0.3">
      <c r="A846" t="s">
        <v>7924</v>
      </c>
      <c r="B846" t="s">
        <v>7925</v>
      </c>
      <c r="C846" t="s">
        <v>2696</v>
      </c>
      <c r="D846" t="s">
        <v>2696</v>
      </c>
      <c r="E846" t="s">
        <v>7926</v>
      </c>
    </row>
    <row r="847" spans="1:5" x14ac:dyDescent="0.3">
      <c r="A847" t="s">
        <v>8498</v>
      </c>
      <c r="B847" t="s">
        <v>8499</v>
      </c>
      <c r="C847" t="s">
        <v>2696</v>
      </c>
      <c r="D847" t="s">
        <v>2696</v>
      </c>
      <c r="E847" t="s">
        <v>8500</v>
      </c>
    </row>
    <row r="848" spans="1:5" x14ac:dyDescent="0.3">
      <c r="A848" t="s">
        <v>8521</v>
      </c>
      <c r="B848" t="s">
        <v>8522</v>
      </c>
      <c r="C848" t="s">
        <v>2696</v>
      </c>
      <c r="D848" t="s">
        <v>2696</v>
      </c>
      <c r="E848" t="s">
        <v>8523</v>
      </c>
    </row>
    <row r="849" spans="1:5" x14ac:dyDescent="0.3">
      <c r="A849" t="s">
        <v>8544</v>
      </c>
      <c r="B849" t="s">
        <v>8545</v>
      </c>
      <c r="C849" t="s">
        <v>2696</v>
      </c>
      <c r="D849" t="s">
        <v>2696</v>
      </c>
      <c r="E849" t="s">
        <v>8546</v>
      </c>
    </row>
    <row r="850" spans="1:5" x14ac:dyDescent="0.3">
      <c r="A850" t="s">
        <v>11936</v>
      </c>
      <c r="B850" t="s">
        <v>11937</v>
      </c>
      <c r="C850" t="s">
        <v>2851</v>
      </c>
      <c r="D850" t="s">
        <v>2852</v>
      </c>
      <c r="E850" t="s">
        <v>11938</v>
      </c>
    </row>
    <row r="851" spans="1:5" x14ac:dyDescent="0.3">
      <c r="A851" t="s">
        <v>11731</v>
      </c>
      <c r="B851" t="s">
        <v>3883</v>
      </c>
      <c r="C851" t="s">
        <v>3946</v>
      </c>
      <c r="D851" t="s">
        <v>2709</v>
      </c>
      <c r="E851" t="s">
        <v>11732</v>
      </c>
    </row>
    <row r="852" spans="1:5" x14ac:dyDescent="0.3">
      <c r="A852" t="s">
        <v>11754</v>
      </c>
      <c r="B852" t="s">
        <v>11755</v>
      </c>
      <c r="C852" t="s">
        <v>3946</v>
      </c>
      <c r="D852" t="s">
        <v>2709</v>
      </c>
      <c r="E852" t="s">
        <v>11756</v>
      </c>
    </row>
    <row r="853" spans="1:5" x14ac:dyDescent="0.3">
      <c r="A853" t="s">
        <v>8654</v>
      </c>
      <c r="B853" t="s">
        <v>8655</v>
      </c>
      <c r="C853" t="s">
        <v>4246</v>
      </c>
      <c r="D853" t="s">
        <v>2709</v>
      </c>
      <c r="E853" t="s">
        <v>8656</v>
      </c>
    </row>
    <row r="854" spans="1:5" x14ac:dyDescent="0.3">
      <c r="A854" t="s">
        <v>8677</v>
      </c>
      <c r="B854" t="s">
        <v>8678</v>
      </c>
      <c r="C854" t="s">
        <v>2696</v>
      </c>
      <c r="D854" t="s">
        <v>2696</v>
      </c>
      <c r="E854" t="s">
        <v>8679</v>
      </c>
    </row>
    <row r="855" spans="1:5" x14ac:dyDescent="0.3">
      <c r="A855" t="s">
        <v>11997</v>
      </c>
      <c r="B855" t="s">
        <v>2753</v>
      </c>
      <c r="C855" t="s">
        <v>4207</v>
      </c>
      <c r="D855" t="s">
        <v>133</v>
      </c>
      <c r="E855" t="s">
        <v>11998</v>
      </c>
    </row>
    <row r="856" spans="1:5" x14ac:dyDescent="0.3">
      <c r="A856" t="s">
        <v>7522</v>
      </c>
      <c r="B856" t="s">
        <v>7523</v>
      </c>
      <c r="C856" t="s">
        <v>4246</v>
      </c>
      <c r="D856" t="s">
        <v>2709</v>
      </c>
      <c r="E856" t="s">
        <v>7524</v>
      </c>
    </row>
    <row r="857" spans="1:5" x14ac:dyDescent="0.3">
      <c r="A857" t="s">
        <v>8568</v>
      </c>
      <c r="B857" t="s">
        <v>8569</v>
      </c>
      <c r="C857" t="s">
        <v>2696</v>
      </c>
      <c r="D857" t="s">
        <v>2696</v>
      </c>
      <c r="E857" t="s">
        <v>8570</v>
      </c>
    </row>
    <row r="858" spans="1:5" x14ac:dyDescent="0.3">
      <c r="A858" t="s">
        <v>11778</v>
      </c>
      <c r="B858" t="s">
        <v>11779</v>
      </c>
      <c r="C858" t="s">
        <v>11435</v>
      </c>
      <c r="D858" t="s">
        <v>3712</v>
      </c>
      <c r="E858" t="s">
        <v>11780</v>
      </c>
    </row>
    <row r="859" spans="1:5" x14ac:dyDescent="0.3">
      <c r="A859" t="s">
        <v>11802</v>
      </c>
      <c r="B859" t="s">
        <v>11803</v>
      </c>
      <c r="C859" t="s">
        <v>11435</v>
      </c>
      <c r="D859" t="s">
        <v>3712</v>
      </c>
      <c r="E859" t="s">
        <v>11804</v>
      </c>
    </row>
    <row r="860" spans="1:5" x14ac:dyDescent="0.3">
      <c r="A860" t="s">
        <v>7948</v>
      </c>
      <c r="B860" t="s">
        <v>7949</v>
      </c>
      <c r="C860" t="s">
        <v>2696</v>
      </c>
      <c r="D860" t="s">
        <v>2696</v>
      </c>
      <c r="E860" t="s">
        <v>7950</v>
      </c>
    </row>
    <row r="861" spans="1:5" x14ac:dyDescent="0.3">
      <c r="A861" t="s">
        <v>7972</v>
      </c>
      <c r="B861" t="s">
        <v>7973</v>
      </c>
      <c r="C861" t="s">
        <v>2696</v>
      </c>
      <c r="D861" t="s">
        <v>2696</v>
      </c>
      <c r="E861" t="s">
        <v>7974</v>
      </c>
    </row>
    <row r="862" spans="1:5" x14ac:dyDescent="0.3">
      <c r="A862" t="s">
        <v>8700</v>
      </c>
      <c r="B862" t="s">
        <v>8701</v>
      </c>
      <c r="C862" t="s">
        <v>2696</v>
      </c>
      <c r="D862" t="s">
        <v>2696</v>
      </c>
      <c r="E862" t="s">
        <v>8702</v>
      </c>
    </row>
    <row r="863" spans="1:5" x14ac:dyDescent="0.3">
      <c r="A863" t="s">
        <v>2548</v>
      </c>
      <c r="B863" t="s">
        <v>2549</v>
      </c>
      <c r="C863" t="s">
        <v>1533</v>
      </c>
      <c r="D863" t="s">
        <v>1111</v>
      </c>
      <c r="E863" t="s">
        <v>2550</v>
      </c>
    </row>
    <row r="864" spans="1:5" x14ac:dyDescent="0.3">
      <c r="A864" t="s">
        <v>8592</v>
      </c>
      <c r="B864" t="s">
        <v>8593</v>
      </c>
      <c r="C864" t="s">
        <v>2696</v>
      </c>
      <c r="D864" t="s">
        <v>2696</v>
      </c>
      <c r="E864" t="s">
        <v>8594</v>
      </c>
    </row>
    <row r="865" spans="1:5" x14ac:dyDescent="0.3">
      <c r="A865" t="s">
        <v>8616</v>
      </c>
      <c r="B865" t="s">
        <v>1081</v>
      </c>
      <c r="C865" t="s">
        <v>2696</v>
      </c>
      <c r="D865" t="s">
        <v>2696</v>
      </c>
      <c r="E865" t="s">
        <v>8617</v>
      </c>
    </row>
    <row r="866" spans="1:5" x14ac:dyDescent="0.3">
      <c r="A866" t="s">
        <v>7996</v>
      </c>
      <c r="B866" t="s">
        <v>7997</v>
      </c>
      <c r="C866" t="s">
        <v>2696</v>
      </c>
      <c r="D866" t="s">
        <v>2696</v>
      </c>
      <c r="E866" t="s">
        <v>7998</v>
      </c>
    </row>
    <row r="867" spans="1:5" x14ac:dyDescent="0.3">
      <c r="A867" t="s">
        <v>8019</v>
      </c>
      <c r="B867" t="s">
        <v>8020</v>
      </c>
      <c r="C867" t="s">
        <v>2696</v>
      </c>
      <c r="D867" t="s">
        <v>2696</v>
      </c>
      <c r="E867" t="s">
        <v>8021</v>
      </c>
    </row>
    <row r="868" spans="1:5" x14ac:dyDescent="0.3">
      <c r="A868" t="s">
        <v>7960</v>
      </c>
      <c r="B868" t="s">
        <v>7961</v>
      </c>
      <c r="C868" t="s">
        <v>2696</v>
      </c>
      <c r="D868" t="s">
        <v>2696</v>
      </c>
      <c r="E868" t="s">
        <v>7962</v>
      </c>
    </row>
    <row r="869" spans="1:5" x14ac:dyDescent="0.3">
      <c r="A869" t="s">
        <v>7984</v>
      </c>
      <c r="B869" t="s">
        <v>7985</v>
      </c>
      <c r="C869" t="s">
        <v>2696</v>
      </c>
      <c r="D869" t="s">
        <v>2696</v>
      </c>
      <c r="E869" t="s">
        <v>7986</v>
      </c>
    </row>
    <row r="870" spans="1:5" x14ac:dyDescent="0.3">
      <c r="A870" t="s">
        <v>8639</v>
      </c>
      <c r="B870" t="s">
        <v>8640</v>
      </c>
      <c r="C870" t="s">
        <v>4246</v>
      </c>
      <c r="D870" t="s">
        <v>2709</v>
      </c>
      <c r="E870" t="s">
        <v>8641</v>
      </c>
    </row>
    <row r="871" spans="1:5" x14ac:dyDescent="0.3">
      <c r="A871" t="s">
        <v>8663</v>
      </c>
      <c r="B871" t="s">
        <v>5439</v>
      </c>
      <c r="C871" t="s">
        <v>4246</v>
      </c>
      <c r="D871" t="s">
        <v>2709</v>
      </c>
      <c r="E871" t="s">
        <v>8664</v>
      </c>
    </row>
    <row r="872" spans="1:5" x14ac:dyDescent="0.3">
      <c r="A872" t="s">
        <v>11814</v>
      </c>
      <c r="B872" t="s">
        <v>11815</v>
      </c>
      <c r="C872" t="s">
        <v>3946</v>
      </c>
      <c r="D872" t="s">
        <v>2709</v>
      </c>
      <c r="E872" t="s">
        <v>11816</v>
      </c>
    </row>
    <row r="873" spans="1:5" x14ac:dyDescent="0.3">
      <c r="A873" t="s">
        <v>11837</v>
      </c>
      <c r="B873" t="s">
        <v>11838</v>
      </c>
      <c r="C873" t="s">
        <v>3946</v>
      </c>
      <c r="D873" t="s">
        <v>2709</v>
      </c>
      <c r="E873" t="s">
        <v>11839</v>
      </c>
    </row>
    <row r="874" spans="1:5" x14ac:dyDescent="0.3">
      <c r="A874" t="s">
        <v>8043</v>
      </c>
      <c r="B874" t="s">
        <v>2519</v>
      </c>
      <c r="C874" t="s">
        <v>2696</v>
      </c>
      <c r="D874" t="s">
        <v>2696</v>
      </c>
      <c r="E874" t="s">
        <v>8044</v>
      </c>
    </row>
    <row r="875" spans="1:5" x14ac:dyDescent="0.3">
      <c r="A875" t="s">
        <v>8066</v>
      </c>
      <c r="B875" t="s">
        <v>8067</v>
      </c>
      <c r="C875" t="s">
        <v>2696</v>
      </c>
      <c r="D875" t="s">
        <v>2696</v>
      </c>
      <c r="E875" t="s">
        <v>8068</v>
      </c>
    </row>
    <row r="876" spans="1:5" x14ac:dyDescent="0.3">
      <c r="A876" t="s">
        <v>7545</v>
      </c>
      <c r="B876" t="s">
        <v>7546</v>
      </c>
      <c r="C876" t="s">
        <v>4246</v>
      </c>
      <c r="D876" t="s">
        <v>2709</v>
      </c>
      <c r="E876" t="s">
        <v>7547</v>
      </c>
    </row>
    <row r="877" spans="1:5" x14ac:dyDescent="0.3">
      <c r="A877" t="s">
        <v>7569</v>
      </c>
      <c r="B877" t="s">
        <v>7570</v>
      </c>
      <c r="C877" t="s">
        <v>4246</v>
      </c>
      <c r="D877" t="s">
        <v>2709</v>
      </c>
      <c r="E877" t="s">
        <v>7571</v>
      </c>
    </row>
    <row r="878" spans="1:5" x14ac:dyDescent="0.3">
      <c r="A878" t="s">
        <v>8686</v>
      </c>
      <c r="B878" t="s">
        <v>8687</v>
      </c>
      <c r="C878" t="s">
        <v>2696</v>
      </c>
      <c r="D878" t="s">
        <v>2696</v>
      </c>
      <c r="E878" t="s">
        <v>8688</v>
      </c>
    </row>
    <row r="879" spans="1:5" x14ac:dyDescent="0.3">
      <c r="A879" t="s">
        <v>8708</v>
      </c>
      <c r="B879" t="s">
        <v>8709</v>
      </c>
      <c r="C879" t="s">
        <v>2696</v>
      </c>
      <c r="D879" t="s">
        <v>2696</v>
      </c>
      <c r="E879" t="s">
        <v>8710</v>
      </c>
    </row>
    <row r="880" spans="1:5" x14ac:dyDescent="0.3">
      <c r="A880" t="s">
        <v>2551</v>
      </c>
      <c r="B880" t="s">
        <v>2552</v>
      </c>
      <c r="C880" t="s">
        <v>1501</v>
      </c>
      <c r="D880" t="s">
        <v>1088</v>
      </c>
      <c r="E880" t="s">
        <v>2553</v>
      </c>
    </row>
    <row r="881" spans="1:5" x14ac:dyDescent="0.3">
      <c r="A881" t="s">
        <v>8728</v>
      </c>
      <c r="B881" t="s">
        <v>8729</v>
      </c>
      <c r="C881" t="s">
        <v>2696</v>
      </c>
      <c r="D881" t="s">
        <v>2696</v>
      </c>
      <c r="E881" t="s">
        <v>8730</v>
      </c>
    </row>
    <row r="882" spans="1:5" x14ac:dyDescent="0.3">
      <c r="A882" t="s">
        <v>8086</v>
      </c>
      <c r="B882" t="s">
        <v>8087</v>
      </c>
      <c r="C882" t="s">
        <v>2696</v>
      </c>
      <c r="D882" t="s">
        <v>2696</v>
      </c>
      <c r="E882" t="s">
        <v>8088</v>
      </c>
    </row>
    <row r="883" spans="1:5" x14ac:dyDescent="0.3">
      <c r="A883" t="s">
        <v>2025</v>
      </c>
      <c r="B883" t="s">
        <v>2026</v>
      </c>
      <c r="C883" t="s">
        <v>1543</v>
      </c>
      <c r="D883" t="s">
        <v>1088</v>
      </c>
      <c r="E883" t="s">
        <v>2027</v>
      </c>
    </row>
    <row r="884" spans="1:5" x14ac:dyDescent="0.3">
      <c r="A884" t="s">
        <v>11888</v>
      </c>
      <c r="B884" t="s">
        <v>11889</v>
      </c>
      <c r="C884" t="s">
        <v>6574</v>
      </c>
      <c r="D884" t="s">
        <v>2852</v>
      </c>
      <c r="E884" t="s">
        <v>11890</v>
      </c>
    </row>
    <row r="885" spans="1:5" x14ac:dyDescent="0.3">
      <c r="A885" t="s">
        <v>11960</v>
      </c>
      <c r="B885" t="s">
        <v>11961</v>
      </c>
      <c r="C885" t="s">
        <v>2851</v>
      </c>
      <c r="D885" t="s">
        <v>2852</v>
      </c>
      <c r="E885" t="s">
        <v>11962</v>
      </c>
    </row>
    <row r="886" spans="1:5" x14ac:dyDescent="0.3">
      <c r="A886" t="s">
        <v>11983</v>
      </c>
      <c r="B886" t="s">
        <v>11984</v>
      </c>
      <c r="C886" t="s">
        <v>6333</v>
      </c>
      <c r="D886" t="s">
        <v>2709</v>
      </c>
      <c r="E886" t="s">
        <v>11985</v>
      </c>
    </row>
    <row r="887" spans="1:5" x14ac:dyDescent="0.3">
      <c r="A887" t="s">
        <v>7592</v>
      </c>
      <c r="B887" t="s">
        <v>7593</v>
      </c>
      <c r="C887" t="s">
        <v>4308</v>
      </c>
      <c r="D887" t="s">
        <v>133</v>
      </c>
      <c r="E887" t="s">
        <v>7594</v>
      </c>
    </row>
    <row r="888" spans="1:5" x14ac:dyDescent="0.3">
      <c r="A888" t="s">
        <v>8110</v>
      </c>
      <c r="B888" t="s">
        <v>8111</v>
      </c>
      <c r="C888" t="s">
        <v>2696</v>
      </c>
      <c r="D888" t="s">
        <v>2696</v>
      </c>
      <c r="E888" t="s">
        <v>8112</v>
      </c>
    </row>
    <row r="889" spans="1:5" x14ac:dyDescent="0.3">
      <c r="A889" t="s">
        <v>8132</v>
      </c>
      <c r="B889" t="s">
        <v>8133</v>
      </c>
      <c r="C889" t="s">
        <v>6349</v>
      </c>
      <c r="D889" t="s">
        <v>2841</v>
      </c>
      <c r="E889" t="s">
        <v>8134</v>
      </c>
    </row>
    <row r="890" spans="1:5" x14ac:dyDescent="0.3">
      <c r="A890" t="s">
        <v>2674</v>
      </c>
      <c r="B890" t="s">
        <v>2675</v>
      </c>
      <c r="C890" t="s">
        <v>1501</v>
      </c>
      <c r="D890" t="s">
        <v>1088</v>
      </c>
      <c r="E890" t="s">
        <v>2676</v>
      </c>
    </row>
    <row r="891" spans="1:5" x14ac:dyDescent="0.3">
      <c r="A891" t="s">
        <v>11911</v>
      </c>
      <c r="B891" t="s">
        <v>10345</v>
      </c>
      <c r="C891" t="s">
        <v>2821</v>
      </c>
      <c r="D891" t="s">
        <v>133</v>
      </c>
      <c r="E891" t="s">
        <v>11912</v>
      </c>
    </row>
    <row r="892" spans="1:5" x14ac:dyDescent="0.3">
      <c r="A892" t="s">
        <v>2057</v>
      </c>
      <c r="B892" t="s">
        <v>2058</v>
      </c>
      <c r="C892" t="s">
        <v>1196</v>
      </c>
      <c r="D892" t="s">
        <v>1088</v>
      </c>
      <c r="E892" t="s">
        <v>2059</v>
      </c>
    </row>
    <row r="893" spans="1:5" x14ac:dyDescent="0.3">
      <c r="A893" t="s">
        <v>8155</v>
      </c>
      <c r="B893" t="s">
        <v>8156</v>
      </c>
      <c r="C893" t="s">
        <v>3860</v>
      </c>
      <c r="D893" t="s">
        <v>2704</v>
      </c>
      <c r="E893" t="s">
        <v>8157</v>
      </c>
    </row>
    <row r="894" spans="1:5" x14ac:dyDescent="0.3">
      <c r="A894" t="s">
        <v>8178</v>
      </c>
      <c r="B894" t="s">
        <v>8179</v>
      </c>
      <c r="C894" t="s">
        <v>2696</v>
      </c>
      <c r="D894" t="s">
        <v>2696</v>
      </c>
      <c r="E894" t="s">
        <v>8180</v>
      </c>
    </row>
    <row r="895" spans="1:5" x14ac:dyDescent="0.3">
      <c r="A895" t="s">
        <v>11861</v>
      </c>
      <c r="B895" t="s">
        <v>11862</v>
      </c>
      <c r="C895" t="s">
        <v>4167</v>
      </c>
      <c r="D895" t="s">
        <v>2852</v>
      </c>
      <c r="E895" t="s">
        <v>11863</v>
      </c>
    </row>
    <row r="896" spans="1:5" x14ac:dyDescent="0.3">
      <c r="A896" t="s">
        <v>2201</v>
      </c>
      <c r="B896" t="s">
        <v>2202</v>
      </c>
      <c r="C896" t="s">
        <v>1543</v>
      </c>
      <c r="D896" t="s">
        <v>1088</v>
      </c>
      <c r="E896" t="s">
        <v>2203</v>
      </c>
    </row>
    <row r="897" spans="1:5" x14ac:dyDescent="0.3">
      <c r="A897" t="s">
        <v>8714</v>
      </c>
      <c r="B897" t="s">
        <v>6037</v>
      </c>
      <c r="C897" t="s">
        <v>134</v>
      </c>
      <c r="D897" t="s">
        <v>133</v>
      </c>
      <c r="E897" t="s">
        <v>8715</v>
      </c>
    </row>
    <row r="898" spans="1:5" x14ac:dyDescent="0.3">
      <c r="A898" t="s">
        <v>8736</v>
      </c>
      <c r="B898" t="s">
        <v>8737</v>
      </c>
      <c r="C898" t="s">
        <v>2696</v>
      </c>
      <c r="D898" t="s">
        <v>2696</v>
      </c>
      <c r="E898" t="s">
        <v>8738</v>
      </c>
    </row>
    <row r="899" spans="1:5" x14ac:dyDescent="0.3">
      <c r="A899" t="s">
        <v>8202</v>
      </c>
      <c r="B899" t="s">
        <v>8203</v>
      </c>
      <c r="C899" t="s">
        <v>2696</v>
      </c>
      <c r="D899" t="s">
        <v>2696</v>
      </c>
      <c r="E899" t="s">
        <v>8204</v>
      </c>
    </row>
    <row r="900" spans="1:5" x14ac:dyDescent="0.3">
      <c r="A900" t="s">
        <v>8226</v>
      </c>
      <c r="B900" t="s">
        <v>3868</v>
      </c>
      <c r="C900" t="s">
        <v>2696</v>
      </c>
      <c r="D900" t="s">
        <v>2696</v>
      </c>
      <c r="E900" t="s">
        <v>8227</v>
      </c>
    </row>
    <row r="901" spans="1:5" x14ac:dyDescent="0.3">
      <c r="A901" t="s">
        <v>8760</v>
      </c>
      <c r="B901" t="s">
        <v>8761</v>
      </c>
      <c r="C901" t="s">
        <v>2696</v>
      </c>
      <c r="D901" t="s">
        <v>2696</v>
      </c>
      <c r="E901" t="s">
        <v>8762</v>
      </c>
    </row>
    <row r="902" spans="1:5" x14ac:dyDescent="0.3">
      <c r="A902" t="s">
        <v>8784</v>
      </c>
      <c r="B902" t="s">
        <v>8785</v>
      </c>
      <c r="C902" t="s">
        <v>4086</v>
      </c>
      <c r="D902" t="s">
        <v>2704</v>
      </c>
      <c r="E902" t="s">
        <v>8786</v>
      </c>
    </row>
    <row r="903" spans="1:5" x14ac:dyDescent="0.3">
      <c r="A903" t="s">
        <v>7614</v>
      </c>
      <c r="B903" t="s">
        <v>7615</v>
      </c>
      <c r="C903" t="s">
        <v>4679</v>
      </c>
      <c r="D903" t="s">
        <v>2704</v>
      </c>
      <c r="E903" t="s">
        <v>7616</v>
      </c>
    </row>
    <row r="904" spans="1:5" x14ac:dyDescent="0.3">
      <c r="A904" t="s">
        <v>7634</v>
      </c>
      <c r="B904" t="s">
        <v>7635</v>
      </c>
      <c r="C904" t="s">
        <v>134</v>
      </c>
      <c r="D904" t="s">
        <v>133</v>
      </c>
      <c r="E904" t="s">
        <v>7636</v>
      </c>
    </row>
    <row r="905" spans="1:5" x14ac:dyDescent="0.3">
      <c r="A905" t="s">
        <v>11879</v>
      </c>
      <c r="B905" t="s">
        <v>11880</v>
      </c>
      <c r="C905" t="s">
        <v>2708</v>
      </c>
      <c r="D905" t="s">
        <v>2709</v>
      </c>
      <c r="E905" t="s">
        <v>11881</v>
      </c>
    </row>
    <row r="906" spans="1:5" x14ac:dyDescent="0.3">
      <c r="A906" t="s">
        <v>11899</v>
      </c>
      <c r="B906" t="s">
        <v>11900</v>
      </c>
      <c r="C906" t="s">
        <v>6574</v>
      </c>
      <c r="D906" t="s">
        <v>2852</v>
      </c>
      <c r="E906" t="s">
        <v>11901</v>
      </c>
    </row>
    <row r="907" spans="1:5" x14ac:dyDescent="0.3">
      <c r="A907" t="s">
        <v>12004</v>
      </c>
      <c r="B907" t="s">
        <v>12005</v>
      </c>
      <c r="C907" t="s">
        <v>4207</v>
      </c>
      <c r="D907" t="s">
        <v>133</v>
      </c>
      <c r="E907" t="s">
        <v>12006</v>
      </c>
    </row>
    <row r="908" spans="1:5" x14ac:dyDescent="0.3">
      <c r="A908" t="s">
        <v>7531</v>
      </c>
      <c r="B908" t="s">
        <v>7532</v>
      </c>
      <c r="C908" t="s">
        <v>4246</v>
      </c>
      <c r="D908" t="s">
        <v>2709</v>
      </c>
      <c r="E908" t="s">
        <v>7533</v>
      </c>
    </row>
    <row r="909" spans="1:5" x14ac:dyDescent="0.3">
      <c r="A909" t="s">
        <v>8247</v>
      </c>
      <c r="B909" t="s">
        <v>8248</v>
      </c>
      <c r="C909" t="s">
        <v>2696</v>
      </c>
      <c r="D909" t="s">
        <v>2696</v>
      </c>
      <c r="E909" t="s">
        <v>8249</v>
      </c>
    </row>
    <row r="910" spans="1:5" x14ac:dyDescent="0.3">
      <c r="A910" t="s">
        <v>8270</v>
      </c>
      <c r="B910" t="s">
        <v>8271</v>
      </c>
      <c r="C910" t="s">
        <v>2696</v>
      </c>
      <c r="D910" t="s">
        <v>2696</v>
      </c>
      <c r="E910" t="s">
        <v>8272</v>
      </c>
    </row>
    <row r="911" spans="1:5" x14ac:dyDescent="0.3">
      <c r="A911" t="s">
        <v>8751</v>
      </c>
      <c r="B911" t="s">
        <v>8752</v>
      </c>
      <c r="C911" t="s">
        <v>2696</v>
      </c>
      <c r="D911" t="s">
        <v>2696</v>
      </c>
      <c r="E911" t="s">
        <v>8753</v>
      </c>
    </row>
    <row r="912" spans="1:5" x14ac:dyDescent="0.3">
      <c r="A912" t="s">
        <v>8775</v>
      </c>
      <c r="B912" t="s">
        <v>8776</v>
      </c>
      <c r="C912" t="s">
        <v>4086</v>
      </c>
      <c r="D912" t="s">
        <v>2704</v>
      </c>
      <c r="E912" t="s">
        <v>8777</v>
      </c>
    </row>
    <row r="913" spans="1:5" x14ac:dyDescent="0.3">
      <c r="A913" t="s">
        <v>8805</v>
      </c>
      <c r="B913" t="s">
        <v>8806</v>
      </c>
      <c r="C913" t="s">
        <v>2703</v>
      </c>
      <c r="D913" t="s">
        <v>2704</v>
      </c>
      <c r="E913" t="s">
        <v>8807</v>
      </c>
    </row>
    <row r="914" spans="1:5" x14ac:dyDescent="0.3">
      <c r="A914" t="s">
        <v>8826</v>
      </c>
      <c r="B914" t="s">
        <v>8827</v>
      </c>
      <c r="C914" t="s">
        <v>2696</v>
      </c>
      <c r="D914" t="s">
        <v>2696</v>
      </c>
      <c r="E914" t="s">
        <v>8828</v>
      </c>
    </row>
    <row r="915" spans="1:5" x14ac:dyDescent="0.3">
      <c r="A915" t="s">
        <v>7554</v>
      </c>
      <c r="B915" t="s">
        <v>7555</v>
      </c>
      <c r="C915" t="s">
        <v>4246</v>
      </c>
      <c r="D915" t="s">
        <v>2709</v>
      </c>
      <c r="E915" t="s">
        <v>7556</v>
      </c>
    </row>
    <row r="916" spans="1:5" x14ac:dyDescent="0.3">
      <c r="A916" t="s">
        <v>7577</v>
      </c>
      <c r="B916" t="s">
        <v>7578</v>
      </c>
      <c r="C916" t="s">
        <v>134</v>
      </c>
      <c r="D916" t="s">
        <v>133</v>
      </c>
      <c r="E916" t="s">
        <v>7579</v>
      </c>
    </row>
    <row r="917" spans="1:5" x14ac:dyDescent="0.3">
      <c r="A917" t="s">
        <v>2060</v>
      </c>
      <c r="B917" t="s">
        <v>2061</v>
      </c>
      <c r="C917" t="s">
        <v>1196</v>
      </c>
      <c r="D917" t="s">
        <v>1088</v>
      </c>
      <c r="E917" t="s">
        <v>2062</v>
      </c>
    </row>
    <row r="918" spans="1:5" x14ac:dyDescent="0.3">
      <c r="A918" t="s">
        <v>11933</v>
      </c>
      <c r="B918" t="s">
        <v>11934</v>
      </c>
      <c r="C918" t="s">
        <v>2851</v>
      </c>
      <c r="D918" t="s">
        <v>2852</v>
      </c>
      <c r="E918" t="s">
        <v>11935</v>
      </c>
    </row>
    <row r="919" spans="1:5" x14ac:dyDescent="0.3">
      <c r="A919" t="s">
        <v>8294</v>
      </c>
      <c r="B919" t="s">
        <v>8295</v>
      </c>
      <c r="C919" t="s">
        <v>2696</v>
      </c>
      <c r="D919" t="s">
        <v>2696</v>
      </c>
      <c r="E919" t="s">
        <v>8296</v>
      </c>
    </row>
    <row r="920" spans="1:5" x14ac:dyDescent="0.3">
      <c r="A920" t="s">
        <v>8318</v>
      </c>
      <c r="B920" t="s">
        <v>8319</v>
      </c>
      <c r="C920" t="s">
        <v>2696</v>
      </c>
      <c r="D920" t="s">
        <v>2696</v>
      </c>
      <c r="E920" t="s">
        <v>8320</v>
      </c>
    </row>
    <row r="921" spans="1:5" x14ac:dyDescent="0.3">
      <c r="A921" t="s">
        <v>8797</v>
      </c>
      <c r="B921" t="s">
        <v>1835</v>
      </c>
      <c r="C921" t="s">
        <v>2703</v>
      </c>
      <c r="D921" t="s">
        <v>2704</v>
      </c>
      <c r="E921" t="s">
        <v>8798</v>
      </c>
    </row>
    <row r="922" spans="1:5" x14ac:dyDescent="0.3">
      <c r="A922" t="s">
        <v>8849</v>
      </c>
      <c r="B922" t="s">
        <v>1856</v>
      </c>
      <c r="C922" t="s">
        <v>3758</v>
      </c>
      <c r="D922" t="s">
        <v>3712</v>
      </c>
      <c r="E922" t="s">
        <v>8850</v>
      </c>
    </row>
    <row r="923" spans="1:5" x14ac:dyDescent="0.3">
      <c r="A923" t="s">
        <v>8872</v>
      </c>
      <c r="B923" t="s">
        <v>8873</v>
      </c>
      <c r="C923" t="s">
        <v>3850</v>
      </c>
      <c r="D923" t="s">
        <v>3712</v>
      </c>
      <c r="E923" t="s">
        <v>8874</v>
      </c>
    </row>
    <row r="924" spans="1:5" x14ac:dyDescent="0.3">
      <c r="A924" t="s">
        <v>7601</v>
      </c>
      <c r="B924" t="s">
        <v>7602</v>
      </c>
      <c r="C924" t="s">
        <v>4308</v>
      </c>
      <c r="D924" t="s">
        <v>133</v>
      </c>
      <c r="E924" t="s">
        <v>7603</v>
      </c>
    </row>
    <row r="925" spans="1:5" x14ac:dyDescent="0.3">
      <c r="A925" t="s">
        <v>7622</v>
      </c>
      <c r="B925" t="s">
        <v>7623</v>
      </c>
      <c r="C925" t="s">
        <v>4679</v>
      </c>
      <c r="D925" t="s">
        <v>2704</v>
      </c>
      <c r="E925" t="s">
        <v>7624</v>
      </c>
    </row>
    <row r="926" spans="1:5" x14ac:dyDescent="0.3">
      <c r="A926" t="s">
        <v>7658</v>
      </c>
      <c r="B926" t="s">
        <v>7659</v>
      </c>
      <c r="C926" t="s">
        <v>2708</v>
      </c>
      <c r="D926" t="s">
        <v>2709</v>
      </c>
      <c r="E926" t="s">
        <v>7660</v>
      </c>
    </row>
    <row r="927" spans="1:5" x14ac:dyDescent="0.3">
      <c r="A927" t="s">
        <v>2327</v>
      </c>
      <c r="B927" t="s">
        <v>2328</v>
      </c>
      <c r="C927" t="s">
        <v>1153</v>
      </c>
      <c r="D927" t="s">
        <v>1088</v>
      </c>
      <c r="E927" t="s">
        <v>2329</v>
      </c>
    </row>
    <row r="928" spans="1:5" x14ac:dyDescent="0.3">
      <c r="A928" t="s">
        <v>8896</v>
      </c>
      <c r="B928" t="s">
        <v>8897</v>
      </c>
      <c r="C928" t="s">
        <v>3860</v>
      </c>
      <c r="D928" t="s">
        <v>2704</v>
      </c>
      <c r="E928" t="s">
        <v>8898</v>
      </c>
    </row>
    <row r="929" spans="1:5" x14ac:dyDescent="0.3">
      <c r="A929" t="s">
        <v>8919</v>
      </c>
      <c r="B929" t="s">
        <v>4513</v>
      </c>
      <c r="C929" t="s">
        <v>2696</v>
      </c>
      <c r="D929" t="s">
        <v>2696</v>
      </c>
      <c r="E929" t="s">
        <v>8920</v>
      </c>
    </row>
    <row r="930" spans="1:5" x14ac:dyDescent="0.3">
      <c r="A930" t="s">
        <v>8342</v>
      </c>
      <c r="B930" t="s">
        <v>6840</v>
      </c>
      <c r="C930" t="s">
        <v>2696</v>
      </c>
      <c r="D930" t="s">
        <v>2696</v>
      </c>
      <c r="E930" t="s">
        <v>8343</v>
      </c>
    </row>
    <row r="931" spans="1:5" x14ac:dyDescent="0.3">
      <c r="A931" t="s">
        <v>8365</v>
      </c>
      <c r="B931" t="s">
        <v>8366</v>
      </c>
      <c r="C931" t="s">
        <v>2696</v>
      </c>
      <c r="D931" t="s">
        <v>2696</v>
      </c>
      <c r="E931" t="s">
        <v>8367</v>
      </c>
    </row>
    <row r="932" spans="1:5" x14ac:dyDescent="0.3">
      <c r="A932" t="s">
        <v>8817</v>
      </c>
      <c r="B932" t="s">
        <v>8818</v>
      </c>
      <c r="C932" t="s">
        <v>2696</v>
      </c>
      <c r="D932" t="s">
        <v>2696</v>
      </c>
      <c r="E932" t="s">
        <v>8819</v>
      </c>
    </row>
    <row r="933" spans="1:5" x14ac:dyDescent="0.3">
      <c r="A933" t="s">
        <v>8841</v>
      </c>
      <c r="B933" t="s">
        <v>8842</v>
      </c>
      <c r="C933" t="s">
        <v>2696</v>
      </c>
      <c r="D933" t="s">
        <v>2696</v>
      </c>
      <c r="E933" t="s">
        <v>8843</v>
      </c>
    </row>
    <row r="934" spans="1:5" x14ac:dyDescent="0.3">
      <c r="A934" t="s">
        <v>8942</v>
      </c>
      <c r="B934" t="s">
        <v>8943</v>
      </c>
      <c r="C934" t="s">
        <v>2696</v>
      </c>
      <c r="D934" t="s">
        <v>2696</v>
      </c>
      <c r="E934" t="s">
        <v>8944</v>
      </c>
    </row>
    <row r="935" spans="1:5" x14ac:dyDescent="0.3">
      <c r="A935" t="s">
        <v>8965</v>
      </c>
      <c r="B935" t="s">
        <v>8966</v>
      </c>
      <c r="C935" t="s">
        <v>2696</v>
      </c>
      <c r="D935" t="s">
        <v>2696</v>
      </c>
      <c r="E935" t="s">
        <v>8967</v>
      </c>
    </row>
    <row r="936" spans="1:5" x14ac:dyDescent="0.3">
      <c r="A936" t="s">
        <v>7643</v>
      </c>
      <c r="B936" t="s">
        <v>7644</v>
      </c>
      <c r="C936" t="s">
        <v>2708</v>
      </c>
      <c r="D936" t="s">
        <v>2709</v>
      </c>
      <c r="E936" t="s">
        <v>7645</v>
      </c>
    </row>
    <row r="937" spans="1:5" x14ac:dyDescent="0.3">
      <c r="A937" t="s">
        <v>7667</v>
      </c>
      <c r="B937" t="s">
        <v>7668</v>
      </c>
      <c r="C937" t="s">
        <v>3860</v>
      </c>
      <c r="D937" t="s">
        <v>2704</v>
      </c>
      <c r="E937" t="s">
        <v>7669</v>
      </c>
    </row>
    <row r="938" spans="1:5" x14ac:dyDescent="0.3">
      <c r="A938" t="s">
        <v>8388</v>
      </c>
      <c r="B938" t="s">
        <v>8389</v>
      </c>
      <c r="C938" t="s">
        <v>2696</v>
      </c>
      <c r="D938" t="s">
        <v>2696</v>
      </c>
      <c r="E938" t="s">
        <v>8390</v>
      </c>
    </row>
    <row r="939" spans="1:5" x14ac:dyDescent="0.3">
      <c r="A939" t="s">
        <v>8410</v>
      </c>
      <c r="B939" t="s">
        <v>8411</v>
      </c>
      <c r="C939" t="s">
        <v>2696</v>
      </c>
      <c r="D939" t="s">
        <v>2696</v>
      </c>
      <c r="E939" t="s">
        <v>8412</v>
      </c>
    </row>
    <row r="940" spans="1:5" x14ac:dyDescent="0.3">
      <c r="A940" t="s">
        <v>7689</v>
      </c>
      <c r="B940" t="s">
        <v>7690</v>
      </c>
      <c r="C940" t="s">
        <v>7682</v>
      </c>
      <c r="D940" t="s">
        <v>3712</v>
      </c>
      <c r="E940" t="s">
        <v>7691</v>
      </c>
    </row>
    <row r="941" spans="1:5" x14ac:dyDescent="0.3">
      <c r="A941" t="s">
        <v>7712</v>
      </c>
      <c r="B941" t="s">
        <v>7713</v>
      </c>
      <c r="C941" t="s">
        <v>6349</v>
      </c>
      <c r="D941" t="s">
        <v>2841</v>
      </c>
      <c r="E941" t="s">
        <v>7714</v>
      </c>
    </row>
    <row r="942" spans="1:5" x14ac:dyDescent="0.3">
      <c r="A942" t="s">
        <v>8863</v>
      </c>
      <c r="B942" t="s">
        <v>8864</v>
      </c>
      <c r="C942" t="s">
        <v>3850</v>
      </c>
      <c r="D942" t="s">
        <v>3712</v>
      </c>
      <c r="E942" t="s">
        <v>8865</v>
      </c>
    </row>
    <row r="943" spans="1:5" x14ac:dyDescent="0.3">
      <c r="A943" t="s">
        <v>8887</v>
      </c>
      <c r="B943" t="s">
        <v>8888</v>
      </c>
      <c r="C943" t="s">
        <v>3860</v>
      </c>
      <c r="D943" t="s">
        <v>2704</v>
      </c>
      <c r="E943" t="s">
        <v>8889</v>
      </c>
    </row>
    <row r="944" spans="1:5" x14ac:dyDescent="0.3">
      <c r="A944" t="s">
        <v>8989</v>
      </c>
      <c r="B944" t="s">
        <v>2918</v>
      </c>
      <c r="C944" t="s">
        <v>2696</v>
      </c>
      <c r="D944" t="s">
        <v>2696</v>
      </c>
      <c r="E944" t="s">
        <v>8990</v>
      </c>
    </row>
    <row r="945" spans="1:5" x14ac:dyDescent="0.3">
      <c r="A945" t="s">
        <v>9012</v>
      </c>
      <c r="B945" t="s">
        <v>9013</v>
      </c>
      <c r="C945" t="s">
        <v>2696</v>
      </c>
      <c r="D945" t="s">
        <v>2696</v>
      </c>
      <c r="E945" t="s">
        <v>9014</v>
      </c>
    </row>
    <row r="946" spans="1:5" x14ac:dyDescent="0.3">
      <c r="A946" t="s">
        <v>8434</v>
      </c>
      <c r="B946" t="s">
        <v>8435</v>
      </c>
      <c r="C946" t="s">
        <v>2696</v>
      </c>
      <c r="D946" t="s">
        <v>2696</v>
      </c>
      <c r="E946" t="s">
        <v>8436</v>
      </c>
    </row>
    <row r="947" spans="1:5" x14ac:dyDescent="0.3">
      <c r="A947" t="s">
        <v>8458</v>
      </c>
      <c r="B947" t="s">
        <v>8459</v>
      </c>
      <c r="C947" t="s">
        <v>2696</v>
      </c>
      <c r="D947" t="s">
        <v>2696</v>
      </c>
      <c r="E947" t="s">
        <v>8460</v>
      </c>
    </row>
    <row r="948" spans="1:5" x14ac:dyDescent="0.3">
      <c r="A948" t="s">
        <v>2563</v>
      </c>
      <c r="B948" t="s">
        <v>2564</v>
      </c>
      <c r="C948" t="s">
        <v>1153</v>
      </c>
      <c r="D948" t="s">
        <v>1088</v>
      </c>
      <c r="E948" t="s">
        <v>2565</v>
      </c>
    </row>
    <row r="949" spans="1:5" x14ac:dyDescent="0.3">
      <c r="A949" t="s">
        <v>7698</v>
      </c>
      <c r="B949" t="s">
        <v>7699</v>
      </c>
      <c r="C949" t="s">
        <v>7682</v>
      </c>
      <c r="D949" t="s">
        <v>3712</v>
      </c>
      <c r="E949" t="s">
        <v>7700</v>
      </c>
    </row>
    <row r="950" spans="1:5" x14ac:dyDescent="0.3">
      <c r="A950" t="s">
        <v>8911</v>
      </c>
      <c r="B950" t="s">
        <v>8912</v>
      </c>
      <c r="C950" t="s">
        <v>2696</v>
      </c>
      <c r="D950" t="s">
        <v>2696</v>
      </c>
      <c r="E950" t="s">
        <v>8913</v>
      </c>
    </row>
    <row r="951" spans="1:5" x14ac:dyDescent="0.3">
      <c r="A951" t="s">
        <v>8933</v>
      </c>
      <c r="B951" t="s">
        <v>8934</v>
      </c>
      <c r="C951" t="s">
        <v>2696</v>
      </c>
      <c r="D951" t="s">
        <v>2696</v>
      </c>
      <c r="E951" t="s">
        <v>8935</v>
      </c>
    </row>
    <row r="952" spans="1:5" x14ac:dyDescent="0.3">
      <c r="A952" t="s">
        <v>7734</v>
      </c>
      <c r="B952" t="s">
        <v>7735</v>
      </c>
      <c r="C952" t="s">
        <v>6349</v>
      </c>
      <c r="D952" t="s">
        <v>2841</v>
      </c>
      <c r="E952" t="s">
        <v>7736</v>
      </c>
    </row>
    <row r="953" spans="1:5" x14ac:dyDescent="0.3">
      <c r="A953" t="s">
        <v>7757</v>
      </c>
      <c r="B953" t="s">
        <v>7758</v>
      </c>
      <c r="C953" t="s">
        <v>6349</v>
      </c>
      <c r="D953" t="s">
        <v>2841</v>
      </c>
      <c r="E953" t="s">
        <v>7759</v>
      </c>
    </row>
    <row r="954" spans="1:5" x14ac:dyDescent="0.3">
      <c r="A954" t="s">
        <v>9035</v>
      </c>
      <c r="B954" t="s">
        <v>9036</v>
      </c>
      <c r="C954" t="s">
        <v>2696</v>
      </c>
      <c r="D954" t="s">
        <v>2696</v>
      </c>
      <c r="E954" t="s">
        <v>9037</v>
      </c>
    </row>
    <row r="955" spans="1:5" x14ac:dyDescent="0.3">
      <c r="A955" t="s">
        <v>8482</v>
      </c>
      <c r="B955" t="s">
        <v>8483</v>
      </c>
      <c r="C955" t="s">
        <v>2696</v>
      </c>
      <c r="D955" t="s">
        <v>2696</v>
      </c>
      <c r="E955" t="s">
        <v>8484</v>
      </c>
    </row>
    <row r="956" spans="1:5" x14ac:dyDescent="0.3">
      <c r="A956" t="s">
        <v>8957</v>
      </c>
      <c r="B956" t="s">
        <v>8958</v>
      </c>
      <c r="C956" t="s">
        <v>2696</v>
      </c>
      <c r="D956" t="s">
        <v>2696</v>
      </c>
      <c r="E956" t="s">
        <v>8959</v>
      </c>
    </row>
    <row r="957" spans="1:5" x14ac:dyDescent="0.3">
      <c r="A957" t="s">
        <v>8980</v>
      </c>
      <c r="B957" t="s">
        <v>8981</v>
      </c>
      <c r="C957" t="s">
        <v>2696</v>
      </c>
      <c r="D957" t="s">
        <v>2696</v>
      </c>
      <c r="E957" t="s">
        <v>8982</v>
      </c>
    </row>
    <row r="958" spans="1:5" x14ac:dyDescent="0.3">
      <c r="A958" t="s">
        <v>11957</v>
      </c>
      <c r="B958" t="s">
        <v>11958</v>
      </c>
      <c r="C958" t="s">
        <v>2851</v>
      </c>
      <c r="D958" t="s">
        <v>2852</v>
      </c>
      <c r="E958" t="s">
        <v>11959</v>
      </c>
    </row>
    <row r="959" spans="1:5" x14ac:dyDescent="0.3">
      <c r="A959" t="s">
        <v>7720</v>
      </c>
      <c r="B959" t="s">
        <v>7721</v>
      </c>
      <c r="C959" t="s">
        <v>6349</v>
      </c>
      <c r="D959" t="s">
        <v>2841</v>
      </c>
      <c r="E959" t="s">
        <v>7722</v>
      </c>
    </row>
    <row r="960" spans="1:5" x14ac:dyDescent="0.3">
      <c r="A960" t="s">
        <v>7742</v>
      </c>
      <c r="B960" t="s">
        <v>7743</v>
      </c>
      <c r="C960" t="s">
        <v>6349</v>
      </c>
      <c r="D960" t="s">
        <v>2841</v>
      </c>
      <c r="E960" t="s">
        <v>7744</v>
      </c>
    </row>
    <row r="961" spans="1:5" x14ac:dyDescent="0.3">
      <c r="A961" t="s">
        <v>8504</v>
      </c>
      <c r="B961" t="s">
        <v>8505</v>
      </c>
      <c r="C961" t="s">
        <v>2696</v>
      </c>
      <c r="D961" t="s">
        <v>2696</v>
      </c>
      <c r="E961" t="s">
        <v>8506</v>
      </c>
    </row>
    <row r="962" spans="1:5" x14ac:dyDescent="0.3">
      <c r="A962" t="s">
        <v>8527</v>
      </c>
      <c r="B962" t="s">
        <v>8528</v>
      </c>
      <c r="C962" t="s">
        <v>2696</v>
      </c>
      <c r="D962" t="s">
        <v>2696</v>
      </c>
      <c r="E962" t="s">
        <v>8529</v>
      </c>
    </row>
    <row r="963" spans="1:5" x14ac:dyDescent="0.3">
      <c r="A963" t="s">
        <v>9059</v>
      </c>
      <c r="B963" t="s">
        <v>9060</v>
      </c>
      <c r="C963" t="s">
        <v>2696</v>
      </c>
      <c r="D963" t="s">
        <v>2696</v>
      </c>
      <c r="E963" t="s">
        <v>9061</v>
      </c>
    </row>
    <row r="964" spans="1:5" x14ac:dyDescent="0.3">
      <c r="A964" t="s">
        <v>9083</v>
      </c>
      <c r="B964" t="s">
        <v>2880</v>
      </c>
      <c r="C964" t="s">
        <v>2696</v>
      </c>
      <c r="D964" t="s">
        <v>2696</v>
      </c>
      <c r="E964" t="s">
        <v>9084</v>
      </c>
    </row>
    <row r="965" spans="1:5" x14ac:dyDescent="0.3">
      <c r="A965" t="s">
        <v>9003</v>
      </c>
      <c r="B965" t="s">
        <v>9004</v>
      </c>
      <c r="C965" t="s">
        <v>2696</v>
      </c>
      <c r="D965" t="s">
        <v>2696</v>
      </c>
      <c r="E965" t="s">
        <v>9005</v>
      </c>
    </row>
    <row r="966" spans="1:5" x14ac:dyDescent="0.3">
      <c r="A966" t="s">
        <v>9026</v>
      </c>
      <c r="B966" t="s">
        <v>9027</v>
      </c>
      <c r="C966" t="s">
        <v>2696</v>
      </c>
      <c r="D966" t="s">
        <v>2696</v>
      </c>
      <c r="E966" t="s">
        <v>9028</v>
      </c>
    </row>
    <row r="967" spans="1:5" x14ac:dyDescent="0.3">
      <c r="A967" t="s">
        <v>7781</v>
      </c>
      <c r="B967" t="s">
        <v>7782</v>
      </c>
      <c r="C967" t="s">
        <v>2696</v>
      </c>
      <c r="D967" t="s">
        <v>2696</v>
      </c>
      <c r="E967" t="s">
        <v>7783</v>
      </c>
    </row>
    <row r="968" spans="1:5" x14ac:dyDescent="0.3">
      <c r="A968" t="s">
        <v>7805</v>
      </c>
      <c r="B968" t="s">
        <v>7806</v>
      </c>
      <c r="C968" t="s">
        <v>2696</v>
      </c>
      <c r="D968" t="s">
        <v>2696</v>
      </c>
      <c r="E968" t="s">
        <v>7807</v>
      </c>
    </row>
    <row r="969" spans="1:5" x14ac:dyDescent="0.3">
      <c r="A969" t="s">
        <v>8550</v>
      </c>
      <c r="B969" t="s">
        <v>8551</v>
      </c>
      <c r="C969" t="s">
        <v>2696</v>
      </c>
      <c r="D969" t="s">
        <v>2696</v>
      </c>
      <c r="E969" t="s">
        <v>8552</v>
      </c>
    </row>
    <row r="970" spans="1:5" x14ac:dyDescent="0.3">
      <c r="A970" t="s">
        <v>8574</v>
      </c>
      <c r="B970" t="s">
        <v>8575</v>
      </c>
      <c r="C970" t="s">
        <v>2696</v>
      </c>
      <c r="D970" t="s">
        <v>2696</v>
      </c>
      <c r="E970" t="s">
        <v>8576</v>
      </c>
    </row>
    <row r="971" spans="1:5" x14ac:dyDescent="0.3">
      <c r="A971" t="s">
        <v>7766</v>
      </c>
      <c r="B971" t="s">
        <v>7767</v>
      </c>
      <c r="C971" t="s">
        <v>2696</v>
      </c>
      <c r="D971" t="s">
        <v>2696</v>
      </c>
      <c r="E971" t="s">
        <v>7768</v>
      </c>
    </row>
    <row r="972" spans="1:5" x14ac:dyDescent="0.3">
      <c r="A972" t="s">
        <v>9050</v>
      </c>
      <c r="B972" t="s">
        <v>9051</v>
      </c>
      <c r="C972" t="s">
        <v>2696</v>
      </c>
      <c r="D972" t="s">
        <v>2696</v>
      </c>
      <c r="E972" t="s">
        <v>9052</v>
      </c>
    </row>
    <row r="973" spans="1:5" x14ac:dyDescent="0.3">
      <c r="A973" t="s">
        <v>9074</v>
      </c>
      <c r="B973" t="s">
        <v>9075</v>
      </c>
      <c r="C973" t="s">
        <v>2696</v>
      </c>
      <c r="D973" t="s">
        <v>2696</v>
      </c>
      <c r="E973" t="s">
        <v>9076</v>
      </c>
    </row>
    <row r="974" spans="1:5" x14ac:dyDescent="0.3">
      <c r="A974" t="s">
        <v>7829</v>
      </c>
      <c r="B974" t="s">
        <v>7830</v>
      </c>
      <c r="C974" t="s">
        <v>2696</v>
      </c>
      <c r="D974" t="s">
        <v>2696</v>
      </c>
      <c r="E974" t="s">
        <v>7831</v>
      </c>
    </row>
    <row r="975" spans="1:5" x14ac:dyDescent="0.3">
      <c r="A975" t="s">
        <v>7853</v>
      </c>
      <c r="B975" t="s">
        <v>7854</v>
      </c>
      <c r="C975" t="s">
        <v>2696</v>
      </c>
      <c r="D975" t="s">
        <v>2696</v>
      </c>
      <c r="E975" t="s">
        <v>7855</v>
      </c>
    </row>
    <row r="976" spans="1:5" x14ac:dyDescent="0.3">
      <c r="A976" t="s">
        <v>8598</v>
      </c>
      <c r="B976" t="s">
        <v>8599</v>
      </c>
      <c r="C976" t="s">
        <v>2696</v>
      </c>
      <c r="D976" t="s">
        <v>2696</v>
      </c>
      <c r="E976" t="s">
        <v>8600</v>
      </c>
    </row>
    <row r="977" spans="1:5" x14ac:dyDescent="0.3">
      <c r="A977" t="s">
        <v>8621</v>
      </c>
      <c r="B977" t="s">
        <v>8622</v>
      </c>
      <c r="C977" t="s">
        <v>2696</v>
      </c>
      <c r="D977" t="s">
        <v>2696</v>
      </c>
      <c r="E977" t="s">
        <v>8623</v>
      </c>
    </row>
    <row r="978" spans="1:5" x14ac:dyDescent="0.3">
      <c r="A978" t="s">
        <v>9097</v>
      </c>
      <c r="B978" t="s">
        <v>9098</v>
      </c>
      <c r="C978" t="s">
        <v>2696</v>
      </c>
      <c r="D978" t="s">
        <v>2696</v>
      </c>
      <c r="E978" t="s">
        <v>9099</v>
      </c>
    </row>
    <row r="979" spans="1:5" x14ac:dyDescent="0.3">
      <c r="A979" t="s">
        <v>9120</v>
      </c>
      <c r="B979" t="s">
        <v>9121</v>
      </c>
      <c r="C979" t="s">
        <v>2696</v>
      </c>
      <c r="D979" t="s">
        <v>2696</v>
      </c>
      <c r="E979" t="s">
        <v>9122</v>
      </c>
    </row>
    <row r="980" spans="1:5" x14ac:dyDescent="0.3">
      <c r="A980" t="s">
        <v>7876</v>
      </c>
      <c r="B980" t="s">
        <v>7877</v>
      </c>
      <c r="C980" t="s">
        <v>2696</v>
      </c>
      <c r="D980" t="s">
        <v>2696</v>
      </c>
      <c r="E980" t="s">
        <v>7878</v>
      </c>
    </row>
    <row r="981" spans="1:5" x14ac:dyDescent="0.3">
      <c r="A981" t="s">
        <v>7790</v>
      </c>
      <c r="B981" t="s">
        <v>7791</v>
      </c>
      <c r="C981" t="s">
        <v>2696</v>
      </c>
      <c r="D981" t="s">
        <v>2696</v>
      </c>
      <c r="E981" t="s">
        <v>7792</v>
      </c>
    </row>
    <row r="982" spans="1:5" x14ac:dyDescent="0.3">
      <c r="A982" t="s">
        <v>7814</v>
      </c>
      <c r="B982" t="s">
        <v>7815</v>
      </c>
      <c r="C982" t="s">
        <v>2696</v>
      </c>
      <c r="D982" t="s">
        <v>2696</v>
      </c>
      <c r="E982" t="s">
        <v>7816</v>
      </c>
    </row>
    <row r="983" spans="1:5" x14ac:dyDescent="0.3">
      <c r="A983" t="s">
        <v>9106</v>
      </c>
      <c r="B983" t="s">
        <v>9107</v>
      </c>
      <c r="C983" t="s">
        <v>2696</v>
      </c>
      <c r="D983" t="s">
        <v>2696</v>
      </c>
      <c r="E983" t="s">
        <v>9108</v>
      </c>
    </row>
    <row r="984" spans="1:5" x14ac:dyDescent="0.3">
      <c r="A984" t="s">
        <v>9129</v>
      </c>
      <c r="B984" t="s">
        <v>9130</v>
      </c>
      <c r="C984" t="s">
        <v>2696</v>
      </c>
      <c r="D984" t="s">
        <v>2696</v>
      </c>
      <c r="E984" t="s">
        <v>9131</v>
      </c>
    </row>
    <row r="985" spans="1:5" x14ac:dyDescent="0.3">
      <c r="A985" t="s">
        <v>8645</v>
      </c>
      <c r="B985" t="s">
        <v>8646</v>
      </c>
      <c r="C985" t="s">
        <v>4246</v>
      </c>
      <c r="D985" t="s">
        <v>2709</v>
      </c>
      <c r="E985" t="s">
        <v>8647</v>
      </c>
    </row>
    <row r="986" spans="1:5" x14ac:dyDescent="0.3">
      <c r="A986" t="s">
        <v>8668</v>
      </c>
      <c r="B986" t="s">
        <v>8669</v>
      </c>
      <c r="C986" t="s">
        <v>4246</v>
      </c>
      <c r="D986" t="s">
        <v>2709</v>
      </c>
      <c r="E986" t="s">
        <v>8670</v>
      </c>
    </row>
    <row r="987" spans="1:5" x14ac:dyDescent="0.3">
      <c r="A987" t="s">
        <v>9144</v>
      </c>
      <c r="B987" t="s">
        <v>9145</v>
      </c>
      <c r="C987" t="s">
        <v>2696</v>
      </c>
      <c r="D987" t="s">
        <v>2696</v>
      </c>
      <c r="E987" t="s">
        <v>9146</v>
      </c>
    </row>
    <row r="988" spans="1:5" x14ac:dyDescent="0.3">
      <c r="A988" t="s">
        <v>9167</v>
      </c>
      <c r="B988" t="s">
        <v>9168</v>
      </c>
      <c r="C988" t="s">
        <v>2696</v>
      </c>
      <c r="D988" t="s">
        <v>2696</v>
      </c>
      <c r="E988" t="s">
        <v>9169</v>
      </c>
    </row>
    <row r="989" spans="1:5" x14ac:dyDescent="0.3">
      <c r="A989" t="s">
        <v>7898</v>
      </c>
      <c r="B989" t="s">
        <v>7899</v>
      </c>
      <c r="C989" t="s">
        <v>2696</v>
      </c>
      <c r="D989" t="s">
        <v>2696</v>
      </c>
      <c r="E989" t="s">
        <v>7900</v>
      </c>
    </row>
    <row r="990" spans="1:5" x14ac:dyDescent="0.3">
      <c r="A990" t="s">
        <v>7921</v>
      </c>
      <c r="B990" t="s">
        <v>7922</v>
      </c>
      <c r="C990" t="s">
        <v>2696</v>
      </c>
      <c r="D990" t="s">
        <v>2696</v>
      </c>
      <c r="E990" t="s">
        <v>7923</v>
      </c>
    </row>
    <row r="991" spans="1:5" x14ac:dyDescent="0.3">
      <c r="A991" t="s">
        <v>7838</v>
      </c>
      <c r="B991" t="s">
        <v>7839</v>
      </c>
      <c r="C991" t="s">
        <v>2696</v>
      </c>
      <c r="D991" t="s">
        <v>2696</v>
      </c>
      <c r="E991" t="s">
        <v>7840</v>
      </c>
    </row>
    <row r="992" spans="1:5" x14ac:dyDescent="0.3">
      <c r="A992" t="s">
        <v>7862</v>
      </c>
      <c r="B992" t="s">
        <v>7863</v>
      </c>
      <c r="C992" t="s">
        <v>2696</v>
      </c>
      <c r="D992" t="s">
        <v>2696</v>
      </c>
      <c r="E992" t="s">
        <v>7864</v>
      </c>
    </row>
    <row r="993" spans="1:5" x14ac:dyDescent="0.3">
      <c r="A993" t="s">
        <v>7885</v>
      </c>
      <c r="B993" t="s">
        <v>7886</v>
      </c>
      <c r="C993" t="s">
        <v>2696</v>
      </c>
      <c r="D993" t="s">
        <v>2696</v>
      </c>
      <c r="E993" t="s">
        <v>7887</v>
      </c>
    </row>
    <row r="994" spans="1:5" x14ac:dyDescent="0.3">
      <c r="A994" t="s">
        <v>9153</v>
      </c>
      <c r="B994" t="s">
        <v>9154</v>
      </c>
      <c r="C994" t="s">
        <v>2696</v>
      </c>
      <c r="D994" t="s">
        <v>2696</v>
      </c>
      <c r="E994" t="s">
        <v>9155</v>
      </c>
    </row>
    <row r="995" spans="1:5" x14ac:dyDescent="0.3">
      <c r="A995" t="s">
        <v>9176</v>
      </c>
      <c r="B995" t="s">
        <v>2410</v>
      </c>
      <c r="C995" t="s">
        <v>2696</v>
      </c>
      <c r="D995" t="s">
        <v>2696</v>
      </c>
      <c r="E995" t="s">
        <v>9177</v>
      </c>
    </row>
    <row r="996" spans="1:5" x14ac:dyDescent="0.3">
      <c r="A996" t="s">
        <v>9189</v>
      </c>
      <c r="B996" t="s">
        <v>9190</v>
      </c>
      <c r="C996" t="s">
        <v>2696</v>
      </c>
      <c r="D996" t="s">
        <v>2696</v>
      </c>
      <c r="E996" t="s">
        <v>9191</v>
      </c>
    </row>
    <row r="997" spans="1:5" x14ac:dyDescent="0.3">
      <c r="A997" t="s">
        <v>9213</v>
      </c>
      <c r="B997" t="s">
        <v>9214</v>
      </c>
      <c r="C997" t="s">
        <v>2696</v>
      </c>
      <c r="D997" t="s">
        <v>2696</v>
      </c>
      <c r="E997" t="s">
        <v>9215</v>
      </c>
    </row>
    <row r="998" spans="1:5" x14ac:dyDescent="0.3">
      <c r="A998" t="s">
        <v>7945</v>
      </c>
      <c r="B998" t="s">
        <v>7946</v>
      </c>
      <c r="C998" t="s">
        <v>2696</v>
      </c>
      <c r="D998" t="s">
        <v>2696</v>
      </c>
      <c r="E998" t="s">
        <v>7947</v>
      </c>
    </row>
    <row r="999" spans="1:5" x14ac:dyDescent="0.3">
      <c r="A999" t="s">
        <v>7969</v>
      </c>
      <c r="B999" t="s">
        <v>7970</v>
      </c>
      <c r="C999" t="s">
        <v>2696</v>
      </c>
      <c r="D999" t="s">
        <v>2696</v>
      </c>
      <c r="E999" t="s">
        <v>7971</v>
      </c>
    </row>
    <row r="1000" spans="1:5" x14ac:dyDescent="0.3">
      <c r="A1000" t="s">
        <v>7907</v>
      </c>
      <c r="B1000" t="s">
        <v>7908</v>
      </c>
      <c r="C1000" t="s">
        <v>2696</v>
      </c>
      <c r="D1000" t="s">
        <v>2696</v>
      </c>
      <c r="E1000" t="s">
        <v>7909</v>
      </c>
    </row>
    <row r="1001" spans="1:5" x14ac:dyDescent="0.3">
      <c r="A1001" t="s">
        <v>7930</v>
      </c>
      <c r="B1001" t="s">
        <v>7931</v>
      </c>
      <c r="C1001" t="s">
        <v>2696</v>
      </c>
      <c r="D1001" t="s">
        <v>2696</v>
      </c>
      <c r="E1001" t="s">
        <v>7932</v>
      </c>
    </row>
    <row r="1002" spans="1:5" x14ac:dyDescent="0.3">
      <c r="A1002" t="s">
        <v>8692</v>
      </c>
      <c r="B1002" t="s">
        <v>8693</v>
      </c>
      <c r="C1002" t="s">
        <v>2696</v>
      </c>
      <c r="D1002" t="s">
        <v>2696</v>
      </c>
      <c r="E1002" t="s">
        <v>8694</v>
      </c>
    </row>
    <row r="1003" spans="1:5" x14ac:dyDescent="0.3">
      <c r="A1003" t="s">
        <v>2599</v>
      </c>
      <c r="B1003" t="s">
        <v>2600</v>
      </c>
      <c r="C1003" t="s">
        <v>1533</v>
      </c>
      <c r="D1003" t="s">
        <v>1111</v>
      </c>
      <c r="E1003" t="s">
        <v>2601</v>
      </c>
    </row>
    <row r="1004" spans="1:5" x14ac:dyDescent="0.3">
      <c r="A1004" t="s">
        <v>11980</v>
      </c>
      <c r="B1004" t="s">
        <v>11981</v>
      </c>
      <c r="E1004" t="s">
        <v>11982</v>
      </c>
    </row>
    <row r="1005" spans="1:5" x14ac:dyDescent="0.3">
      <c r="A1005" t="s">
        <v>12001</v>
      </c>
      <c r="B1005" t="s">
        <v>12002</v>
      </c>
      <c r="C1005" t="s">
        <v>4207</v>
      </c>
      <c r="D1005" t="s">
        <v>133</v>
      </c>
      <c r="E1005" t="s">
        <v>12003</v>
      </c>
    </row>
    <row r="1006" spans="1:5" x14ac:dyDescent="0.3">
      <c r="A1006" t="s">
        <v>7993</v>
      </c>
      <c r="B1006" t="s">
        <v>7994</v>
      </c>
      <c r="C1006" t="s">
        <v>2696</v>
      </c>
      <c r="D1006" t="s">
        <v>2696</v>
      </c>
      <c r="E1006" t="s">
        <v>7995</v>
      </c>
    </row>
    <row r="1007" spans="1:5" x14ac:dyDescent="0.3">
      <c r="A1007" t="s">
        <v>8016</v>
      </c>
      <c r="B1007" t="s">
        <v>8017</v>
      </c>
      <c r="C1007" t="s">
        <v>2696</v>
      </c>
      <c r="D1007" t="s">
        <v>2696</v>
      </c>
      <c r="E1007" t="s">
        <v>8018</v>
      </c>
    </row>
    <row r="1008" spans="1:5" x14ac:dyDescent="0.3">
      <c r="A1008" t="s">
        <v>9237</v>
      </c>
      <c r="B1008" t="s">
        <v>9238</v>
      </c>
      <c r="C1008" t="s">
        <v>2696</v>
      </c>
      <c r="D1008" t="s">
        <v>2696</v>
      </c>
      <c r="E1008" t="s">
        <v>9239</v>
      </c>
    </row>
    <row r="1009" spans="1:5" x14ac:dyDescent="0.3">
      <c r="A1009" t="s">
        <v>8007</v>
      </c>
      <c r="B1009" t="s">
        <v>8008</v>
      </c>
      <c r="C1009" t="s">
        <v>2696</v>
      </c>
      <c r="D1009" t="s">
        <v>2696</v>
      </c>
      <c r="E1009" t="s">
        <v>8009</v>
      </c>
    </row>
    <row r="1010" spans="1:5" x14ac:dyDescent="0.3">
      <c r="A1010" t="s">
        <v>8031</v>
      </c>
      <c r="B1010" t="s">
        <v>8032</v>
      </c>
      <c r="C1010" t="s">
        <v>2696</v>
      </c>
      <c r="D1010" t="s">
        <v>2696</v>
      </c>
      <c r="E1010" t="s">
        <v>8033</v>
      </c>
    </row>
    <row r="1011" spans="1:5" x14ac:dyDescent="0.3">
      <c r="A1011" t="s">
        <v>9198</v>
      </c>
      <c r="B1011" t="s">
        <v>9199</v>
      </c>
      <c r="C1011" t="s">
        <v>2696</v>
      </c>
      <c r="D1011" t="s">
        <v>2696</v>
      </c>
      <c r="E1011" t="s">
        <v>9200</v>
      </c>
    </row>
    <row r="1012" spans="1:5" x14ac:dyDescent="0.3">
      <c r="A1012" t="s">
        <v>9222</v>
      </c>
      <c r="B1012" t="s">
        <v>9223</v>
      </c>
      <c r="C1012" t="s">
        <v>2696</v>
      </c>
      <c r="D1012" t="s">
        <v>2696</v>
      </c>
      <c r="E1012" t="s">
        <v>9224</v>
      </c>
    </row>
    <row r="1013" spans="1:5" x14ac:dyDescent="0.3">
      <c r="A1013" t="s">
        <v>7528</v>
      </c>
      <c r="B1013" t="s">
        <v>7529</v>
      </c>
      <c r="C1013" t="s">
        <v>4246</v>
      </c>
      <c r="D1013" t="s">
        <v>2709</v>
      </c>
      <c r="E1013" t="s">
        <v>7530</v>
      </c>
    </row>
    <row r="1014" spans="1:5" x14ac:dyDescent="0.3">
      <c r="A1014" t="s">
        <v>7551</v>
      </c>
      <c r="B1014" t="s">
        <v>7552</v>
      </c>
      <c r="C1014" t="s">
        <v>4246</v>
      </c>
      <c r="D1014" t="s">
        <v>2709</v>
      </c>
      <c r="E1014" t="s">
        <v>7553</v>
      </c>
    </row>
    <row r="1015" spans="1:5" x14ac:dyDescent="0.3">
      <c r="A1015" t="s">
        <v>11921</v>
      </c>
      <c r="B1015" t="s">
        <v>11922</v>
      </c>
      <c r="C1015" t="s">
        <v>2821</v>
      </c>
      <c r="D1015" t="s">
        <v>133</v>
      </c>
      <c r="E1015" t="s">
        <v>11923</v>
      </c>
    </row>
    <row r="1016" spans="1:5" x14ac:dyDescent="0.3">
      <c r="A1016" t="s">
        <v>8040</v>
      </c>
      <c r="B1016" t="s">
        <v>8041</v>
      </c>
      <c r="C1016" t="s">
        <v>2696</v>
      </c>
      <c r="D1016" t="s">
        <v>2696</v>
      </c>
      <c r="E1016" t="s">
        <v>8042</v>
      </c>
    </row>
    <row r="1017" spans="1:5" x14ac:dyDescent="0.3">
      <c r="A1017" t="s">
        <v>8063</v>
      </c>
      <c r="B1017" t="s">
        <v>8064</v>
      </c>
      <c r="C1017" t="s">
        <v>2696</v>
      </c>
      <c r="D1017" t="s">
        <v>2696</v>
      </c>
      <c r="E1017" t="s">
        <v>8065</v>
      </c>
    </row>
    <row r="1018" spans="1:5" x14ac:dyDescent="0.3">
      <c r="A1018" t="s">
        <v>9259</v>
      </c>
      <c r="B1018" t="s">
        <v>3611</v>
      </c>
      <c r="C1018" t="s">
        <v>2696</v>
      </c>
      <c r="D1018" t="s">
        <v>2696</v>
      </c>
      <c r="E1018" t="s">
        <v>9260</v>
      </c>
    </row>
    <row r="1019" spans="1:5" x14ac:dyDescent="0.3">
      <c r="A1019" t="s">
        <v>9282</v>
      </c>
      <c r="B1019" t="s">
        <v>9283</v>
      </c>
      <c r="C1019" t="s">
        <v>2696</v>
      </c>
      <c r="D1019" t="s">
        <v>2696</v>
      </c>
      <c r="E1019" t="s">
        <v>9284</v>
      </c>
    </row>
    <row r="1020" spans="1:5" x14ac:dyDescent="0.3">
      <c r="A1020" t="s">
        <v>2602</v>
      </c>
      <c r="B1020" t="s">
        <v>2603</v>
      </c>
      <c r="C1020" t="s">
        <v>1501</v>
      </c>
      <c r="D1020" t="s">
        <v>1088</v>
      </c>
      <c r="E1020" t="s">
        <v>2604</v>
      </c>
    </row>
    <row r="1021" spans="1:5" x14ac:dyDescent="0.3">
      <c r="A1021" t="s">
        <v>8719</v>
      </c>
      <c r="B1021" t="s">
        <v>8720</v>
      </c>
      <c r="C1021" t="s">
        <v>134</v>
      </c>
      <c r="D1021" t="s">
        <v>133</v>
      </c>
      <c r="E1021" t="s">
        <v>8721</v>
      </c>
    </row>
    <row r="1022" spans="1:5" x14ac:dyDescent="0.3">
      <c r="A1022" t="s">
        <v>9245</v>
      </c>
      <c r="B1022" t="s">
        <v>9246</v>
      </c>
      <c r="C1022" t="s">
        <v>2696</v>
      </c>
      <c r="D1022" t="s">
        <v>2696</v>
      </c>
      <c r="E1022" t="s">
        <v>9247</v>
      </c>
    </row>
    <row r="1023" spans="1:5" x14ac:dyDescent="0.3">
      <c r="A1023" t="s">
        <v>9267</v>
      </c>
      <c r="B1023" t="s">
        <v>9268</v>
      </c>
      <c r="C1023" t="s">
        <v>2696</v>
      </c>
      <c r="D1023" t="s">
        <v>2696</v>
      </c>
      <c r="E1023" t="s">
        <v>9269</v>
      </c>
    </row>
    <row r="1024" spans="1:5" x14ac:dyDescent="0.3">
      <c r="A1024" t="s">
        <v>7575</v>
      </c>
      <c r="B1024" t="s">
        <v>2103</v>
      </c>
      <c r="C1024" t="s">
        <v>134</v>
      </c>
      <c r="D1024" t="s">
        <v>133</v>
      </c>
      <c r="E1024" t="s">
        <v>7576</v>
      </c>
    </row>
    <row r="1025" spans="1:5" x14ac:dyDescent="0.3">
      <c r="A1025" t="s">
        <v>7598</v>
      </c>
      <c r="B1025" t="s">
        <v>7599</v>
      </c>
      <c r="C1025" t="s">
        <v>4308</v>
      </c>
      <c r="D1025" t="s">
        <v>133</v>
      </c>
      <c r="E1025" t="s">
        <v>7600</v>
      </c>
    </row>
    <row r="1026" spans="1:5" x14ac:dyDescent="0.3">
      <c r="A1026" t="s">
        <v>8084</v>
      </c>
      <c r="B1026" t="s">
        <v>8038</v>
      </c>
      <c r="C1026" t="s">
        <v>2696</v>
      </c>
      <c r="D1026" t="s">
        <v>2696</v>
      </c>
      <c r="E1026" t="s">
        <v>8085</v>
      </c>
    </row>
    <row r="1027" spans="1:5" x14ac:dyDescent="0.3">
      <c r="A1027" t="s">
        <v>8107</v>
      </c>
      <c r="B1027" t="s">
        <v>8108</v>
      </c>
      <c r="C1027" t="s">
        <v>2696</v>
      </c>
      <c r="D1027" t="s">
        <v>2696</v>
      </c>
      <c r="E1027" t="s">
        <v>8109</v>
      </c>
    </row>
    <row r="1028" spans="1:5" x14ac:dyDescent="0.3">
      <c r="A1028" t="s">
        <v>9305</v>
      </c>
      <c r="B1028" t="s">
        <v>9306</v>
      </c>
      <c r="C1028" t="s">
        <v>2696</v>
      </c>
      <c r="D1028" t="s">
        <v>2696</v>
      </c>
      <c r="E1028" t="s">
        <v>9307</v>
      </c>
    </row>
    <row r="1029" spans="1:5" x14ac:dyDescent="0.3">
      <c r="A1029" t="s">
        <v>9329</v>
      </c>
      <c r="B1029" t="s">
        <v>9330</v>
      </c>
      <c r="C1029" t="s">
        <v>2696</v>
      </c>
      <c r="D1029" t="s">
        <v>2696</v>
      </c>
      <c r="E1029" t="s">
        <v>9331</v>
      </c>
    </row>
    <row r="1030" spans="1:5" x14ac:dyDescent="0.3">
      <c r="A1030" t="s">
        <v>7954</v>
      </c>
      <c r="B1030" t="s">
        <v>7955</v>
      </c>
      <c r="C1030" t="s">
        <v>2696</v>
      </c>
      <c r="D1030" t="s">
        <v>2696</v>
      </c>
      <c r="E1030" t="s">
        <v>7956</v>
      </c>
    </row>
    <row r="1031" spans="1:5" x14ac:dyDescent="0.3">
      <c r="A1031" t="s">
        <v>7978</v>
      </c>
      <c r="B1031" t="s">
        <v>7979</v>
      </c>
      <c r="C1031" t="s">
        <v>2696</v>
      </c>
      <c r="D1031" t="s">
        <v>2696</v>
      </c>
      <c r="E1031" t="s">
        <v>7980</v>
      </c>
    </row>
    <row r="1032" spans="1:5" x14ac:dyDescent="0.3">
      <c r="A1032" t="s">
        <v>8742</v>
      </c>
      <c r="B1032" t="s">
        <v>8743</v>
      </c>
      <c r="C1032" t="s">
        <v>2696</v>
      </c>
      <c r="D1032" t="s">
        <v>2696</v>
      </c>
      <c r="E1032" t="s">
        <v>8744</v>
      </c>
    </row>
    <row r="1033" spans="1:5" x14ac:dyDescent="0.3">
      <c r="A1033" t="s">
        <v>8766</v>
      </c>
      <c r="B1033" t="s">
        <v>8767</v>
      </c>
      <c r="C1033" t="s">
        <v>3860</v>
      </c>
      <c r="D1033" t="s">
        <v>2704</v>
      </c>
      <c r="E1033" t="s">
        <v>8768</v>
      </c>
    </row>
    <row r="1034" spans="1:5" x14ac:dyDescent="0.3">
      <c r="A1034" t="s">
        <v>8129</v>
      </c>
      <c r="B1034" t="s">
        <v>8130</v>
      </c>
      <c r="C1034" t="s">
        <v>6349</v>
      </c>
      <c r="D1034" t="s">
        <v>2841</v>
      </c>
      <c r="E1034" t="s">
        <v>8131</v>
      </c>
    </row>
    <row r="1035" spans="1:5" x14ac:dyDescent="0.3">
      <c r="A1035" t="s">
        <v>8152</v>
      </c>
      <c r="B1035" t="s">
        <v>8153</v>
      </c>
      <c r="C1035" t="s">
        <v>3860</v>
      </c>
      <c r="D1035" t="s">
        <v>2704</v>
      </c>
      <c r="E1035" t="s">
        <v>8154</v>
      </c>
    </row>
    <row r="1036" spans="1:5" x14ac:dyDescent="0.3">
      <c r="A1036" t="s">
        <v>9352</v>
      </c>
      <c r="B1036" t="s">
        <v>9353</v>
      </c>
      <c r="C1036" t="s">
        <v>2696</v>
      </c>
      <c r="D1036" t="s">
        <v>2696</v>
      </c>
      <c r="E1036" t="s">
        <v>9354</v>
      </c>
    </row>
    <row r="1037" spans="1:5" x14ac:dyDescent="0.3">
      <c r="A1037" t="s">
        <v>9374</v>
      </c>
      <c r="B1037" t="s">
        <v>9375</v>
      </c>
      <c r="C1037" t="s">
        <v>2696</v>
      </c>
      <c r="D1037" t="s">
        <v>2696</v>
      </c>
      <c r="E1037" t="s">
        <v>9376</v>
      </c>
    </row>
    <row r="1038" spans="1:5" x14ac:dyDescent="0.3">
      <c r="A1038" t="s">
        <v>8002</v>
      </c>
      <c r="B1038" t="s">
        <v>8003</v>
      </c>
      <c r="C1038" t="s">
        <v>2696</v>
      </c>
      <c r="D1038" t="s">
        <v>2696</v>
      </c>
      <c r="E1038" t="s">
        <v>8004</v>
      </c>
    </row>
    <row r="1039" spans="1:5" x14ac:dyDescent="0.3">
      <c r="A1039" t="s">
        <v>8789</v>
      </c>
      <c r="B1039" t="s">
        <v>8790</v>
      </c>
      <c r="C1039" t="s">
        <v>4086</v>
      </c>
      <c r="D1039" t="s">
        <v>2704</v>
      </c>
      <c r="E1039" t="s">
        <v>8791</v>
      </c>
    </row>
    <row r="1040" spans="1:5" x14ac:dyDescent="0.3">
      <c r="A1040" t="s">
        <v>8811</v>
      </c>
      <c r="B1040" t="s">
        <v>8812</v>
      </c>
      <c r="C1040" t="s">
        <v>2703</v>
      </c>
      <c r="D1040" t="s">
        <v>2704</v>
      </c>
      <c r="E1040" t="s">
        <v>8813</v>
      </c>
    </row>
    <row r="1041" spans="1:5" x14ac:dyDescent="0.3">
      <c r="A1041" t="s">
        <v>8175</v>
      </c>
      <c r="B1041" t="s">
        <v>8176</v>
      </c>
      <c r="C1041" t="s">
        <v>2696</v>
      </c>
      <c r="D1041" t="s">
        <v>2696</v>
      </c>
      <c r="E1041" t="s">
        <v>8177</v>
      </c>
    </row>
    <row r="1042" spans="1:5" x14ac:dyDescent="0.3">
      <c r="A1042" t="s">
        <v>8199</v>
      </c>
      <c r="B1042" t="s">
        <v>8200</v>
      </c>
      <c r="C1042" t="s">
        <v>2696</v>
      </c>
      <c r="D1042" t="s">
        <v>2696</v>
      </c>
      <c r="E1042" t="s">
        <v>8201</v>
      </c>
    </row>
    <row r="1043" spans="1:5" x14ac:dyDescent="0.3">
      <c r="A1043" t="s">
        <v>9398</v>
      </c>
      <c r="B1043" t="s">
        <v>9399</v>
      </c>
      <c r="C1043" t="s">
        <v>2696</v>
      </c>
      <c r="D1043" t="s">
        <v>2696</v>
      </c>
      <c r="E1043" t="s">
        <v>9400</v>
      </c>
    </row>
    <row r="1044" spans="1:5" x14ac:dyDescent="0.3">
      <c r="A1044" t="s">
        <v>9421</v>
      </c>
      <c r="B1044" t="s">
        <v>9327</v>
      </c>
      <c r="C1044" t="s">
        <v>2696</v>
      </c>
      <c r="D1044" t="s">
        <v>2696</v>
      </c>
      <c r="E1044" t="s">
        <v>9422</v>
      </c>
    </row>
    <row r="1045" spans="1:5" x14ac:dyDescent="0.3">
      <c r="A1045" t="s">
        <v>8054</v>
      </c>
      <c r="B1045" t="s">
        <v>8055</v>
      </c>
      <c r="C1045" t="s">
        <v>2696</v>
      </c>
      <c r="D1045" t="s">
        <v>2696</v>
      </c>
      <c r="E1045" t="s">
        <v>8056</v>
      </c>
    </row>
    <row r="1046" spans="1:5" x14ac:dyDescent="0.3">
      <c r="A1046" t="s">
        <v>9291</v>
      </c>
      <c r="B1046" t="s">
        <v>9292</v>
      </c>
      <c r="C1046" t="s">
        <v>2696</v>
      </c>
      <c r="D1046" t="s">
        <v>2696</v>
      </c>
      <c r="E1046" t="s">
        <v>9293</v>
      </c>
    </row>
    <row r="1047" spans="1:5" x14ac:dyDescent="0.3">
      <c r="A1047" t="s">
        <v>9314</v>
      </c>
      <c r="B1047" t="s">
        <v>9315</v>
      </c>
      <c r="C1047" t="s">
        <v>2696</v>
      </c>
      <c r="D1047" t="s">
        <v>2696</v>
      </c>
      <c r="E1047" t="s">
        <v>9316</v>
      </c>
    </row>
    <row r="1048" spans="1:5" x14ac:dyDescent="0.3">
      <c r="A1048" t="s">
        <v>8832</v>
      </c>
      <c r="B1048" t="s">
        <v>8833</v>
      </c>
      <c r="C1048" t="s">
        <v>2696</v>
      </c>
      <c r="D1048" t="s">
        <v>2696</v>
      </c>
      <c r="E1048" t="s">
        <v>8834</v>
      </c>
    </row>
    <row r="1049" spans="1:5" x14ac:dyDescent="0.3">
      <c r="A1049" t="s">
        <v>8854</v>
      </c>
      <c r="B1049" t="s">
        <v>8855</v>
      </c>
      <c r="C1049" t="s">
        <v>3850</v>
      </c>
      <c r="D1049" t="s">
        <v>3712</v>
      </c>
      <c r="E1049" t="s">
        <v>8856</v>
      </c>
    </row>
    <row r="1050" spans="1:5" x14ac:dyDescent="0.3">
      <c r="A1050" t="s">
        <v>8223</v>
      </c>
      <c r="B1050" t="s">
        <v>8224</v>
      </c>
      <c r="C1050" t="s">
        <v>2696</v>
      </c>
      <c r="D1050" t="s">
        <v>2696</v>
      </c>
      <c r="E1050" t="s">
        <v>8225</v>
      </c>
    </row>
    <row r="1051" spans="1:5" x14ac:dyDescent="0.3">
      <c r="A1051" t="s">
        <v>8245</v>
      </c>
      <c r="B1051" t="s">
        <v>2469</v>
      </c>
      <c r="C1051" t="s">
        <v>2696</v>
      </c>
      <c r="D1051" t="s">
        <v>2696</v>
      </c>
      <c r="E1051" t="s">
        <v>8246</v>
      </c>
    </row>
    <row r="1052" spans="1:5" x14ac:dyDescent="0.3">
      <c r="A1052" t="s">
        <v>9443</v>
      </c>
      <c r="B1052" t="s">
        <v>9444</v>
      </c>
      <c r="C1052" t="s">
        <v>2696</v>
      </c>
      <c r="D1052" t="s">
        <v>2696</v>
      </c>
      <c r="E1052" t="s">
        <v>9445</v>
      </c>
    </row>
    <row r="1053" spans="1:5" x14ac:dyDescent="0.3">
      <c r="A1053" t="s">
        <v>9467</v>
      </c>
      <c r="B1053" t="s">
        <v>9468</v>
      </c>
      <c r="C1053" t="s">
        <v>2696</v>
      </c>
      <c r="D1053" t="s">
        <v>2696</v>
      </c>
      <c r="E1053" t="s">
        <v>9469</v>
      </c>
    </row>
    <row r="1054" spans="1:5" x14ac:dyDescent="0.3">
      <c r="A1054" t="s">
        <v>2216</v>
      </c>
      <c r="B1054" t="s">
        <v>2217</v>
      </c>
      <c r="C1054" t="s">
        <v>1196</v>
      </c>
      <c r="D1054" t="s">
        <v>1088</v>
      </c>
      <c r="E1054" t="s">
        <v>2218</v>
      </c>
    </row>
    <row r="1055" spans="1:5" x14ac:dyDescent="0.3">
      <c r="A1055" t="s">
        <v>2219</v>
      </c>
      <c r="B1055" t="s">
        <v>2220</v>
      </c>
      <c r="C1055" t="s">
        <v>1196</v>
      </c>
      <c r="D1055" t="s">
        <v>1088</v>
      </c>
      <c r="E1055" t="s">
        <v>2221</v>
      </c>
    </row>
    <row r="1056" spans="1:5" x14ac:dyDescent="0.3">
      <c r="A1056" t="s">
        <v>8878</v>
      </c>
      <c r="B1056" t="s">
        <v>8879</v>
      </c>
      <c r="C1056" t="s">
        <v>3860</v>
      </c>
      <c r="D1056" t="s">
        <v>2704</v>
      </c>
      <c r="E1056" t="s">
        <v>8880</v>
      </c>
    </row>
    <row r="1057" spans="1:5" x14ac:dyDescent="0.3">
      <c r="A1057" t="s">
        <v>8902</v>
      </c>
      <c r="B1057" t="s">
        <v>8903</v>
      </c>
      <c r="C1057" t="s">
        <v>2840</v>
      </c>
      <c r="D1057" t="s">
        <v>2841</v>
      </c>
      <c r="E1057" t="s">
        <v>8904</v>
      </c>
    </row>
    <row r="1058" spans="1:5" x14ac:dyDescent="0.3">
      <c r="A1058" t="s">
        <v>9338</v>
      </c>
      <c r="B1058" t="s">
        <v>9339</v>
      </c>
      <c r="C1058" t="s">
        <v>2696</v>
      </c>
      <c r="D1058" t="s">
        <v>2696</v>
      </c>
      <c r="E1058" t="s">
        <v>9340</v>
      </c>
    </row>
    <row r="1059" spans="1:5" x14ac:dyDescent="0.3">
      <c r="A1059" t="s">
        <v>9361</v>
      </c>
      <c r="B1059" t="s">
        <v>9362</v>
      </c>
      <c r="C1059" t="s">
        <v>2696</v>
      </c>
      <c r="D1059" t="s">
        <v>2696</v>
      </c>
      <c r="E1059" t="s">
        <v>9363</v>
      </c>
    </row>
    <row r="1060" spans="1:5" x14ac:dyDescent="0.3">
      <c r="A1060" t="s">
        <v>8267</v>
      </c>
      <c r="B1060" t="s">
        <v>8268</v>
      </c>
      <c r="C1060" t="s">
        <v>2696</v>
      </c>
      <c r="D1060" t="s">
        <v>2696</v>
      </c>
      <c r="E1060" t="s">
        <v>8269</v>
      </c>
    </row>
    <row r="1061" spans="1:5" x14ac:dyDescent="0.3">
      <c r="A1061" t="s">
        <v>8025</v>
      </c>
      <c r="B1061" t="s">
        <v>8026</v>
      </c>
      <c r="C1061" t="s">
        <v>2696</v>
      </c>
      <c r="D1061" t="s">
        <v>2696</v>
      </c>
      <c r="E1061" t="s">
        <v>8027</v>
      </c>
    </row>
    <row r="1062" spans="1:5" x14ac:dyDescent="0.3">
      <c r="A1062" t="s">
        <v>8048</v>
      </c>
      <c r="B1062" t="s">
        <v>8049</v>
      </c>
      <c r="C1062" t="s">
        <v>2696</v>
      </c>
      <c r="D1062" t="s">
        <v>2696</v>
      </c>
      <c r="E1062" t="s">
        <v>8050</v>
      </c>
    </row>
    <row r="1063" spans="1:5" x14ac:dyDescent="0.3">
      <c r="A1063" t="s">
        <v>9383</v>
      </c>
      <c r="B1063" t="s">
        <v>9384</v>
      </c>
      <c r="C1063" t="s">
        <v>2696</v>
      </c>
      <c r="D1063" t="s">
        <v>2696</v>
      </c>
      <c r="E1063" t="s">
        <v>9385</v>
      </c>
    </row>
    <row r="1064" spans="1:5" x14ac:dyDescent="0.3">
      <c r="A1064" t="s">
        <v>8924</v>
      </c>
      <c r="B1064" t="s">
        <v>8925</v>
      </c>
      <c r="C1064" t="s">
        <v>2696</v>
      </c>
      <c r="D1064" t="s">
        <v>2696</v>
      </c>
      <c r="E1064" t="s">
        <v>8926</v>
      </c>
    </row>
    <row r="1065" spans="1:5" x14ac:dyDescent="0.3">
      <c r="A1065" t="s">
        <v>8948</v>
      </c>
      <c r="B1065" t="s">
        <v>8949</v>
      </c>
      <c r="C1065" t="s">
        <v>2696</v>
      </c>
      <c r="D1065" t="s">
        <v>2696</v>
      </c>
      <c r="E1065" t="s">
        <v>8950</v>
      </c>
    </row>
    <row r="1066" spans="1:5" x14ac:dyDescent="0.3">
      <c r="A1066" t="s">
        <v>7620</v>
      </c>
      <c r="B1066" t="s">
        <v>3396</v>
      </c>
      <c r="C1066" t="s">
        <v>4679</v>
      </c>
      <c r="D1066" t="s">
        <v>2704</v>
      </c>
      <c r="E1066" t="s">
        <v>7621</v>
      </c>
    </row>
    <row r="1067" spans="1:5" x14ac:dyDescent="0.3">
      <c r="A1067" t="s">
        <v>7640</v>
      </c>
      <c r="B1067" t="s">
        <v>7641</v>
      </c>
      <c r="C1067" t="s">
        <v>134</v>
      </c>
      <c r="D1067" t="s">
        <v>133</v>
      </c>
      <c r="E1067" t="s">
        <v>7642</v>
      </c>
    </row>
    <row r="1068" spans="1:5" x14ac:dyDescent="0.3">
      <c r="A1068" t="s">
        <v>9407</v>
      </c>
      <c r="B1068" t="s">
        <v>2190</v>
      </c>
      <c r="C1068" t="s">
        <v>2696</v>
      </c>
      <c r="D1068" t="s">
        <v>2696</v>
      </c>
      <c r="E1068" t="s">
        <v>9408</v>
      </c>
    </row>
    <row r="1069" spans="1:5" x14ac:dyDescent="0.3">
      <c r="A1069" t="s">
        <v>9429</v>
      </c>
      <c r="B1069" t="s">
        <v>9430</v>
      </c>
      <c r="C1069" t="s">
        <v>2696</v>
      </c>
      <c r="D1069" t="s">
        <v>2696</v>
      </c>
      <c r="E1069" t="s">
        <v>9431</v>
      </c>
    </row>
    <row r="1070" spans="1:5" x14ac:dyDescent="0.3">
      <c r="A1070" t="s">
        <v>11945</v>
      </c>
      <c r="B1070" t="s">
        <v>11946</v>
      </c>
      <c r="C1070" t="s">
        <v>2851</v>
      </c>
      <c r="D1070" t="s">
        <v>2852</v>
      </c>
      <c r="E1070" t="s">
        <v>11947</v>
      </c>
    </row>
    <row r="1071" spans="1:5" x14ac:dyDescent="0.3">
      <c r="A1071" t="s">
        <v>11969</v>
      </c>
      <c r="B1071" t="s">
        <v>11970</v>
      </c>
      <c r="E1071" t="s">
        <v>11971</v>
      </c>
    </row>
    <row r="1072" spans="1:5" x14ac:dyDescent="0.3">
      <c r="A1072" t="s">
        <v>11991</v>
      </c>
      <c r="B1072" t="s">
        <v>11992</v>
      </c>
      <c r="C1072" t="s">
        <v>4207</v>
      </c>
      <c r="D1072" t="s">
        <v>133</v>
      </c>
      <c r="E1072" t="s">
        <v>11993</v>
      </c>
    </row>
    <row r="1073" spans="1:5" x14ac:dyDescent="0.3">
      <c r="A1073" t="s">
        <v>8971</v>
      </c>
      <c r="B1073" t="s">
        <v>8972</v>
      </c>
      <c r="C1073" t="s">
        <v>2696</v>
      </c>
      <c r="D1073" t="s">
        <v>2696</v>
      </c>
      <c r="E1073" t="s">
        <v>8973</v>
      </c>
    </row>
    <row r="1074" spans="1:5" x14ac:dyDescent="0.3">
      <c r="A1074" t="s">
        <v>8994</v>
      </c>
      <c r="B1074" t="s">
        <v>8995</v>
      </c>
      <c r="C1074" t="s">
        <v>2696</v>
      </c>
      <c r="D1074" t="s">
        <v>2696</v>
      </c>
      <c r="E1074" t="s">
        <v>8996</v>
      </c>
    </row>
    <row r="1075" spans="1:5" x14ac:dyDescent="0.3">
      <c r="A1075" t="s">
        <v>8071</v>
      </c>
      <c r="B1075" t="s">
        <v>8072</v>
      </c>
      <c r="C1075" t="s">
        <v>2696</v>
      </c>
      <c r="D1075" t="s">
        <v>2696</v>
      </c>
      <c r="E1075" t="s">
        <v>8073</v>
      </c>
    </row>
    <row r="1076" spans="1:5" x14ac:dyDescent="0.3">
      <c r="A1076" t="s">
        <v>8092</v>
      </c>
      <c r="B1076" t="s">
        <v>8093</v>
      </c>
      <c r="C1076" t="s">
        <v>2696</v>
      </c>
      <c r="D1076" t="s">
        <v>2696</v>
      </c>
      <c r="E1076" t="s">
        <v>8094</v>
      </c>
    </row>
    <row r="1077" spans="1:5" x14ac:dyDescent="0.3">
      <c r="A1077" t="s">
        <v>9452</v>
      </c>
      <c r="B1077" t="s">
        <v>9453</v>
      </c>
      <c r="C1077" t="s">
        <v>2696</v>
      </c>
      <c r="D1077" t="s">
        <v>2696</v>
      </c>
      <c r="E1077" t="s">
        <v>9454</v>
      </c>
    </row>
    <row r="1078" spans="1:5" x14ac:dyDescent="0.3">
      <c r="A1078" t="s">
        <v>9474</v>
      </c>
      <c r="B1078" t="s">
        <v>9475</v>
      </c>
      <c r="C1078" t="s">
        <v>2696</v>
      </c>
      <c r="D1078" t="s">
        <v>2696</v>
      </c>
      <c r="E1078" t="s">
        <v>9476</v>
      </c>
    </row>
    <row r="1079" spans="1:5" x14ac:dyDescent="0.3">
      <c r="A1079" t="s">
        <v>8291</v>
      </c>
      <c r="B1079" t="s">
        <v>8292</v>
      </c>
      <c r="C1079" t="s">
        <v>2696</v>
      </c>
      <c r="D1079" t="s">
        <v>2696</v>
      </c>
      <c r="E1079" t="s">
        <v>8293</v>
      </c>
    </row>
    <row r="1080" spans="1:5" x14ac:dyDescent="0.3">
      <c r="A1080" t="s">
        <v>8315</v>
      </c>
      <c r="B1080" t="s">
        <v>8316</v>
      </c>
      <c r="C1080" t="s">
        <v>2696</v>
      </c>
      <c r="D1080" t="s">
        <v>2696</v>
      </c>
      <c r="E1080" t="s">
        <v>8317</v>
      </c>
    </row>
    <row r="1081" spans="1:5" x14ac:dyDescent="0.3">
      <c r="A1081" t="s">
        <v>9018</v>
      </c>
      <c r="B1081" t="s">
        <v>9019</v>
      </c>
      <c r="C1081" t="s">
        <v>2696</v>
      </c>
      <c r="D1081" t="s">
        <v>2696</v>
      </c>
      <c r="E1081" t="s">
        <v>9020</v>
      </c>
    </row>
    <row r="1082" spans="1:5" x14ac:dyDescent="0.3">
      <c r="A1082" t="s">
        <v>9041</v>
      </c>
      <c r="B1082" t="s">
        <v>9042</v>
      </c>
      <c r="C1082" t="s">
        <v>2696</v>
      </c>
      <c r="D1082" t="s">
        <v>2696</v>
      </c>
      <c r="E1082" t="s">
        <v>9043</v>
      </c>
    </row>
    <row r="1083" spans="1:5" x14ac:dyDescent="0.3">
      <c r="A1083" t="s">
        <v>8116</v>
      </c>
      <c r="B1083" t="s">
        <v>8117</v>
      </c>
      <c r="C1083" t="s">
        <v>6349</v>
      </c>
      <c r="D1083" t="s">
        <v>2841</v>
      </c>
      <c r="E1083" t="s">
        <v>8118</v>
      </c>
    </row>
    <row r="1084" spans="1:5" x14ac:dyDescent="0.3">
      <c r="A1084" t="s">
        <v>8138</v>
      </c>
      <c r="B1084" t="s">
        <v>8139</v>
      </c>
      <c r="C1084" t="s">
        <v>6349</v>
      </c>
      <c r="D1084" t="s">
        <v>2841</v>
      </c>
      <c r="E1084" t="s">
        <v>8140</v>
      </c>
    </row>
    <row r="1085" spans="1:5" x14ac:dyDescent="0.3">
      <c r="A1085" t="s">
        <v>12012</v>
      </c>
      <c r="B1085" t="s">
        <v>12013</v>
      </c>
      <c r="C1085" t="s">
        <v>4207</v>
      </c>
      <c r="D1085" t="s">
        <v>133</v>
      </c>
      <c r="E1085" t="s">
        <v>12014</v>
      </c>
    </row>
    <row r="1086" spans="1:5" x14ac:dyDescent="0.3">
      <c r="A1086" t="s">
        <v>9497</v>
      </c>
      <c r="B1086" t="s">
        <v>9498</v>
      </c>
      <c r="C1086" t="s">
        <v>2696</v>
      </c>
      <c r="D1086" t="s">
        <v>2696</v>
      </c>
      <c r="E1086" t="s">
        <v>9499</v>
      </c>
    </row>
    <row r="1087" spans="1:5" x14ac:dyDescent="0.3">
      <c r="A1087" t="s">
        <v>9520</v>
      </c>
      <c r="B1087" t="s">
        <v>9521</v>
      </c>
      <c r="C1087" t="s">
        <v>2696</v>
      </c>
      <c r="D1087" t="s">
        <v>2696</v>
      </c>
      <c r="E1087" t="s">
        <v>9522</v>
      </c>
    </row>
    <row r="1088" spans="1:5" x14ac:dyDescent="0.3">
      <c r="A1088" t="s">
        <v>8339</v>
      </c>
      <c r="B1088" t="s">
        <v>8340</v>
      </c>
      <c r="C1088" t="s">
        <v>2696</v>
      </c>
      <c r="D1088" t="s">
        <v>2696</v>
      </c>
      <c r="E1088" t="s">
        <v>8341</v>
      </c>
    </row>
    <row r="1089" spans="1:5" x14ac:dyDescent="0.3">
      <c r="A1089" t="s">
        <v>8362</v>
      </c>
      <c r="B1089" t="s">
        <v>8363</v>
      </c>
      <c r="C1089" t="s">
        <v>2696</v>
      </c>
      <c r="D1089" t="s">
        <v>2696</v>
      </c>
      <c r="E1089" t="s">
        <v>8364</v>
      </c>
    </row>
    <row r="1090" spans="1:5" x14ac:dyDescent="0.3">
      <c r="A1090" t="s">
        <v>9065</v>
      </c>
      <c r="B1090" t="s">
        <v>9066</v>
      </c>
      <c r="C1090" t="s">
        <v>2696</v>
      </c>
      <c r="D1090" t="s">
        <v>2696</v>
      </c>
      <c r="E1090" t="s">
        <v>9067</v>
      </c>
    </row>
    <row r="1091" spans="1:5" x14ac:dyDescent="0.3">
      <c r="A1091" t="s">
        <v>9088</v>
      </c>
      <c r="B1091" t="s">
        <v>9089</v>
      </c>
      <c r="C1091" t="s">
        <v>2696</v>
      </c>
      <c r="D1091" t="s">
        <v>2696</v>
      </c>
      <c r="E1091" t="s">
        <v>9090</v>
      </c>
    </row>
    <row r="1092" spans="1:5" x14ac:dyDescent="0.3">
      <c r="A1092" t="s">
        <v>7540</v>
      </c>
      <c r="B1092" t="s">
        <v>7541</v>
      </c>
      <c r="C1092" t="s">
        <v>4246</v>
      </c>
      <c r="D1092" t="s">
        <v>2709</v>
      </c>
      <c r="E1092" t="s">
        <v>7542</v>
      </c>
    </row>
    <row r="1093" spans="1:5" x14ac:dyDescent="0.3">
      <c r="A1093" t="s">
        <v>7563</v>
      </c>
      <c r="B1093" t="s">
        <v>7564</v>
      </c>
      <c r="C1093" t="s">
        <v>4246</v>
      </c>
      <c r="D1093" t="s">
        <v>2709</v>
      </c>
      <c r="E1093" t="s">
        <v>7565</v>
      </c>
    </row>
    <row r="1094" spans="1:5" x14ac:dyDescent="0.3">
      <c r="A1094" t="s">
        <v>7664</v>
      </c>
      <c r="B1094" t="s">
        <v>7665</v>
      </c>
      <c r="C1094" t="s">
        <v>3860</v>
      </c>
      <c r="D1094" t="s">
        <v>2704</v>
      </c>
      <c r="E1094" t="s">
        <v>7666</v>
      </c>
    </row>
    <row r="1095" spans="1:5" x14ac:dyDescent="0.3">
      <c r="A1095" t="s">
        <v>2415</v>
      </c>
      <c r="B1095" t="s">
        <v>2416</v>
      </c>
      <c r="C1095" t="s">
        <v>1153</v>
      </c>
      <c r="D1095" t="s">
        <v>1088</v>
      </c>
      <c r="E1095" t="s">
        <v>2417</v>
      </c>
    </row>
    <row r="1096" spans="1:5" x14ac:dyDescent="0.3">
      <c r="A1096" t="s">
        <v>9542</v>
      </c>
      <c r="B1096" t="s">
        <v>9543</v>
      </c>
      <c r="C1096" t="s">
        <v>2696</v>
      </c>
      <c r="D1096" t="s">
        <v>2696</v>
      </c>
      <c r="E1096" t="s">
        <v>9544</v>
      </c>
    </row>
    <row r="1097" spans="1:5" x14ac:dyDescent="0.3">
      <c r="A1097" t="s">
        <v>9566</v>
      </c>
      <c r="B1097" t="s">
        <v>9567</v>
      </c>
      <c r="C1097" t="s">
        <v>2696</v>
      </c>
      <c r="D1097" t="s">
        <v>2696</v>
      </c>
      <c r="E1097" t="s">
        <v>9568</v>
      </c>
    </row>
    <row r="1098" spans="1:5" x14ac:dyDescent="0.3">
      <c r="A1098" t="s">
        <v>9112</v>
      </c>
      <c r="B1098" t="s">
        <v>2995</v>
      </c>
      <c r="C1098" t="s">
        <v>2696</v>
      </c>
      <c r="D1098" t="s">
        <v>2696</v>
      </c>
      <c r="E1098" t="s">
        <v>9113</v>
      </c>
    </row>
    <row r="1099" spans="1:5" x14ac:dyDescent="0.3">
      <c r="A1099" t="s">
        <v>7586</v>
      </c>
      <c r="B1099" t="s">
        <v>7587</v>
      </c>
      <c r="C1099" t="s">
        <v>134</v>
      </c>
      <c r="D1099" t="s">
        <v>133</v>
      </c>
      <c r="E1099" t="s">
        <v>7588</v>
      </c>
    </row>
    <row r="1100" spans="1:5" x14ac:dyDescent="0.3">
      <c r="A1100" t="s">
        <v>7609</v>
      </c>
      <c r="B1100" t="s">
        <v>7610</v>
      </c>
      <c r="C1100" t="s">
        <v>4679</v>
      </c>
      <c r="D1100" t="s">
        <v>2704</v>
      </c>
      <c r="E1100" t="s">
        <v>7611</v>
      </c>
    </row>
    <row r="1101" spans="1:5" x14ac:dyDescent="0.3">
      <c r="A1101" t="s">
        <v>8161</v>
      </c>
      <c r="B1101" t="s">
        <v>8162</v>
      </c>
      <c r="C1101" t="s">
        <v>3860</v>
      </c>
      <c r="D1101" t="s">
        <v>2704</v>
      </c>
      <c r="E1101" t="s">
        <v>8163</v>
      </c>
    </row>
    <row r="1102" spans="1:5" x14ac:dyDescent="0.3">
      <c r="A1102" t="s">
        <v>8184</v>
      </c>
      <c r="B1102" t="s">
        <v>8185</v>
      </c>
      <c r="C1102" t="s">
        <v>2696</v>
      </c>
      <c r="D1102" t="s">
        <v>2696</v>
      </c>
      <c r="E1102" t="s">
        <v>8186</v>
      </c>
    </row>
    <row r="1103" spans="1:5" x14ac:dyDescent="0.3">
      <c r="A1103" t="s">
        <v>9589</v>
      </c>
      <c r="B1103" t="s">
        <v>9590</v>
      </c>
      <c r="C1103" t="s">
        <v>2696</v>
      </c>
      <c r="D1103" t="s">
        <v>2696</v>
      </c>
      <c r="E1103" t="s">
        <v>9591</v>
      </c>
    </row>
    <row r="1104" spans="1:5" x14ac:dyDescent="0.3">
      <c r="A1104" t="s">
        <v>9612</v>
      </c>
      <c r="B1104" t="s">
        <v>9613</v>
      </c>
      <c r="C1104" t="s">
        <v>2696</v>
      </c>
      <c r="D1104" t="s">
        <v>2696</v>
      </c>
      <c r="E1104" t="s">
        <v>9614</v>
      </c>
    </row>
    <row r="1105" spans="1:5" x14ac:dyDescent="0.3">
      <c r="A1105" t="s">
        <v>7695</v>
      </c>
      <c r="B1105" t="s">
        <v>7696</v>
      </c>
      <c r="C1105" t="s">
        <v>7682</v>
      </c>
      <c r="D1105" t="s">
        <v>3712</v>
      </c>
      <c r="E1105" t="s">
        <v>7697</v>
      </c>
    </row>
    <row r="1106" spans="1:5" x14ac:dyDescent="0.3">
      <c r="A1106" t="s">
        <v>7718</v>
      </c>
      <c r="B1106" t="s">
        <v>2846</v>
      </c>
      <c r="C1106" t="s">
        <v>6349</v>
      </c>
      <c r="D1106" t="s">
        <v>2841</v>
      </c>
      <c r="E1106" t="s">
        <v>7719</v>
      </c>
    </row>
    <row r="1107" spans="1:5" x14ac:dyDescent="0.3">
      <c r="A1107" t="s">
        <v>9135</v>
      </c>
      <c r="B1107" t="s">
        <v>9136</v>
      </c>
      <c r="C1107" t="s">
        <v>2696</v>
      </c>
      <c r="D1107" t="s">
        <v>2696</v>
      </c>
      <c r="E1107" t="s">
        <v>9137</v>
      </c>
    </row>
    <row r="1108" spans="1:5" x14ac:dyDescent="0.3">
      <c r="A1108" t="s">
        <v>9158</v>
      </c>
      <c r="B1108" t="s">
        <v>9159</v>
      </c>
      <c r="C1108" t="s">
        <v>2696</v>
      </c>
      <c r="D1108" t="s">
        <v>2696</v>
      </c>
      <c r="E1108" t="s">
        <v>9160</v>
      </c>
    </row>
    <row r="1109" spans="1:5" x14ac:dyDescent="0.3">
      <c r="A1109" t="s">
        <v>9635</v>
      </c>
      <c r="B1109" t="s">
        <v>9636</v>
      </c>
      <c r="C1109" t="s">
        <v>2696</v>
      </c>
      <c r="D1109" t="s">
        <v>2696</v>
      </c>
      <c r="E1109" t="s">
        <v>9637</v>
      </c>
    </row>
    <row r="1110" spans="1:5" x14ac:dyDescent="0.3">
      <c r="A1110" t="s">
        <v>9658</v>
      </c>
      <c r="B1110" t="s">
        <v>3004</v>
      </c>
      <c r="C1110" t="s">
        <v>2696</v>
      </c>
      <c r="D1110" t="s">
        <v>2696</v>
      </c>
      <c r="E1110" t="s">
        <v>9659</v>
      </c>
    </row>
    <row r="1111" spans="1:5" x14ac:dyDescent="0.3">
      <c r="A1111" t="s">
        <v>7628</v>
      </c>
      <c r="B1111" t="s">
        <v>7629</v>
      </c>
      <c r="C1111" t="s">
        <v>134</v>
      </c>
      <c r="D1111" t="s">
        <v>133</v>
      </c>
      <c r="E1111" t="s">
        <v>7630</v>
      </c>
    </row>
    <row r="1112" spans="1:5" x14ac:dyDescent="0.3">
      <c r="A1112" t="s">
        <v>7652</v>
      </c>
      <c r="B1112" t="s">
        <v>7653</v>
      </c>
      <c r="C1112" t="s">
        <v>2708</v>
      </c>
      <c r="D1112" t="s">
        <v>2709</v>
      </c>
      <c r="E1112" t="s">
        <v>7654</v>
      </c>
    </row>
    <row r="1113" spans="1:5" x14ac:dyDescent="0.3">
      <c r="A1113" t="s">
        <v>7739</v>
      </c>
      <c r="B1113" t="s">
        <v>7740</v>
      </c>
      <c r="C1113" t="s">
        <v>6349</v>
      </c>
      <c r="D1113" t="s">
        <v>2841</v>
      </c>
      <c r="E1113" t="s">
        <v>7741</v>
      </c>
    </row>
    <row r="1114" spans="1:5" x14ac:dyDescent="0.3">
      <c r="A1114" t="s">
        <v>7763</v>
      </c>
      <c r="B1114" t="s">
        <v>7764</v>
      </c>
      <c r="C1114" t="s">
        <v>2696</v>
      </c>
      <c r="D1114" t="s">
        <v>2696</v>
      </c>
      <c r="E1114" t="s">
        <v>7765</v>
      </c>
    </row>
    <row r="1115" spans="1:5" x14ac:dyDescent="0.3">
      <c r="A1115" t="s">
        <v>9181</v>
      </c>
      <c r="B1115" t="s">
        <v>9182</v>
      </c>
      <c r="C1115" t="s">
        <v>2696</v>
      </c>
      <c r="D1115" t="s">
        <v>2696</v>
      </c>
      <c r="E1115" t="s">
        <v>9183</v>
      </c>
    </row>
    <row r="1116" spans="1:5" x14ac:dyDescent="0.3">
      <c r="A1116" t="s">
        <v>9204</v>
      </c>
      <c r="B1116" t="s">
        <v>9205</v>
      </c>
      <c r="C1116" t="s">
        <v>2696</v>
      </c>
      <c r="D1116" t="s">
        <v>2696</v>
      </c>
      <c r="E1116" t="s">
        <v>9206</v>
      </c>
    </row>
    <row r="1117" spans="1:5" x14ac:dyDescent="0.3">
      <c r="A1117" t="s">
        <v>8077</v>
      </c>
      <c r="B1117" t="s">
        <v>8078</v>
      </c>
      <c r="C1117" t="s">
        <v>2696</v>
      </c>
      <c r="D1117" t="s">
        <v>2696</v>
      </c>
      <c r="E1117" t="s">
        <v>8079</v>
      </c>
    </row>
    <row r="1118" spans="1:5" x14ac:dyDescent="0.3">
      <c r="A1118" t="s">
        <v>8098</v>
      </c>
      <c r="B1118" t="s">
        <v>8099</v>
      </c>
      <c r="C1118" t="s">
        <v>2696</v>
      </c>
      <c r="D1118" t="s">
        <v>2696</v>
      </c>
      <c r="E1118" t="s">
        <v>8100</v>
      </c>
    </row>
    <row r="1119" spans="1:5" x14ac:dyDescent="0.3">
      <c r="A1119" t="s">
        <v>9680</v>
      </c>
      <c r="B1119" t="s">
        <v>9681</v>
      </c>
      <c r="C1119" t="s">
        <v>2696</v>
      </c>
      <c r="D1119" t="s">
        <v>2696</v>
      </c>
      <c r="E1119" t="s">
        <v>9682</v>
      </c>
    </row>
    <row r="1120" spans="1:5" x14ac:dyDescent="0.3">
      <c r="A1120" t="s">
        <v>9704</v>
      </c>
      <c r="B1120" t="s">
        <v>9705</v>
      </c>
      <c r="C1120" t="s">
        <v>2696</v>
      </c>
      <c r="D1120" t="s">
        <v>2696</v>
      </c>
      <c r="E1120" t="s">
        <v>9706</v>
      </c>
    </row>
    <row r="1121" spans="1:5" x14ac:dyDescent="0.3">
      <c r="A1121" t="s">
        <v>7676</v>
      </c>
      <c r="B1121" t="s">
        <v>7677</v>
      </c>
      <c r="C1121" t="s">
        <v>3860</v>
      </c>
      <c r="D1121" t="s">
        <v>2704</v>
      </c>
      <c r="E1121" t="s">
        <v>7678</v>
      </c>
    </row>
    <row r="1122" spans="1:5" x14ac:dyDescent="0.3">
      <c r="A1122" t="s">
        <v>7683</v>
      </c>
      <c r="B1122" t="s">
        <v>7684</v>
      </c>
      <c r="C1122" t="s">
        <v>7682</v>
      </c>
      <c r="D1122" t="s">
        <v>3712</v>
      </c>
      <c r="E1122" t="s">
        <v>7685</v>
      </c>
    </row>
    <row r="1123" spans="1:5" x14ac:dyDescent="0.3">
      <c r="A1123" t="s">
        <v>7787</v>
      </c>
      <c r="B1123" t="s">
        <v>7788</v>
      </c>
      <c r="C1123" t="s">
        <v>2696</v>
      </c>
      <c r="D1123" t="s">
        <v>2696</v>
      </c>
      <c r="E1123" t="s">
        <v>7789</v>
      </c>
    </row>
    <row r="1124" spans="1:5" x14ac:dyDescent="0.3">
      <c r="A1124" t="s">
        <v>7811</v>
      </c>
      <c r="B1124" t="s">
        <v>7812</v>
      </c>
      <c r="C1124" t="s">
        <v>2696</v>
      </c>
      <c r="D1124" t="s">
        <v>2696</v>
      </c>
      <c r="E1124" t="s">
        <v>7813</v>
      </c>
    </row>
    <row r="1125" spans="1:5" x14ac:dyDescent="0.3">
      <c r="A1125" t="s">
        <v>8208</v>
      </c>
      <c r="B1125" t="s">
        <v>8209</v>
      </c>
      <c r="C1125" t="s">
        <v>2696</v>
      </c>
      <c r="D1125" t="s">
        <v>2696</v>
      </c>
      <c r="E1125" t="s">
        <v>8210</v>
      </c>
    </row>
    <row r="1126" spans="1:5" x14ac:dyDescent="0.3">
      <c r="A1126" t="s">
        <v>8231</v>
      </c>
      <c r="B1126" t="s">
        <v>8232</v>
      </c>
      <c r="C1126" t="s">
        <v>2696</v>
      </c>
      <c r="D1126" t="s">
        <v>2696</v>
      </c>
      <c r="E1126" t="s">
        <v>8233</v>
      </c>
    </row>
    <row r="1127" spans="1:5" x14ac:dyDescent="0.3">
      <c r="A1127" t="s">
        <v>9727</v>
      </c>
      <c r="B1127" t="s">
        <v>9728</v>
      </c>
      <c r="C1127" t="s">
        <v>2696</v>
      </c>
      <c r="D1127" t="s">
        <v>2696</v>
      </c>
      <c r="E1127" t="s">
        <v>9729</v>
      </c>
    </row>
    <row r="1128" spans="1:5" x14ac:dyDescent="0.3">
      <c r="A1128" t="s">
        <v>9749</v>
      </c>
      <c r="B1128" t="s">
        <v>9750</v>
      </c>
      <c r="C1128" t="s">
        <v>2696</v>
      </c>
      <c r="D1128" t="s">
        <v>2696</v>
      </c>
      <c r="E1128" t="s">
        <v>9751</v>
      </c>
    </row>
    <row r="1129" spans="1:5" x14ac:dyDescent="0.3">
      <c r="A1129" t="s">
        <v>9228</v>
      </c>
      <c r="B1129" t="s">
        <v>9229</v>
      </c>
      <c r="C1129" t="s">
        <v>2696</v>
      </c>
      <c r="D1129" t="s">
        <v>2696</v>
      </c>
      <c r="E1129" t="s">
        <v>9230</v>
      </c>
    </row>
    <row r="1130" spans="1:5" x14ac:dyDescent="0.3">
      <c r="A1130" t="s">
        <v>9250</v>
      </c>
      <c r="B1130" t="s">
        <v>9251</v>
      </c>
      <c r="C1130" t="s">
        <v>2696</v>
      </c>
      <c r="D1130" t="s">
        <v>2696</v>
      </c>
      <c r="E1130" t="s">
        <v>9252</v>
      </c>
    </row>
    <row r="1131" spans="1:5" x14ac:dyDescent="0.3">
      <c r="A1131" t="s">
        <v>8121</v>
      </c>
      <c r="B1131" t="s">
        <v>6758</v>
      </c>
      <c r="C1131" t="s">
        <v>6349</v>
      </c>
      <c r="D1131" t="s">
        <v>2841</v>
      </c>
      <c r="E1131" t="s">
        <v>8122</v>
      </c>
    </row>
    <row r="1132" spans="1:5" x14ac:dyDescent="0.3">
      <c r="A1132" t="s">
        <v>8144</v>
      </c>
      <c r="B1132" t="s">
        <v>8145</v>
      </c>
      <c r="C1132" t="s">
        <v>3860</v>
      </c>
      <c r="D1132" t="s">
        <v>2704</v>
      </c>
      <c r="E1132" t="s">
        <v>8146</v>
      </c>
    </row>
    <row r="1133" spans="1:5" x14ac:dyDescent="0.3">
      <c r="A1133" t="s">
        <v>7835</v>
      </c>
      <c r="B1133" t="s">
        <v>7836</v>
      </c>
      <c r="C1133" t="s">
        <v>2696</v>
      </c>
      <c r="D1133" t="s">
        <v>2696</v>
      </c>
      <c r="E1133" t="s">
        <v>7837</v>
      </c>
    </row>
    <row r="1134" spans="1:5" x14ac:dyDescent="0.3">
      <c r="A1134" t="s">
        <v>7859</v>
      </c>
      <c r="B1134" t="s">
        <v>7860</v>
      </c>
      <c r="C1134" t="s">
        <v>2696</v>
      </c>
      <c r="D1134" t="s">
        <v>2696</v>
      </c>
      <c r="E1134" t="s">
        <v>7861</v>
      </c>
    </row>
    <row r="1135" spans="1:5" x14ac:dyDescent="0.3">
      <c r="A1135" t="s">
        <v>7706</v>
      </c>
      <c r="B1135" t="s">
        <v>7707</v>
      </c>
      <c r="C1135" t="s">
        <v>7682</v>
      </c>
      <c r="D1135" t="s">
        <v>3712</v>
      </c>
      <c r="E1135" t="s">
        <v>7708</v>
      </c>
    </row>
    <row r="1136" spans="1:5" x14ac:dyDescent="0.3">
      <c r="A1136" t="s">
        <v>7728</v>
      </c>
      <c r="B1136" t="s">
        <v>7729</v>
      </c>
      <c r="C1136" t="s">
        <v>6349</v>
      </c>
      <c r="D1136" t="s">
        <v>2841</v>
      </c>
      <c r="E1136" t="s">
        <v>7730</v>
      </c>
    </row>
    <row r="1137" spans="1:5" x14ac:dyDescent="0.3">
      <c r="A1137" t="s">
        <v>8253</v>
      </c>
      <c r="B1137" t="s">
        <v>8254</v>
      </c>
      <c r="C1137" t="s">
        <v>2696</v>
      </c>
      <c r="D1137" t="s">
        <v>2696</v>
      </c>
      <c r="E1137" t="s">
        <v>8255</v>
      </c>
    </row>
    <row r="1138" spans="1:5" x14ac:dyDescent="0.3">
      <c r="A1138" t="s">
        <v>8276</v>
      </c>
      <c r="B1138" t="s">
        <v>8277</v>
      </c>
      <c r="C1138" t="s">
        <v>2696</v>
      </c>
      <c r="D1138" t="s">
        <v>2696</v>
      </c>
      <c r="E1138" t="s">
        <v>8278</v>
      </c>
    </row>
    <row r="1139" spans="1:5" x14ac:dyDescent="0.3">
      <c r="A1139" t="s">
        <v>9273</v>
      </c>
      <c r="B1139" t="s">
        <v>9274</v>
      </c>
      <c r="C1139" t="s">
        <v>2696</v>
      </c>
      <c r="D1139" t="s">
        <v>2696</v>
      </c>
      <c r="E1139" t="s">
        <v>9275</v>
      </c>
    </row>
    <row r="1140" spans="1:5" x14ac:dyDescent="0.3">
      <c r="A1140" t="s">
        <v>9297</v>
      </c>
      <c r="B1140" t="s">
        <v>1188</v>
      </c>
      <c r="C1140" t="s">
        <v>2696</v>
      </c>
      <c r="D1140" t="s">
        <v>2696</v>
      </c>
      <c r="E1140" t="s">
        <v>9298</v>
      </c>
    </row>
    <row r="1141" spans="1:5" x14ac:dyDescent="0.3">
      <c r="A1141" t="s">
        <v>9770</v>
      </c>
      <c r="B1141" t="s">
        <v>9771</v>
      </c>
      <c r="C1141" t="s">
        <v>6349</v>
      </c>
      <c r="D1141" t="s">
        <v>2841</v>
      </c>
      <c r="E1141" t="s">
        <v>9772</v>
      </c>
    </row>
    <row r="1142" spans="1:5" x14ac:dyDescent="0.3">
      <c r="A1142" t="s">
        <v>9793</v>
      </c>
      <c r="B1142" t="s">
        <v>9794</v>
      </c>
      <c r="C1142" t="s">
        <v>6349</v>
      </c>
      <c r="D1142" t="s">
        <v>2841</v>
      </c>
      <c r="E1142" t="s">
        <v>9795</v>
      </c>
    </row>
    <row r="1143" spans="1:5" x14ac:dyDescent="0.3">
      <c r="A1143" t="s">
        <v>7751</v>
      </c>
      <c r="B1143" t="s">
        <v>7752</v>
      </c>
      <c r="C1143" t="s">
        <v>6349</v>
      </c>
      <c r="D1143" t="s">
        <v>2841</v>
      </c>
      <c r="E1143" t="s">
        <v>7753</v>
      </c>
    </row>
    <row r="1144" spans="1:5" x14ac:dyDescent="0.3">
      <c r="A1144" t="s">
        <v>7775</v>
      </c>
      <c r="B1144" t="s">
        <v>7776</v>
      </c>
      <c r="C1144" t="s">
        <v>2696</v>
      </c>
      <c r="D1144" t="s">
        <v>2696</v>
      </c>
      <c r="E1144" t="s">
        <v>7777</v>
      </c>
    </row>
    <row r="1145" spans="1:5" x14ac:dyDescent="0.3">
      <c r="A1145" t="s">
        <v>7799</v>
      </c>
      <c r="B1145" t="s">
        <v>7800</v>
      </c>
      <c r="C1145" t="s">
        <v>2696</v>
      </c>
      <c r="D1145" t="s">
        <v>2696</v>
      </c>
      <c r="E1145" t="s">
        <v>7801</v>
      </c>
    </row>
    <row r="1146" spans="1:5" x14ac:dyDescent="0.3">
      <c r="A1146" t="s">
        <v>7823</v>
      </c>
      <c r="B1146" t="s">
        <v>7824</v>
      </c>
      <c r="C1146" t="s">
        <v>2696</v>
      </c>
      <c r="D1146" t="s">
        <v>2696</v>
      </c>
      <c r="E1146" t="s">
        <v>7825</v>
      </c>
    </row>
    <row r="1147" spans="1:5" x14ac:dyDescent="0.3">
      <c r="A1147" t="s">
        <v>8300</v>
      </c>
      <c r="B1147" t="s">
        <v>8301</v>
      </c>
      <c r="C1147" t="s">
        <v>2696</v>
      </c>
      <c r="D1147" t="s">
        <v>2696</v>
      </c>
      <c r="E1147" t="s">
        <v>8302</v>
      </c>
    </row>
    <row r="1148" spans="1:5" x14ac:dyDescent="0.3">
      <c r="A1148" t="s">
        <v>8324</v>
      </c>
      <c r="B1148" t="s">
        <v>8325</v>
      </c>
      <c r="C1148" t="s">
        <v>2696</v>
      </c>
      <c r="D1148" t="s">
        <v>2696</v>
      </c>
      <c r="E1148" t="s">
        <v>8326</v>
      </c>
    </row>
    <row r="1149" spans="1:5" x14ac:dyDescent="0.3">
      <c r="A1149" t="s">
        <v>9817</v>
      </c>
      <c r="B1149" t="s">
        <v>9818</v>
      </c>
      <c r="C1149" t="s">
        <v>2840</v>
      </c>
      <c r="D1149" t="s">
        <v>2841</v>
      </c>
      <c r="E1149" t="s">
        <v>9819</v>
      </c>
    </row>
    <row r="1150" spans="1:5" x14ac:dyDescent="0.3">
      <c r="A1150" t="s">
        <v>9840</v>
      </c>
      <c r="B1150" t="s">
        <v>9841</v>
      </c>
      <c r="C1150" t="s">
        <v>2840</v>
      </c>
      <c r="D1150" t="s">
        <v>2841</v>
      </c>
      <c r="E1150" t="s">
        <v>9842</v>
      </c>
    </row>
    <row r="1151" spans="1:5" x14ac:dyDescent="0.3">
      <c r="A1151" t="s">
        <v>9320</v>
      </c>
      <c r="B1151" t="s">
        <v>9321</v>
      </c>
      <c r="C1151" t="s">
        <v>2696</v>
      </c>
      <c r="D1151" t="s">
        <v>2696</v>
      </c>
      <c r="E1151" t="s">
        <v>9322</v>
      </c>
    </row>
    <row r="1152" spans="1:5" x14ac:dyDescent="0.3">
      <c r="A1152" t="s">
        <v>9344</v>
      </c>
      <c r="B1152" t="s">
        <v>9345</v>
      </c>
      <c r="C1152" t="s">
        <v>2696</v>
      </c>
      <c r="D1152" t="s">
        <v>2696</v>
      </c>
      <c r="E1152" t="s">
        <v>9346</v>
      </c>
    </row>
    <row r="1153" spans="1:5" x14ac:dyDescent="0.3">
      <c r="A1153" t="s">
        <v>8385</v>
      </c>
      <c r="B1153" t="s">
        <v>8386</v>
      </c>
      <c r="C1153" t="s">
        <v>2696</v>
      </c>
      <c r="D1153" t="s">
        <v>2696</v>
      </c>
      <c r="E1153" t="s">
        <v>8387</v>
      </c>
    </row>
    <row r="1154" spans="1:5" x14ac:dyDescent="0.3">
      <c r="A1154" t="s">
        <v>8407</v>
      </c>
      <c r="B1154" t="s">
        <v>8408</v>
      </c>
      <c r="C1154" t="s">
        <v>2696</v>
      </c>
      <c r="D1154" t="s">
        <v>2696</v>
      </c>
      <c r="E1154" t="s">
        <v>8409</v>
      </c>
    </row>
    <row r="1155" spans="1:5" x14ac:dyDescent="0.3">
      <c r="A1155" t="s">
        <v>9863</v>
      </c>
      <c r="B1155" t="s">
        <v>9864</v>
      </c>
      <c r="C1155" t="s">
        <v>2696</v>
      </c>
      <c r="D1155" t="s">
        <v>2696</v>
      </c>
      <c r="E1155" t="s">
        <v>9865</v>
      </c>
    </row>
    <row r="1156" spans="1:5" x14ac:dyDescent="0.3">
      <c r="A1156" t="s">
        <v>9886</v>
      </c>
      <c r="B1156" t="s">
        <v>9887</v>
      </c>
      <c r="C1156" t="s">
        <v>2696</v>
      </c>
      <c r="D1156" t="s">
        <v>2696</v>
      </c>
      <c r="E1156" t="s">
        <v>9888</v>
      </c>
    </row>
    <row r="1157" spans="1:5" x14ac:dyDescent="0.3">
      <c r="A1157" t="s">
        <v>7847</v>
      </c>
      <c r="B1157" t="s">
        <v>7848</v>
      </c>
      <c r="C1157" t="s">
        <v>2696</v>
      </c>
      <c r="D1157" t="s">
        <v>2696</v>
      </c>
      <c r="E1157" t="s">
        <v>7849</v>
      </c>
    </row>
    <row r="1158" spans="1:5" x14ac:dyDescent="0.3">
      <c r="A1158" t="s">
        <v>7870</v>
      </c>
      <c r="B1158" t="s">
        <v>7871</v>
      </c>
      <c r="C1158" t="s">
        <v>2696</v>
      </c>
      <c r="D1158" t="s">
        <v>2696</v>
      </c>
      <c r="E1158" t="s">
        <v>7872</v>
      </c>
    </row>
    <row r="1159" spans="1:5" x14ac:dyDescent="0.3">
      <c r="A1159" t="s">
        <v>9367</v>
      </c>
      <c r="B1159" t="s">
        <v>4178</v>
      </c>
      <c r="C1159" t="s">
        <v>2696</v>
      </c>
      <c r="D1159" t="s">
        <v>2696</v>
      </c>
      <c r="E1159" t="s">
        <v>9368</v>
      </c>
    </row>
    <row r="1160" spans="1:5" x14ac:dyDescent="0.3">
      <c r="A1160" t="s">
        <v>9389</v>
      </c>
      <c r="B1160" t="s">
        <v>9390</v>
      </c>
      <c r="C1160" t="s">
        <v>2696</v>
      </c>
      <c r="D1160" t="s">
        <v>2696</v>
      </c>
      <c r="E1160" t="s">
        <v>9391</v>
      </c>
    </row>
    <row r="1161" spans="1:5" x14ac:dyDescent="0.3">
      <c r="A1161" t="s">
        <v>8431</v>
      </c>
      <c r="B1161" t="s">
        <v>8432</v>
      </c>
      <c r="C1161" t="s">
        <v>2696</v>
      </c>
      <c r="D1161" t="s">
        <v>2696</v>
      </c>
      <c r="E1161" t="s">
        <v>8433</v>
      </c>
    </row>
    <row r="1162" spans="1:5" x14ac:dyDescent="0.3">
      <c r="A1162" t="s">
        <v>8455</v>
      </c>
      <c r="B1162" t="s">
        <v>8456</v>
      </c>
      <c r="C1162" t="s">
        <v>2696</v>
      </c>
      <c r="D1162" t="s">
        <v>2696</v>
      </c>
      <c r="E1162" t="s">
        <v>8457</v>
      </c>
    </row>
    <row r="1163" spans="1:5" x14ac:dyDescent="0.3">
      <c r="A1163" t="s">
        <v>9909</v>
      </c>
      <c r="B1163" t="s">
        <v>9910</v>
      </c>
      <c r="C1163" t="s">
        <v>4595</v>
      </c>
      <c r="D1163" t="s">
        <v>133</v>
      </c>
      <c r="E1163" t="s">
        <v>9911</v>
      </c>
    </row>
    <row r="1164" spans="1:5" x14ac:dyDescent="0.3">
      <c r="A1164" t="s">
        <v>9932</v>
      </c>
      <c r="B1164" t="s">
        <v>9933</v>
      </c>
      <c r="C1164" t="s">
        <v>4595</v>
      </c>
      <c r="D1164" t="s">
        <v>133</v>
      </c>
      <c r="E1164" t="s">
        <v>9934</v>
      </c>
    </row>
    <row r="1165" spans="1:5" x14ac:dyDescent="0.3">
      <c r="A1165" t="s">
        <v>7893</v>
      </c>
      <c r="B1165" t="s">
        <v>7894</v>
      </c>
      <c r="C1165" t="s">
        <v>2696</v>
      </c>
      <c r="D1165" t="s">
        <v>2696</v>
      </c>
      <c r="E1165" t="s">
        <v>7895</v>
      </c>
    </row>
    <row r="1166" spans="1:5" x14ac:dyDescent="0.3">
      <c r="A1166" t="s">
        <v>7916</v>
      </c>
      <c r="B1166" t="s">
        <v>7917</v>
      </c>
      <c r="C1166" t="s">
        <v>2696</v>
      </c>
      <c r="D1166" t="s">
        <v>2696</v>
      </c>
      <c r="E1166" t="s">
        <v>7918</v>
      </c>
    </row>
    <row r="1167" spans="1:5" x14ac:dyDescent="0.3">
      <c r="A1167" t="s">
        <v>9412</v>
      </c>
      <c r="B1167" t="s">
        <v>9413</v>
      </c>
      <c r="C1167" t="s">
        <v>2696</v>
      </c>
      <c r="D1167" t="s">
        <v>2696</v>
      </c>
      <c r="E1167" t="s">
        <v>9414</v>
      </c>
    </row>
    <row r="1168" spans="1:5" x14ac:dyDescent="0.3">
      <c r="A1168" t="s">
        <v>9435</v>
      </c>
      <c r="B1168" t="s">
        <v>9436</v>
      </c>
      <c r="C1168" t="s">
        <v>2696</v>
      </c>
      <c r="D1168" t="s">
        <v>2696</v>
      </c>
      <c r="E1168" t="s">
        <v>9437</v>
      </c>
    </row>
    <row r="1169" spans="1:5" x14ac:dyDescent="0.3">
      <c r="A1169" t="s">
        <v>7882</v>
      </c>
      <c r="B1169" t="s">
        <v>7883</v>
      </c>
      <c r="C1169" t="s">
        <v>2696</v>
      </c>
      <c r="D1169" t="s">
        <v>2696</v>
      </c>
      <c r="E1169" t="s">
        <v>7884</v>
      </c>
    </row>
    <row r="1170" spans="1:5" x14ac:dyDescent="0.3">
      <c r="A1170" t="s">
        <v>7904</v>
      </c>
      <c r="B1170" t="s">
        <v>7905</v>
      </c>
      <c r="C1170" t="s">
        <v>2696</v>
      </c>
      <c r="D1170" t="s">
        <v>2696</v>
      </c>
      <c r="E1170" t="s">
        <v>7906</v>
      </c>
    </row>
    <row r="1171" spans="1:5" x14ac:dyDescent="0.3">
      <c r="A1171" t="s">
        <v>8479</v>
      </c>
      <c r="B1171" t="s">
        <v>8480</v>
      </c>
      <c r="C1171" t="s">
        <v>2696</v>
      </c>
      <c r="D1171" t="s">
        <v>2696</v>
      </c>
      <c r="E1171" t="s">
        <v>8481</v>
      </c>
    </row>
    <row r="1172" spans="1:5" x14ac:dyDescent="0.3">
      <c r="A1172" t="s">
        <v>8501</v>
      </c>
      <c r="B1172" t="s">
        <v>8502</v>
      </c>
      <c r="C1172" t="s">
        <v>2696</v>
      </c>
      <c r="D1172" t="s">
        <v>2696</v>
      </c>
      <c r="E1172" t="s">
        <v>8503</v>
      </c>
    </row>
    <row r="1173" spans="1:5" x14ac:dyDescent="0.3">
      <c r="A1173" t="s">
        <v>8167</v>
      </c>
      <c r="B1173" t="s">
        <v>8168</v>
      </c>
      <c r="C1173" t="s">
        <v>2696</v>
      </c>
      <c r="D1173" t="s">
        <v>2696</v>
      </c>
      <c r="E1173" t="s">
        <v>8169</v>
      </c>
    </row>
    <row r="1174" spans="1:5" x14ac:dyDescent="0.3">
      <c r="A1174" t="s">
        <v>8190</v>
      </c>
      <c r="B1174" t="s">
        <v>8191</v>
      </c>
      <c r="C1174" t="s">
        <v>2696</v>
      </c>
      <c r="D1174" t="s">
        <v>2696</v>
      </c>
      <c r="E1174" t="s">
        <v>8192</v>
      </c>
    </row>
    <row r="1175" spans="1:5" x14ac:dyDescent="0.3">
      <c r="A1175" t="s">
        <v>9955</v>
      </c>
      <c r="B1175" t="s">
        <v>7541</v>
      </c>
      <c r="C1175" t="s">
        <v>3768</v>
      </c>
      <c r="D1175" t="s">
        <v>2852</v>
      </c>
      <c r="E1175" t="s">
        <v>9956</v>
      </c>
    </row>
    <row r="1176" spans="1:5" x14ac:dyDescent="0.3">
      <c r="A1176" t="s">
        <v>9977</v>
      </c>
      <c r="B1176" t="s">
        <v>9978</v>
      </c>
      <c r="C1176" t="s">
        <v>6349</v>
      </c>
      <c r="D1176" t="s">
        <v>2841</v>
      </c>
      <c r="E1176" t="s">
        <v>9979</v>
      </c>
    </row>
    <row r="1177" spans="1:5" x14ac:dyDescent="0.3">
      <c r="A1177" t="s">
        <v>7939</v>
      </c>
      <c r="B1177" t="s">
        <v>7940</v>
      </c>
      <c r="C1177" t="s">
        <v>2696</v>
      </c>
      <c r="D1177" t="s">
        <v>2696</v>
      </c>
      <c r="E1177" t="s">
        <v>7941</v>
      </c>
    </row>
    <row r="1178" spans="1:5" x14ac:dyDescent="0.3">
      <c r="A1178" t="s">
        <v>7963</v>
      </c>
      <c r="B1178" t="s">
        <v>7964</v>
      </c>
      <c r="C1178" t="s">
        <v>2696</v>
      </c>
      <c r="D1178" t="s">
        <v>2696</v>
      </c>
      <c r="E1178" t="s">
        <v>7965</v>
      </c>
    </row>
    <row r="1179" spans="1:5" x14ac:dyDescent="0.3">
      <c r="A1179" t="s">
        <v>8524</v>
      </c>
      <c r="B1179" t="s">
        <v>8525</v>
      </c>
      <c r="C1179" t="s">
        <v>2696</v>
      </c>
      <c r="D1179" t="s">
        <v>2696</v>
      </c>
      <c r="E1179" t="s">
        <v>8526</v>
      </c>
    </row>
    <row r="1180" spans="1:5" x14ac:dyDescent="0.3">
      <c r="A1180" t="s">
        <v>8547</v>
      </c>
      <c r="B1180" t="s">
        <v>8548</v>
      </c>
      <c r="C1180" t="s">
        <v>2696</v>
      </c>
      <c r="D1180" t="s">
        <v>2696</v>
      </c>
      <c r="E1180" t="s">
        <v>8549</v>
      </c>
    </row>
    <row r="1181" spans="1:5" x14ac:dyDescent="0.3">
      <c r="A1181" t="s">
        <v>9458</v>
      </c>
      <c r="B1181" t="s">
        <v>9459</v>
      </c>
      <c r="C1181" t="s">
        <v>2696</v>
      </c>
      <c r="D1181" t="s">
        <v>2696</v>
      </c>
      <c r="E1181" t="s">
        <v>9460</v>
      </c>
    </row>
    <row r="1182" spans="1:5" x14ac:dyDescent="0.3">
      <c r="A1182" t="s">
        <v>9480</v>
      </c>
      <c r="B1182" t="s">
        <v>9481</v>
      </c>
      <c r="C1182" t="s">
        <v>2696</v>
      </c>
      <c r="D1182" t="s">
        <v>2696</v>
      </c>
      <c r="E1182" t="s">
        <v>9482</v>
      </c>
    </row>
    <row r="1183" spans="1:5" x14ac:dyDescent="0.3">
      <c r="A1183" t="s">
        <v>10001</v>
      </c>
      <c r="B1183" t="s">
        <v>3153</v>
      </c>
      <c r="C1183" t="s">
        <v>4625</v>
      </c>
      <c r="D1183" t="s">
        <v>133</v>
      </c>
      <c r="E1183" t="s">
        <v>10002</v>
      </c>
    </row>
    <row r="1184" spans="1:5" x14ac:dyDescent="0.3">
      <c r="A1184" t="s">
        <v>10023</v>
      </c>
      <c r="B1184" t="s">
        <v>10024</v>
      </c>
      <c r="C1184" t="s">
        <v>6574</v>
      </c>
      <c r="D1184" t="s">
        <v>2852</v>
      </c>
      <c r="E1184" t="s">
        <v>10025</v>
      </c>
    </row>
    <row r="1185" spans="1:5" x14ac:dyDescent="0.3">
      <c r="A1185" t="s">
        <v>7987</v>
      </c>
      <c r="B1185" t="s">
        <v>7988</v>
      </c>
      <c r="C1185" t="s">
        <v>2696</v>
      </c>
      <c r="D1185" t="s">
        <v>2696</v>
      </c>
      <c r="E1185" t="s">
        <v>7989</v>
      </c>
    </row>
    <row r="1186" spans="1:5" x14ac:dyDescent="0.3">
      <c r="A1186" t="s">
        <v>8010</v>
      </c>
      <c r="B1186" t="s">
        <v>8011</v>
      </c>
      <c r="C1186" t="s">
        <v>2696</v>
      </c>
      <c r="D1186" t="s">
        <v>2696</v>
      </c>
      <c r="E1186" t="s">
        <v>8012</v>
      </c>
    </row>
    <row r="1187" spans="1:5" x14ac:dyDescent="0.3">
      <c r="A1187" t="s">
        <v>8571</v>
      </c>
      <c r="B1187" t="s">
        <v>8572</v>
      </c>
      <c r="C1187" t="s">
        <v>2696</v>
      </c>
      <c r="D1187" t="s">
        <v>2696</v>
      </c>
      <c r="E1187" t="s">
        <v>8573</v>
      </c>
    </row>
    <row r="1188" spans="1:5" x14ac:dyDescent="0.3">
      <c r="A1188" t="s">
        <v>8595</v>
      </c>
      <c r="B1188" t="s">
        <v>8596</v>
      </c>
      <c r="C1188" t="s">
        <v>2696</v>
      </c>
      <c r="D1188" t="s">
        <v>2696</v>
      </c>
      <c r="E1188" t="s">
        <v>8597</v>
      </c>
    </row>
    <row r="1189" spans="1:5" x14ac:dyDescent="0.3">
      <c r="A1189" t="s">
        <v>8214</v>
      </c>
      <c r="B1189" t="s">
        <v>8215</v>
      </c>
      <c r="C1189" t="s">
        <v>2696</v>
      </c>
      <c r="D1189" t="s">
        <v>2696</v>
      </c>
      <c r="E1189" t="s">
        <v>8216</v>
      </c>
    </row>
    <row r="1190" spans="1:5" x14ac:dyDescent="0.3">
      <c r="A1190" t="s">
        <v>8237</v>
      </c>
      <c r="B1190" t="s">
        <v>8238</v>
      </c>
      <c r="C1190" t="s">
        <v>2696</v>
      </c>
      <c r="D1190" t="s">
        <v>2696</v>
      </c>
      <c r="E1190" t="s">
        <v>8239</v>
      </c>
    </row>
    <row r="1191" spans="1:5" x14ac:dyDescent="0.3">
      <c r="A1191" t="s">
        <v>9503</v>
      </c>
      <c r="B1191" t="s">
        <v>9504</v>
      </c>
      <c r="C1191" t="s">
        <v>2696</v>
      </c>
      <c r="D1191" t="s">
        <v>2696</v>
      </c>
      <c r="E1191" t="s">
        <v>9505</v>
      </c>
    </row>
    <row r="1192" spans="1:5" x14ac:dyDescent="0.3">
      <c r="A1192" t="s">
        <v>9526</v>
      </c>
      <c r="B1192" t="s">
        <v>9399</v>
      </c>
      <c r="C1192" t="s">
        <v>2696</v>
      </c>
      <c r="D1192" t="s">
        <v>2696</v>
      </c>
      <c r="E1192" t="s">
        <v>9527</v>
      </c>
    </row>
    <row r="1193" spans="1:5" x14ac:dyDescent="0.3">
      <c r="A1193" t="s">
        <v>10046</v>
      </c>
      <c r="B1193" t="s">
        <v>6284</v>
      </c>
      <c r="C1193" t="s">
        <v>2696</v>
      </c>
      <c r="D1193" t="s">
        <v>2696</v>
      </c>
      <c r="E1193" t="s">
        <v>10047</v>
      </c>
    </row>
    <row r="1194" spans="1:5" x14ac:dyDescent="0.3">
      <c r="A1194" t="s">
        <v>10068</v>
      </c>
      <c r="B1194" t="s">
        <v>6284</v>
      </c>
      <c r="C1194" t="s">
        <v>2696</v>
      </c>
      <c r="D1194" t="s">
        <v>2696</v>
      </c>
      <c r="E1194" t="s">
        <v>10069</v>
      </c>
    </row>
    <row r="1195" spans="1:5" x14ac:dyDescent="0.3">
      <c r="A1195" t="s">
        <v>8618</v>
      </c>
      <c r="B1195" t="s">
        <v>8619</v>
      </c>
      <c r="C1195" t="s">
        <v>2696</v>
      </c>
      <c r="D1195" t="s">
        <v>2696</v>
      </c>
      <c r="E1195" t="s">
        <v>8620</v>
      </c>
    </row>
    <row r="1196" spans="1:5" x14ac:dyDescent="0.3">
      <c r="A1196" t="s">
        <v>8642</v>
      </c>
      <c r="B1196" t="s">
        <v>8643</v>
      </c>
      <c r="C1196" t="s">
        <v>4246</v>
      </c>
      <c r="D1196" t="s">
        <v>2709</v>
      </c>
      <c r="E1196" t="s">
        <v>8644</v>
      </c>
    </row>
    <row r="1197" spans="1:5" x14ac:dyDescent="0.3">
      <c r="A1197" t="s">
        <v>8034</v>
      </c>
      <c r="B1197" t="s">
        <v>8035</v>
      </c>
      <c r="C1197" t="s">
        <v>2696</v>
      </c>
      <c r="D1197" t="s">
        <v>2696</v>
      </c>
      <c r="E1197" t="s">
        <v>8036</v>
      </c>
    </row>
    <row r="1198" spans="1:5" x14ac:dyDescent="0.3">
      <c r="A1198" t="s">
        <v>8057</v>
      </c>
      <c r="B1198" t="s">
        <v>8058</v>
      </c>
      <c r="C1198" t="s">
        <v>2696</v>
      </c>
      <c r="D1198" t="s">
        <v>2696</v>
      </c>
      <c r="E1198" t="s">
        <v>8059</v>
      </c>
    </row>
    <row r="1199" spans="1:5" x14ac:dyDescent="0.3">
      <c r="A1199" t="s">
        <v>7927</v>
      </c>
      <c r="B1199" t="s">
        <v>7928</v>
      </c>
      <c r="C1199" t="s">
        <v>2696</v>
      </c>
      <c r="D1199" t="s">
        <v>2696</v>
      </c>
      <c r="E1199" t="s">
        <v>7929</v>
      </c>
    </row>
    <row r="1200" spans="1:5" x14ac:dyDescent="0.3">
      <c r="A1200" t="s">
        <v>7951</v>
      </c>
      <c r="B1200" t="s">
        <v>7952</v>
      </c>
      <c r="C1200" t="s">
        <v>2696</v>
      </c>
      <c r="D1200" t="s">
        <v>2696</v>
      </c>
      <c r="E1200" t="s">
        <v>7953</v>
      </c>
    </row>
    <row r="1201" spans="1:5" x14ac:dyDescent="0.3">
      <c r="A1201" t="s">
        <v>9548</v>
      </c>
      <c r="B1201" t="s">
        <v>9549</v>
      </c>
      <c r="C1201" t="s">
        <v>2696</v>
      </c>
      <c r="D1201" t="s">
        <v>2696</v>
      </c>
      <c r="E1201" t="s">
        <v>9550</v>
      </c>
    </row>
    <row r="1202" spans="1:5" x14ac:dyDescent="0.3">
      <c r="A1202" t="s">
        <v>9572</v>
      </c>
      <c r="B1202" t="s">
        <v>9573</v>
      </c>
      <c r="C1202" t="s">
        <v>2696</v>
      </c>
      <c r="D1202" t="s">
        <v>2696</v>
      </c>
      <c r="E1202" t="s">
        <v>9574</v>
      </c>
    </row>
    <row r="1203" spans="1:5" x14ac:dyDescent="0.3">
      <c r="A1203" t="s">
        <v>10090</v>
      </c>
      <c r="B1203" t="s">
        <v>10091</v>
      </c>
      <c r="C1203" t="s">
        <v>7344</v>
      </c>
      <c r="D1203" t="s">
        <v>2704</v>
      </c>
      <c r="E1203" t="s">
        <v>10092</v>
      </c>
    </row>
    <row r="1204" spans="1:5" x14ac:dyDescent="0.3">
      <c r="A1204" t="s">
        <v>10112</v>
      </c>
      <c r="B1204" t="s">
        <v>10113</v>
      </c>
      <c r="C1204" t="s">
        <v>7344</v>
      </c>
      <c r="D1204" t="s">
        <v>2704</v>
      </c>
      <c r="E1204" t="s">
        <v>10114</v>
      </c>
    </row>
    <row r="1205" spans="1:5" x14ac:dyDescent="0.3">
      <c r="A1205" t="s">
        <v>8665</v>
      </c>
      <c r="B1205" t="s">
        <v>8666</v>
      </c>
      <c r="C1205" t="s">
        <v>4246</v>
      </c>
      <c r="D1205" t="s">
        <v>2709</v>
      </c>
      <c r="E1205" t="s">
        <v>8667</v>
      </c>
    </row>
    <row r="1206" spans="1:5" x14ac:dyDescent="0.3">
      <c r="A1206" t="s">
        <v>8689</v>
      </c>
      <c r="B1206" t="s">
        <v>8690</v>
      </c>
      <c r="C1206" t="s">
        <v>2696</v>
      </c>
      <c r="D1206" t="s">
        <v>2696</v>
      </c>
      <c r="E1206" t="s">
        <v>8691</v>
      </c>
    </row>
    <row r="1207" spans="1:5" x14ac:dyDescent="0.3">
      <c r="A1207" t="s">
        <v>8080</v>
      </c>
      <c r="B1207" t="s">
        <v>3308</v>
      </c>
      <c r="C1207" t="s">
        <v>2696</v>
      </c>
      <c r="D1207" t="s">
        <v>2696</v>
      </c>
      <c r="E1207" t="s">
        <v>8081</v>
      </c>
    </row>
    <row r="1208" spans="1:5" x14ac:dyDescent="0.3">
      <c r="A1208" t="s">
        <v>7975</v>
      </c>
      <c r="B1208" t="s">
        <v>7976</v>
      </c>
      <c r="C1208" t="s">
        <v>2696</v>
      </c>
      <c r="D1208" t="s">
        <v>2696</v>
      </c>
      <c r="E1208" t="s">
        <v>7977</v>
      </c>
    </row>
    <row r="1209" spans="1:5" x14ac:dyDescent="0.3">
      <c r="A1209" t="s">
        <v>9594</v>
      </c>
      <c r="B1209" t="s">
        <v>9595</v>
      </c>
      <c r="C1209" t="s">
        <v>2696</v>
      </c>
      <c r="D1209" t="s">
        <v>2696</v>
      </c>
      <c r="E1209" t="s">
        <v>9596</v>
      </c>
    </row>
    <row r="1210" spans="1:5" x14ac:dyDescent="0.3">
      <c r="A1210" t="s">
        <v>9618</v>
      </c>
      <c r="B1210" t="s">
        <v>9619</v>
      </c>
      <c r="C1210" t="s">
        <v>2696</v>
      </c>
      <c r="D1210" t="s">
        <v>2696</v>
      </c>
      <c r="E1210" t="s">
        <v>9620</v>
      </c>
    </row>
    <row r="1211" spans="1:5" x14ac:dyDescent="0.3">
      <c r="A1211" t="s">
        <v>10135</v>
      </c>
      <c r="B1211" t="s">
        <v>10136</v>
      </c>
      <c r="C1211" t="s">
        <v>2696</v>
      </c>
      <c r="D1211" t="s">
        <v>2696</v>
      </c>
      <c r="E1211" t="s">
        <v>10137</v>
      </c>
    </row>
    <row r="1212" spans="1:5" x14ac:dyDescent="0.3">
      <c r="A1212" t="s">
        <v>10158</v>
      </c>
      <c r="B1212" t="s">
        <v>10159</v>
      </c>
      <c r="C1212" t="s">
        <v>4229</v>
      </c>
      <c r="D1212" t="s">
        <v>2841</v>
      </c>
      <c r="E1212" t="s">
        <v>10160</v>
      </c>
    </row>
    <row r="1213" spans="1:5" x14ac:dyDescent="0.3">
      <c r="A1213" t="s">
        <v>8711</v>
      </c>
      <c r="B1213" t="s">
        <v>8712</v>
      </c>
      <c r="C1213" t="s">
        <v>2696</v>
      </c>
      <c r="D1213" t="s">
        <v>2696</v>
      </c>
      <c r="E1213" t="s">
        <v>8713</v>
      </c>
    </row>
    <row r="1214" spans="1:5" x14ac:dyDescent="0.3">
      <c r="A1214" t="s">
        <v>2509</v>
      </c>
      <c r="B1214" t="s">
        <v>2510</v>
      </c>
      <c r="C1214" t="s">
        <v>1501</v>
      </c>
      <c r="D1214" t="s">
        <v>1088</v>
      </c>
      <c r="E1214" t="s">
        <v>2511</v>
      </c>
    </row>
    <row r="1215" spans="1:5" x14ac:dyDescent="0.3">
      <c r="A1215" t="s">
        <v>7999</v>
      </c>
      <c r="B1215" t="s">
        <v>8000</v>
      </c>
      <c r="C1215" t="s">
        <v>2696</v>
      </c>
      <c r="D1215" t="s">
        <v>2696</v>
      </c>
      <c r="E1215" t="s">
        <v>8001</v>
      </c>
    </row>
    <row r="1216" spans="1:5" x14ac:dyDescent="0.3">
      <c r="A1216" t="s">
        <v>8022</v>
      </c>
      <c r="B1216" t="s">
        <v>8023</v>
      </c>
      <c r="C1216" t="s">
        <v>2696</v>
      </c>
      <c r="D1216" t="s">
        <v>2696</v>
      </c>
      <c r="E1216" t="s">
        <v>8024</v>
      </c>
    </row>
    <row r="1217" spans="1:5" x14ac:dyDescent="0.3">
      <c r="A1217" t="s">
        <v>9641</v>
      </c>
      <c r="B1217" t="s">
        <v>9642</v>
      </c>
      <c r="C1217" t="s">
        <v>2696</v>
      </c>
      <c r="D1217" t="s">
        <v>2696</v>
      </c>
      <c r="E1217" t="s">
        <v>9643</v>
      </c>
    </row>
    <row r="1218" spans="1:5" x14ac:dyDescent="0.3">
      <c r="A1218" t="s">
        <v>9663</v>
      </c>
      <c r="B1218" t="s">
        <v>9664</v>
      </c>
      <c r="C1218" t="s">
        <v>2696</v>
      </c>
      <c r="D1218" t="s">
        <v>2696</v>
      </c>
      <c r="E1218" t="s">
        <v>9665</v>
      </c>
    </row>
    <row r="1219" spans="1:5" x14ac:dyDescent="0.3">
      <c r="A1219" t="s">
        <v>8259</v>
      </c>
      <c r="B1219" t="s">
        <v>8260</v>
      </c>
      <c r="C1219" t="s">
        <v>2696</v>
      </c>
      <c r="D1219" t="s">
        <v>2696</v>
      </c>
      <c r="E1219" t="s">
        <v>8261</v>
      </c>
    </row>
    <row r="1220" spans="1:5" x14ac:dyDescent="0.3">
      <c r="A1220" t="s">
        <v>8282</v>
      </c>
      <c r="B1220" t="s">
        <v>8283</v>
      </c>
      <c r="C1220" t="s">
        <v>2696</v>
      </c>
      <c r="D1220" t="s">
        <v>2696</v>
      </c>
      <c r="E1220" t="s">
        <v>8284</v>
      </c>
    </row>
    <row r="1221" spans="1:5" x14ac:dyDescent="0.3">
      <c r="A1221" t="s">
        <v>8716</v>
      </c>
      <c r="B1221" t="s">
        <v>8717</v>
      </c>
      <c r="C1221" t="s">
        <v>134</v>
      </c>
      <c r="D1221" t="s">
        <v>133</v>
      </c>
      <c r="E1221" t="s">
        <v>8718</v>
      </c>
    </row>
    <row r="1222" spans="1:5" x14ac:dyDescent="0.3">
      <c r="A1222" t="s">
        <v>10182</v>
      </c>
      <c r="B1222" t="s">
        <v>5616</v>
      </c>
      <c r="C1222" t="s">
        <v>4229</v>
      </c>
      <c r="D1222" t="s">
        <v>2841</v>
      </c>
      <c r="E1222" t="s">
        <v>10183</v>
      </c>
    </row>
    <row r="1223" spans="1:5" x14ac:dyDescent="0.3">
      <c r="A1223" t="s">
        <v>10202</v>
      </c>
      <c r="B1223" t="s">
        <v>10203</v>
      </c>
      <c r="C1223" t="s">
        <v>3768</v>
      </c>
      <c r="D1223" t="s">
        <v>2852</v>
      </c>
      <c r="E1223" t="s">
        <v>10204</v>
      </c>
    </row>
    <row r="1224" spans="1:5" x14ac:dyDescent="0.3">
      <c r="A1224" t="s">
        <v>9686</v>
      </c>
      <c r="B1224" t="s">
        <v>9687</v>
      </c>
      <c r="C1224" t="s">
        <v>2696</v>
      </c>
      <c r="D1224" t="s">
        <v>2696</v>
      </c>
      <c r="E1224" t="s">
        <v>9688</v>
      </c>
    </row>
    <row r="1225" spans="1:5" x14ac:dyDescent="0.3">
      <c r="A1225" t="s">
        <v>8347</v>
      </c>
      <c r="B1225" t="s">
        <v>8348</v>
      </c>
      <c r="C1225" t="s">
        <v>2696</v>
      </c>
      <c r="D1225" t="s">
        <v>2696</v>
      </c>
      <c r="E1225" t="s">
        <v>8349</v>
      </c>
    </row>
    <row r="1226" spans="1:5" x14ac:dyDescent="0.3">
      <c r="A1226" t="s">
        <v>8371</v>
      </c>
      <c r="B1226" t="s">
        <v>8372</v>
      </c>
      <c r="C1226" t="s">
        <v>2696</v>
      </c>
      <c r="D1226" t="s">
        <v>2696</v>
      </c>
      <c r="E1226" t="s">
        <v>8373</v>
      </c>
    </row>
    <row r="1227" spans="1:5" x14ac:dyDescent="0.3">
      <c r="A1227" t="s">
        <v>8739</v>
      </c>
      <c r="B1227" t="s">
        <v>8740</v>
      </c>
      <c r="C1227" t="s">
        <v>2696</v>
      </c>
      <c r="D1227" t="s">
        <v>2696</v>
      </c>
      <c r="E1227" t="s">
        <v>8741</v>
      </c>
    </row>
    <row r="1228" spans="1:5" x14ac:dyDescent="0.3">
      <c r="A1228" t="s">
        <v>8763</v>
      </c>
      <c r="B1228" t="s">
        <v>8764</v>
      </c>
      <c r="C1228" t="s">
        <v>3860</v>
      </c>
      <c r="D1228" t="s">
        <v>2704</v>
      </c>
      <c r="E1228" t="s">
        <v>8765</v>
      </c>
    </row>
    <row r="1229" spans="1:5" x14ac:dyDescent="0.3">
      <c r="A1229" t="s">
        <v>2686</v>
      </c>
      <c r="B1229" t="s">
        <v>2687</v>
      </c>
      <c r="C1229" t="s">
        <v>1543</v>
      </c>
      <c r="D1229" t="s">
        <v>1088</v>
      </c>
      <c r="E1229" t="s">
        <v>2688</v>
      </c>
    </row>
    <row r="1230" spans="1:5" x14ac:dyDescent="0.3">
      <c r="A1230" t="s">
        <v>10222</v>
      </c>
      <c r="B1230" t="s">
        <v>3726</v>
      </c>
      <c r="C1230" t="s">
        <v>2696</v>
      </c>
      <c r="D1230" t="s">
        <v>2696</v>
      </c>
      <c r="E1230" t="s">
        <v>10223</v>
      </c>
    </row>
    <row r="1231" spans="1:5" x14ac:dyDescent="0.3">
      <c r="A1231" t="s">
        <v>8394</v>
      </c>
      <c r="B1231" t="s">
        <v>8395</v>
      </c>
      <c r="C1231" t="s">
        <v>2696</v>
      </c>
      <c r="D1231" t="s">
        <v>2696</v>
      </c>
      <c r="E1231" t="s">
        <v>8396</v>
      </c>
    </row>
    <row r="1232" spans="1:5" x14ac:dyDescent="0.3">
      <c r="A1232" t="s">
        <v>8416</v>
      </c>
      <c r="B1232" t="s">
        <v>8417</v>
      </c>
      <c r="C1232" t="s">
        <v>2696</v>
      </c>
      <c r="D1232" t="s">
        <v>2696</v>
      </c>
      <c r="E1232" t="s">
        <v>8418</v>
      </c>
    </row>
    <row r="1233" spans="1:5" x14ac:dyDescent="0.3">
      <c r="A1233" t="s">
        <v>8787</v>
      </c>
      <c r="B1233" t="s">
        <v>5037</v>
      </c>
      <c r="C1233" t="s">
        <v>4086</v>
      </c>
      <c r="D1233" t="s">
        <v>2704</v>
      </c>
      <c r="E1233" t="s">
        <v>8788</v>
      </c>
    </row>
    <row r="1234" spans="1:5" x14ac:dyDescent="0.3">
      <c r="A1234" t="s">
        <v>8808</v>
      </c>
      <c r="B1234" t="s">
        <v>8809</v>
      </c>
      <c r="C1234" t="s">
        <v>2703</v>
      </c>
      <c r="D1234" t="s">
        <v>2704</v>
      </c>
      <c r="E1234" t="s">
        <v>8810</v>
      </c>
    </row>
    <row r="1235" spans="1:5" x14ac:dyDescent="0.3">
      <c r="A1235" t="s">
        <v>10245</v>
      </c>
      <c r="B1235" t="s">
        <v>10246</v>
      </c>
      <c r="C1235" t="s">
        <v>2696</v>
      </c>
      <c r="D1235" t="s">
        <v>2696</v>
      </c>
      <c r="E1235" t="s">
        <v>10247</v>
      </c>
    </row>
    <row r="1236" spans="1:5" x14ac:dyDescent="0.3">
      <c r="A1236" t="s">
        <v>8101</v>
      </c>
      <c r="B1236" t="s">
        <v>8102</v>
      </c>
      <c r="C1236" t="s">
        <v>2696</v>
      </c>
      <c r="D1236" t="s">
        <v>2696</v>
      </c>
      <c r="E1236" t="s">
        <v>8103</v>
      </c>
    </row>
    <row r="1237" spans="1:5" x14ac:dyDescent="0.3">
      <c r="A1237" t="s">
        <v>8123</v>
      </c>
      <c r="B1237" t="s">
        <v>8124</v>
      </c>
      <c r="C1237" t="s">
        <v>6349</v>
      </c>
      <c r="D1237" t="s">
        <v>2841</v>
      </c>
      <c r="E1237" t="s">
        <v>8125</v>
      </c>
    </row>
    <row r="1238" spans="1:5" x14ac:dyDescent="0.3">
      <c r="A1238" t="s">
        <v>8306</v>
      </c>
      <c r="B1238" t="s">
        <v>8307</v>
      </c>
      <c r="C1238" t="s">
        <v>2696</v>
      </c>
      <c r="D1238" t="s">
        <v>2696</v>
      </c>
      <c r="E1238" t="s">
        <v>8308</v>
      </c>
    </row>
    <row r="1239" spans="1:5" x14ac:dyDescent="0.3">
      <c r="A1239" t="s">
        <v>8330</v>
      </c>
      <c r="B1239" t="s">
        <v>8331</v>
      </c>
      <c r="C1239" t="s">
        <v>2696</v>
      </c>
      <c r="D1239" t="s">
        <v>2696</v>
      </c>
      <c r="E1239" t="s">
        <v>8332</v>
      </c>
    </row>
    <row r="1240" spans="1:5" x14ac:dyDescent="0.3">
      <c r="A1240" t="s">
        <v>9710</v>
      </c>
      <c r="B1240" t="s">
        <v>9711</v>
      </c>
      <c r="C1240" t="s">
        <v>2696</v>
      </c>
      <c r="D1240" t="s">
        <v>2696</v>
      </c>
      <c r="E1240" t="s">
        <v>9712</v>
      </c>
    </row>
    <row r="1241" spans="1:5" x14ac:dyDescent="0.3">
      <c r="A1241" t="s">
        <v>9732</v>
      </c>
      <c r="B1241" t="s">
        <v>9399</v>
      </c>
      <c r="C1241" t="s">
        <v>2696</v>
      </c>
      <c r="D1241" t="s">
        <v>2696</v>
      </c>
      <c r="E1241" t="s">
        <v>9733</v>
      </c>
    </row>
    <row r="1242" spans="1:5" x14ac:dyDescent="0.3">
      <c r="A1242" t="s">
        <v>8440</v>
      </c>
      <c r="B1242" t="s">
        <v>8441</v>
      </c>
      <c r="C1242" t="s">
        <v>2696</v>
      </c>
      <c r="D1242" t="s">
        <v>2696</v>
      </c>
      <c r="E1242" t="s">
        <v>8442</v>
      </c>
    </row>
    <row r="1243" spans="1:5" x14ac:dyDescent="0.3">
      <c r="A1243" t="s">
        <v>2689</v>
      </c>
      <c r="B1243" t="s">
        <v>2690</v>
      </c>
      <c r="C1243" t="s">
        <v>1209</v>
      </c>
      <c r="D1243" t="s">
        <v>1088</v>
      </c>
      <c r="E1243" t="s">
        <v>2691</v>
      </c>
    </row>
    <row r="1244" spans="1:5" x14ac:dyDescent="0.3">
      <c r="A1244" t="s">
        <v>10277</v>
      </c>
      <c r="B1244" t="s">
        <v>10278</v>
      </c>
      <c r="C1244" t="s">
        <v>4086</v>
      </c>
      <c r="D1244" t="s">
        <v>2704</v>
      </c>
      <c r="E1244" t="s">
        <v>10279</v>
      </c>
    </row>
    <row r="1245" spans="1:5" x14ac:dyDescent="0.3">
      <c r="A1245" t="s">
        <v>8829</v>
      </c>
      <c r="B1245" t="s">
        <v>8830</v>
      </c>
      <c r="C1245" t="s">
        <v>2696</v>
      </c>
      <c r="D1245" t="s">
        <v>2696</v>
      </c>
      <c r="E1245" t="s">
        <v>8831</v>
      </c>
    </row>
    <row r="1246" spans="1:5" x14ac:dyDescent="0.3">
      <c r="A1246" t="s">
        <v>8851</v>
      </c>
      <c r="B1246" t="s">
        <v>8852</v>
      </c>
      <c r="C1246" t="s">
        <v>3758</v>
      </c>
      <c r="D1246" t="s">
        <v>3712</v>
      </c>
      <c r="E1246" t="s">
        <v>8853</v>
      </c>
    </row>
    <row r="1247" spans="1:5" x14ac:dyDescent="0.3">
      <c r="A1247" t="s">
        <v>9755</v>
      </c>
      <c r="B1247" t="s">
        <v>9756</v>
      </c>
      <c r="C1247" t="s">
        <v>7682</v>
      </c>
      <c r="D1247" t="s">
        <v>3712</v>
      </c>
      <c r="E1247" t="s">
        <v>9757</v>
      </c>
    </row>
    <row r="1248" spans="1:5" x14ac:dyDescent="0.3">
      <c r="A1248" t="s">
        <v>9776</v>
      </c>
      <c r="B1248" t="s">
        <v>9777</v>
      </c>
      <c r="C1248" t="s">
        <v>6349</v>
      </c>
      <c r="D1248" t="s">
        <v>2841</v>
      </c>
      <c r="E1248" t="s">
        <v>9778</v>
      </c>
    </row>
    <row r="1249" spans="1:5" x14ac:dyDescent="0.3">
      <c r="A1249" t="s">
        <v>8045</v>
      </c>
      <c r="B1249" t="s">
        <v>8046</v>
      </c>
      <c r="C1249" t="s">
        <v>2696</v>
      </c>
      <c r="D1249" t="s">
        <v>2696</v>
      </c>
      <c r="E1249" t="s">
        <v>8047</v>
      </c>
    </row>
    <row r="1250" spans="1:5" x14ac:dyDescent="0.3">
      <c r="A1250" t="s">
        <v>8069</v>
      </c>
      <c r="B1250" t="s">
        <v>2196</v>
      </c>
      <c r="C1250" t="s">
        <v>2696</v>
      </c>
      <c r="D1250" t="s">
        <v>2696</v>
      </c>
      <c r="E1250" t="s">
        <v>8070</v>
      </c>
    </row>
    <row r="1251" spans="1:5" x14ac:dyDescent="0.3">
      <c r="A1251" t="s">
        <v>8464</v>
      </c>
      <c r="B1251" t="s">
        <v>8465</v>
      </c>
      <c r="C1251" t="s">
        <v>2696</v>
      </c>
      <c r="D1251" t="s">
        <v>2696</v>
      </c>
      <c r="E1251" t="s">
        <v>8466</v>
      </c>
    </row>
    <row r="1252" spans="1:5" x14ac:dyDescent="0.3">
      <c r="A1252" t="s">
        <v>8488</v>
      </c>
      <c r="B1252" t="s">
        <v>8489</v>
      </c>
      <c r="C1252" t="s">
        <v>2696</v>
      </c>
      <c r="D1252" t="s">
        <v>2696</v>
      </c>
      <c r="E1252" t="s">
        <v>8490</v>
      </c>
    </row>
    <row r="1253" spans="1:5" x14ac:dyDescent="0.3">
      <c r="A1253" t="s">
        <v>10297</v>
      </c>
      <c r="B1253" t="s">
        <v>10298</v>
      </c>
      <c r="C1253" t="s">
        <v>7397</v>
      </c>
      <c r="D1253" t="s">
        <v>2704</v>
      </c>
      <c r="E1253" t="s">
        <v>10299</v>
      </c>
    </row>
    <row r="1254" spans="1:5" x14ac:dyDescent="0.3">
      <c r="A1254" t="s">
        <v>10318</v>
      </c>
      <c r="B1254" t="s">
        <v>10319</v>
      </c>
      <c r="C1254" t="s">
        <v>2708</v>
      </c>
      <c r="D1254" t="s">
        <v>2709</v>
      </c>
      <c r="E1254" t="s">
        <v>10320</v>
      </c>
    </row>
    <row r="1255" spans="1:5" x14ac:dyDescent="0.3">
      <c r="A1255" t="s">
        <v>9799</v>
      </c>
      <c r="B1255" t="s">
        <v>9800</v>
      </c>
      <c r="C1255" t="s">
        <v>2840</v>
      </c>
      <c r="D1255" t="s">
        <v>2841</v>
      </c>
      <c r="E1255" t="s">
        <v>9801</v>
      </c>
    </row>
    <row r="1256" spans="1:5" x14ac:dyDescent="0.3">
      <c r="A1256" t="s">
        <v>9823</v>
      </c>
      <c r="B1256" t="s">
        <v>9824</v>
      </c>
      <c r="C1256" t="s">
        <v>2840</v>
      </c>
      <c r="D1256" t="s">
        <v>2841</v>
      </c>
      <c r="E1256" t="s">
        <v>9825</v>
      </c>
    </row>
    <row r="1257" spans="1:5" x14ac:dyDescent="0.3">
      <c r="A1257" t="s">
        <v>8089</v>
      </c>
      <c r="B1257" t="s">
        <v>8090</v>
      </c>
      <c r="C1257" t="s">
        <v>2696</v>
      </c>
      <c r="D1257" t="s">
        <v>2696</v>
      </c>
      <c r="E1257" t="s">
        <v>8091</v>
      </c>
    </row>
    <row r="1258" spans="1:5" x14ac:dyDescent="0.3">
      <c r="A1258" t="s">
        <v>8113</v>
      </c>
      <c r="B1258" t="s">
        <v>8114</v>
      </c>
      <c r="C1258" t="s">
        <v>2696</v>
      </c>
      <c r="D1258" t="s">
        <v>2696</v>
      </c>
      <c r="E1258" t="s">
        <v>8115</v>
      </c>
    </row>
    <row r="1259" spans="1:5" x14ac:dyDescent="0.3">
      <c r="A1259" t="s">
        <v>8510</v>
      </c>
      <c r="B1259" t="s">
        <v>4572</v>
      </c>
      <c r="C1259" t="s">
        <v>2696</v>
      </c>
      <c r="D1259" t="s">
        <v>2696</v>
      </c>
      <c r="E1259" t="s">
        <v>8511</v>
      </c>
    </row>
    <row r="1260" spans="1:5" x14ac:dyDescent="0.3">
      <c r="A1260" t="s">
        <v>8533</v>
      </c>
      <c r="B1260" t="s">
        <v>7833</v>
      </c>
      <c r="C1260" t="s">
        <v>2696</v>
      </c>
      <c r="D1260" t="s">
        <v>2696</v>
      </c>
      <c r="E1260" t="s">
        <v>8534</v>
      </c>
    </row>
    <row r="1261" spans="1:5" x14ac:dyDescent="0.3">
      <c r="A1261" t="s">
        <v>8875</v>
      </c>
      <c r="B1261" t="s">
        <v>8876</v>
      </c>
      <c r="C1261" t="s">
        <v>3850</v>
      </c>
      <c r="D1261" t="s">
        <v>3712</v>
      </c>
      <c r="E1261" t="s">
        <v>8877</v>
      </c>
    </row>
    <row r="1262" spans="1:5" x14ac:dyDescent="0.3">
      <c r="A1262" t="s">
        <v>8899</v>
      </c>
      <c r="B1262" t="s">
        <v>8900</v>
      </c>
      <c r="C1262" t="s">
        <v>3860</v>
      </c>
      <c r="D1262" t="s">
        <v>2704</v>
      </c>
      <c r="E1262" t="s">
        <v>8901</v>
      </c>
    </row>
    <row r="1263" spans="1:5" x14ac:dyDescent="0.3">
      <c r="A1263" t="s">
        <v>9846</v>
      </c>
      <c r="B1263" t="s">
        <v>9847</v>
      </c>
      <c r="C1263" t="s">
        <v>4469</v>
      </c>
      <c r="D1263" t="s">
        <v>2709</v>
      </c>
      <c r="E1263" t="s">
        <v>9848</v>
      </c>
    </row>
    <row r="1264" spans="1:5" x14ac:dyDescent="0.3">
      <c r="A1264" t="s">
        <v>9869</v>
      </c>
      <c r="B1264" t="s">
        <v>9870</v>
      </c>
      <c r="C1264" t="s">
        <v>2696</v>
      </c>
      <c r="D1264" t="s">
        <v>2696</v>
      </c>
      <c r="E1264" t="s">
        <v>9871</v>
      </c>
    </row>
    <row r="1265" spans="1:5" x14ac:dyDescent="0.3">
      <c r="A1265" t="s">
        <v>10335</v>
      </c>
      <c r="B1265" t="s">
        <v>10336</v>
      </c>
      <c r="C1265" t="s">
        <v>2708</v>
      </c>
      <c r="D1265" t="s">
        <v>2709</v>
      </c>
      <c r="E1265" t="s">
        <v>10337</v>
      </c>
    </row>
    <row r="1266" spans="1:5" x14ac:dyDescent="0.3">
      <c r="A1266" t="s">
        <v>5272</v>
      </c>
      <c r="B1266" t="s">
        <v>5273</v>
      </c>
      <c r="C1266" t="s">
        <v>2696</v>
      </c>
      <c r="D1266" t="s">
        <v>2696</v>
      </c>
      <c r="E1266" t="s">
        <v>5274</v>
      </c>
    </row>
    <row r="1267" spans="1:5" x14ac:dyDescent="0.3">
      <c r="A1267" t="s">
        <v>8147</v>
      </c>
      <c r="B1267" t="s">
        <v>8148</v>
      </c>
      <c r="C1267" t="s">
        <v>3860</v>
      </c>
      <c r="D1267" t="s">
        <v>2704</v>
      </c>
      <c r="E1267" t="s">
        <v>8149</v>
      </c>
    </row>
    <row r="1268" spans="1:5" x14ac:dyDescent="0.3">
      <c r="A1268" t="s">
        <v>8170</v>
      </c>
      <c r="B1268" t="s">
        <v>8171</v>
      </c>
      <c r="C1268" t="s">
        <v>2696</v>
      </c>
      <c r="D1268" t="s">
        <v>2696</v>
      </c>
      <c r="E1268" t="s">
        <v>8172</v>
      </c>
    </row>
    <row r="1269" spans="1:5" x14ac:dyDescent="0.3">
      <c r="A1269" t="s">
        <v>5296</v>
      </c>
      <c r="B1269" t="s">
        <v>5297</v>
      </c>
      <c r="C1269" t="s">
        <v>3860</v>
      </c>
      <c r="D1269" t="s">
        <v>2704</v>
      </c>
      <c r="E1269" t="s">
        <v>5298</v>
      </c>
    </row>
    <row r="1270" spans="1:5" x14ac:dyDescent="0.3">
      <c r="A1270" t="s">
        <v>5319</v>
      </c>
      <c r="B1270" t="s">
        <v>5320</v>
      </c>
      <c r="C1270" t="s">
        <v>3860</v>
      </c>
      <c r="D1270" t="s">
        <v>2704</v>
      </c>
      <c r="E1270" t="s">
        <v>5321</v>
      </c>
    </row>
    <row r="1271" spans="1:5" x14ac:dyDescent="0.3">
      <c r="A1271" t="s">
        <v>8556</v>
      </c>
      <c r="B1271" t="s">
        <v>8557</v>
      </c>
      <c r="C1271" t="s">
        <v>2696</v>
      </c>
      <c r="D1271" t="s">
        <v>2696</v>
      </c>
      <c r="E1271" t="s">
        <v>8558</v>
      </c>
    </row>
    <row r="1272" spans="1:5" x14ac:dyDescent="0.3">
      <c r="A1272" t="s">
        <v>8580</v>
      </c>
      <c r="B1272" t="s">
        <v>8581</v>
      </c>
      <c r="C1272" t="s">
        <v>2696</v>
      </c>
      <c r="D1272" t="s">
        <v>2696</v>
      </c>
      <c r="E1272" t="s">
        <v>8582</v>
      </c>
    </row>
    <row r="1273" spans="1:5" x14ac:dyDescent="0.3">
      <c r="A1273" t="s">
        <v>8921</v>
      </c>
      <c r="B1273" t="s">
        <v>8922</v>
      </c>
      <c r="C1273" t="s">
        <v>2696</v>
      </c>
      <c r="D1273" t="s">
        <v>2696</v>
      </c>
      <c r="E1273" t="s">
        <v>8923</v>
      </c>
    </row>
    <row r="1274" spans="1:5" x14ac:dyDescent="0.3">
      <c r="A1274" t="s">
        <v>8945</v>
      </c>
      <c r="B1274" t="s">
        <v>8946</v>
      </c>
      <c r="C1274" t="s">
        <v>2696</v>
      </c>
      <c r="D1274" t="s">
        <v>2696</v>
      </c>
      <c r="E1274" t="s">
        <v>8947</v>
      </c>
    </row>
    <row r="1275" spans="1:5" x14ac:dyDescent="0.3">
      <c r="A1275" t="s">
        <v>8353</v>
      </c>
      <c r="B1275" t="s">
        <v>8354</v>
      </c>
      <c r="C1275" t="s">
        <v>2696</v>
      </c>
      <c r="D1275" t="s">
        <v>2696</v>
      </c>
      <c r="E1275" t="s">
        <v>8355</v>
      </c>
    </row>
    <row r="1276" spans="1:5" x14ac:dyDescent="0.3">
      <c r="A1276" t="s">
        <v>8377</v>
      </c>
      <c r="B1276" t="s">
        <v>3566</v>
      </c>
      <c r="C1276" t="s">
        <v>2696</v>
      </c>
      <c r="D1276" t="s">
        <v>2696</v>
      </c>
      <c r="E1276" t="s">
        <v>8378</v>
      </c>
    </row>
    <row r="1277" spans="1:5" x14ac:dyDescent="0.3">
      <c r="A1277" t="s">
        <v>8193</v>
      </c>
      <c r="B1277" t="s">
        <v>8194</v>
      </c>
      <c r="C1277" t="s">
        <v>2696</v>
      </c>
      <c r="D1277" t="s">
        <v>2696</v>
      </c>
      <c r="E1277" t="s">
        <v>8195</v>
      </c>
    </row>
    <row r="1278" spans="1:5" x14ac:dyDescent="0.3">
      <c r="A1278" t="s">
        <v>8217</v>
      </c>
      <c r="B1278" t="s">
        <v>8218</v>
      </c>
      <c r="C1278" t="s">
        <v>2696</v>
      </c>
      <c r="D1278" t="s">
        <v>2696</v>
      </c>
      <c r="E1278" t="s">
        <v>8219</v>
      </c>
    </row>
    <row r="1279" spans="1:5" x14ac:dyDescent="0.3">
      <c r="A1279" t="s">
        <v>5334</v>
      </c>
      <c r="B1279" t="s">
        <v>4997</v>
      </c>
      <c r="C1279" t="s">
        <v>2696</v>
      </c>
      <c r="D1279" t="s">
        <v>2696</v>
      </c>
      <c r="E1279" t="s">
        <v>5335</v>
      </c>
    </row>
    <row r="1280" spans="1:5" x14ac:dyDescent="0.3">
      <c r="A1280" t="s">
        <v>5356</v>
      </c>
      <c r="B1280" t="s">
        <v>5357</v>
      </c>
      <c r="C1280" t="s">
        <v>2696</v>
      </c>
      <c r="D1280" t="s">
        <v>2696</v>
      </c>
      <c r="E1280" t="s">
        <v>5358</v>
      </c>
    </row>
    <row r="1281" spans="1:5" x14ac:dyDescent="0.3">
      <c r="A1281" t="s">
        <v>8968</v>
      </c>
      <c r="B1281" t="s">
        <v>8969</v>
      </c>
      <c r="C1281" t="s">
        <v>2696</v>
      </c>
      <c r="D1281" t="s">
        <v>2696</v>
      </c>
      <c r="E1281" t="s">
        <v>8970</v>
      </c>
    </row>
    <row r="1282" spans="1:5" x14ac:dyDescent="0.3">
      <c r="A1282" t="s">
        <v>8991</v>
      </c>
      <c r="B1282" t="s">
        <v>8992</v>
      </c>
      <c r="C1282" t="s">
        <v>2696</v>
      </c>
      <c r="D1282" t="s">
        <v>2696</v>
      </c>
      <c r="E1282" t="s">
        <v>8993</v>
      </c>
    </row>
    <row r="1283" spans="1:5" x14ac:dyDescent="0.3">
      <c r="A1283" t="s">
        <v>9892</v>
      </c>
      <c r="B1283" t="s">
        <v>9893</v>
      </c>
      <c r="C1283" t="s">
        <v>2696</v>
      </c>
      <c r="D1283" t="s">
        <v>2696</v>
      </c>
      <c r="E1283" t="s">
        <v>9894</v>
      </c>
    </row>
    <row r="1284" spans="1:5" x14ac:dyDescent="0.3">
      <c r="A1284" t="s">
        <v>9915</v>
      </c>
      <c r="B1284" t="s">
        <v>3075</v>
      </c>
      <c r="C1284" t="s">
        <v>4595</v>
      </c>
      <c r="D1284" t="s">
        <v>133</v>
      </c>
      <c r="E1284" t="s">
        <v>9916</v>
      </c>
    </row>
    <row r="1285" spans="1:5" x14ac:dyDescent="0.3">
      <c r="A1285" t="s">
        <v>5380</v>
      </c>
      <c r="B1285" t="s">
        <v>5381</v>
      </c>
      <c r="C1285" t="s">
        <v>2696</v>
      </c>
      <c r="D1285" t="s">
        <v>2696</v>
      </c>
      <c r="E1285" t="s">
        <v>5382</v>
      </c>
    </row>
    <row r="1286" spans="1:5" x14ac:dyDescent="0.3">
      <c r="A1286" t="s">
        <v>5404</v>
      </c>
      <c r="B1286" t="s">
        <v>5405</v>
      </c>
      <c r="C1286" t="s">
        <v>2696</v>
      </c>
      <c r="D1286" t="s">
        <v>2696</v>
      </c>
      <c r="E1286" t="s">
        <v>5406</v>
      </c>
    </row>
    <row r="1287" spans="1:5" x14ac:dyDescent="0.3">
      <c r="A1287" t="s">
        <v>8400</v>
      </c>
      <c r="B1287" t="s">
        <v>7564</v>
      </c>
      <c r="C1287" t="s">
        <v>2696</v>
      </c>
      <c r="D1287" t="s">
        <v>2696</v>
      </c>
      <c r="E1287" t="s">
        <v>8401</v>
      </c>
    </row>
    <row r="1288" spans="1:5" x14ac:dyDescent="0.3">
      <c r="A1288" t="s">
        <v>8422</v>
      </c>
      <c r="B1288" t="s">
        <v>8423</v>
      </c>
      <c r="C1288" t="s">
        <v>2696</v>
      </c>
      <c r="D1288" t="s">
        <v>2696</v>
      </c>
      <c r="E1288" t="s">
        <v>8424</v>
      </c>
    </row>
    <row r="1289" spans="1:5" x14ac:dyDescent="0.3">
      <c r="A1289" t="s">
        <v>9015</v>
      </c>
      <c r="B1289" t="s">
        <v>9016</v>
      </c>
      <c r="C1289" t="s">
        <v>2696</v>
      </c>
      <c r="D1289" t="s">
        <v>2696</v>
      </c>
      <c r="E1289" t="s">
        <v>9017</v>
      </c>
    </row>
    <row r="1290" spans="1:5" x14ac:dyDescent="0.3">
      <c r="A1290" t="s">
        <v>9038</v>
      </c>
      <c r="B1290" t="s">
        <v>9039</v>
      </c>
      <c r="C1290" t="s">
        <v>2696</v>
      </c>
      <c r="D1290" t="s">
        <v>2696</v>
      </c>
      <c r="E1290" t="s">
        <v>9040</v>
      </c>
    </row>
    <row r="1291" spans="1:5" x14ac:dyDescent="0.3">
      <c r="A1291" t="s">
        <v>8240</v>
      </c>
      <c r="B1291" t="s">
        <v>5151</v>
      </c>
      <c r="C1291" t="s">
        <v>2696</v>
      </c>
      <c r="D1291" t="s">
        <v>2696</v>
      </c>
      <c r="E1291" t="s">
        <v>8241</v>
      </c>
    </row>
    <row r="1292" spans="1:5" x14ac:dyDescent="0.3">
      <c r="A1292" t="s">
        <v>8262</v>
      </c>
      <c r="B1292" t="s">
        <v>3073</v>
      </c>
      <c r="C1292" t="s">
        <v>2696</v>
      </c>
      <c r="D1292" t="s">
        <v>2696</v>
      </c>
      <c r="E1292" t="s">
        <v>8263</v>
      </c>
    </row>
    <row r="1293" spans="1:5" x14ac:dyDescent="0.3">
      <c r="A1293" t="s">
        <v>9938</v>
      </c>
      <c r="B1293" t="s">
        <v>1525</v>
      </c>
      <c r="C1293" t="s">
        <v>6349</v>
      </c>
      <c r="D1293" t="s">
        <v>2841</v>
      </c>
      <c r="E1293" t="s">
        <v>9939</v>
      </c>
    </row>
    <row r="1294" spans="1:5" x14ac:dyDescent="0.3">
      <c r="A1294" t="s">
        <v>9960</v>
      </c>
      <c r="B1294" t="s">
        <v>3596</v>
      </c>
      <c r="C1294" t="s">
        <v>3768</v>
      </c>
      <c r="D1294" t="s">
        <v>2852</v>
      </c>
      <c r="E1294" t="s">
        <v>9961</v>
      </c>
    </row>
    <row r="1295" spans="1:5" x14ac:dyDescent="0.3">
      <c r="A1295" t="s">
        <v>5426</v>
      </c>
      <c r="B1295" t="s">
        <v>5427</v>
      </c>
      <c r="C1295" t="s">
        <v>2696</v>
      </c>
      <c r="D1295" t="s">
        <v>2696</v>
      </c>
      <c r="E1295" t="s">
        <v>5428</v>
      </c>
    </row>
    <row r="1296" spans="1:5" x14ac:dyDescent="0.3">
      <c r="A1296" t="s">
        <v>5449</v>
      </c>
      <c r="B1296" t="s">
        <v>5450</v>
      </c>
      <c r="C1296" t="s">
        <v>2696</v>
      </c>
      <c r="D1296" t="s">
        <v>2696</v>
      </c>
      <c r="E1296" t="s">
        <v>5451</v>
      </c>
    </row>
    <row r="1297" spans="1:5" x14ac:dyDescent="0.3">
      <c r="A1297" t="s">
        <v>8446</v>
      </c>
      <c r="B1297" t="s">
        <v>8447</v>
      </c>
      <c r="C1297" t="s">
        <v>2696</v>
      </c>
      <c r="D1297" t="s">
        <v>2696</v>
      </c>
      <c r="E1297" t="s">
        <v>8448</v>
      </c>
    </row>
    <row r="1298" spans="1:5" x14ac:dyDescent="0.3">
      <c r="A1298" t="s">
        <v>8470</v>
      </c>
      <c r="B1298" t="s">
        <v>8471</v>
      </c>
      <c r="C1298" t="s">
        <v>2696</v>
      </c>
      <c r="D1298" t="s">
        <v>2696</v>
      </c>
      <c r="E1298" t="s">
        <v>8472</v>
      </c>
    </row>
    <row r="1299" spans="1:5" x14ac:dyDescent="0.3">
      <c r="A1299" t="s">
        <v>8604</v>
      </c>
      <c r="B1299" t="s">
        <v>8605</v>
      </c>
      <c r="C1299" t="s">
        <v>2696</v>
      </c>
      <c r="D1299" t="s">
        <v>2696</v>
      </c>
      <c r="E1299" t="s">
        <v>8606</v>
      </c>
    </row>
    <row r="1300" spans="1:5" x14ac:dyDescent="0.3">
      <c r="A1300" t="s">
        <v>8627</v>
      </c>
      <c r="B1300" t="s">
        <v>8628</v>
      </c>
      <c r="C1300" t="s">
        <v>4246</v>
      </c>
      <c r="D1300" t="s">
        <v>2709</v>
      </c>
      <c r="E1300" t="s">
        <v>8629</v>
      </c>
    </row>
    <row r="1301" spans="1:5" x14ac:dyDescent="0.3">
      <c r="A1301" t="s">
        <v>8285</v>
      </c>
      <c r="B1301" t="s">
        <v>8286</v>
      </c>
      <c r="C1301" t="s">
        <v>2696</v>
      </c>
      <c r="D1301" t="s">
        <v>2696</v>
      </c>
      <c r="E1301" t="s">
        <v>8287</v>
      </c>
    </row>
    <row r="1302" spans="1:5" x14ac:dyDescent="0.3">
      <c r="A1302" t="s">
        <v>8309</v>
      </c>
      <c r="B1302" t="s">
        <v>8310</v>
      </c>
      <c r="C1302" t="s">
        <v>2696</v>
      </c>
      <c r="D1302" t="s">
        <v>2696</v>
      </c>
      <c r="E1302" t="s">
        <v>8311</v>
      </c>
    </row>
    <row r="1303" spans="1:5" x14ac:dyDescent="0.3">
      <c r="A1303" t="s">
        <v>5469</v>
      </c>
      <c r="B1303" t="s">
        <v>5470</v>
      </c>
      <c r="C1303" t="s">
        <v>2696</v>
      </c>
      <c r="D1303" t="s">
        <v>2696</v>
      </c>
      <c r="E1303" t="s">
        <v>5471</v>
      </c>
    </row>
    <row r="1304" spans="1:5" x14ac:dyDescent="0.3">
      <c r="A1304" t="s">
        <v>5492</v>
      </c>
      <c r="B1304" t="s">
        <v>5493</v>
      </c>
      <c r="C1304" t="s">
        <v>2696</v>
      </c>
      <c r="D1304" t="s">
        <v>2696</v>
      </c>
      <c r="E1304" t="s">
        <v>5494</v>
      </c>
    </row>
    <row r="1305" spans="1:5" x14ac:dyDescent="0.3">
      <c r="A1305" t="s">
        <v>8494</v>
      </c>
      <c r="B1305" t="s">
        <v>1685</v>
      </c>
      <c r="C1305" t="s">
        <v>2696</v>
      </c>
      <c r="D1305" t="s">
        <v>2696</v>
      </c>
      <c r="E1305" t="s">
        <v>8495</v>
      </c>
    </row>
    <row r="1306" spans="1:5" x14ac:dyDescent="0.3">
      <c r="A1306" t="s">
        <v>9062</v>
      </c>
      <c r="B1306" t="s">
        <v>9063</v>
      </c>
      <c r="C1306" t="s">
        <v>2696</v>
      </c>
      <c r="D1306" t="s">
        <v>2696</v>
      </c>
      <c r="E1306" t="s">
        <v>9064</v>
      </c>
    </row>
    <row r="1307" spans="1:5" x14ac:dyDescent="0.3">
      <c r="A1307" t="s">
        <v>9085</v>
      </c>
      <c r="B1307" t="s">
        <v>9086</v>
      </c>
      <c r="C1307" t="s">
        <v>2696</v>
      </c>
      <c r="D1307" t="s">
        <v>2696</v>
      </c>
      <c r="E1307" t="s">
        <v>9087</v>
      </c>
    </row>
    <row r="1308" spans="1:5" x14ac:dyDescent="0.3">
      <c r="A1308" t="s">
        <v>8651</v>
      </c>
      <c r="B1308" t="s">
        <v>8652</v>
      </c>
      <c r="C1308" t="s">
        <v>4246</v>
      </c>
      <c r="D1308" t="s">
        <v>2709</v>
      </c>
      <c r="E1308" t="s">
        <v>8653</v>
      </c>
    </row>
    <row r="1309" spans="1:5" x14ac:dyDescent="0.3">
      <c r="A1309" t="s">
        <v>8674</v>
      </c>
      <c r="B1309" t="s">
        <v>8675</v>
      </c>
      <c r="C1309" t="s">
        <v>2696</v>
      </c>
      <c r="D1309" t="s">
        <v>2696</v>
      </c>
      <c r="E1309" t="s">
        <v>8676</v>
      </c>
    </row>
    <row r="1310" spans="1:5" x14ac:dyDescent="0.3">
      <c r="A1310" t="s">
        <v>8333</v>
      </c>
      <c r="B1310" t="s">
        <v>8334</v>
      </c>
      <c r="C1310" t="s">
        <v>2696</v>
      </c>
      <c r="D1310" t="s">
        <v>2696</v>
      </c>
      <c r="E1310" t="s">
        <v>8335</v>
      </c>
    </row>
    <row r="1311" spans="1:5" x14ac:dyDescent="0.3">
      <c r="A1311" t="s">
        <v>8356</v>
      </c>
      <c r="B1311" t="s">
        <v>8357</v>
      </c>
      <c r="C1311" t="s">
        <v>2696</v>
      </c>
      <c r="D1311" t="s">
        <v>2696</v>
      </c>
      <c r="E1311" t="s">
        <v>8358</v>
      </c>
    </row>
    <row r="1312" spans="1:5" x14ac:dyDescent="0.3">
      <c r="A1312" t="s">
        <v>5515</v>
      </c>
      <c r="B1312" t="s">
        <v>5516</v>
      </c>
      <c r="C1312" t="s">
        <v>2696</v>
      </c>
      <c r="D1312" t="s">
        <v>2696</v>
      </c>
      <c r="E1312" t="s">
        <v>5517</v>
      </c>
    </row>
    <row r="1313" spans="1:5" x14ac:dyDescent="0.3">
      <c r="A1313" t="s">
        <v>5539</v>
      </c>
      <c r="B1313" t="s">
        <v>5540</v>
      </c>
      <c r="C1313" t="s">
        <v>2696</v>
      </c>
      <c r="D1313" t="s">
        <v>2696</v>
      </c>
      <c r="E1313" t="s">
        <v>5541</v>
      </c>
    </row>
    <row r="1314" spans="1:5" x14ac:dyDescent="0.3">
      <c r="A1314" t="s">
        <v>8515</v>
      </c>
      <c r="B1314" t="s">
        <v>8516</v>
      </c>
      <c r="C1314" t="s">
        <v>2696</v>
      </c>
      <c r="D1314" t="s">
        <v>2696</v>
      </c>
      <c r="E1314" t="s">
        <v>8517</v>
      </c>
    </row>
    <row r="1315" spans="1:5" x14ac:dyDescent="0.3">
      <c r="A1315" t="s">
        <v>8538</v>
      </c>
      <c r="B1315" t="s">
        <v>8539</v>
      </c>
      <c r="C1315" t="s">
        <v>2696</v>
      </c>
      <c r="D1315" t="s">
        <v>2696</v>
      </c>
      <c r="E1315" t="s">
        <v>8540</v>
      </c>
    </row>
    <row r="1316" spans="1:5" x14ac:dyDescent="0.3">
      <c r="A1316" t="s">
        <v>9109</v>
      </c>
      <c r="B1316" t="s">
        <v>9110</v>
      </c>
      <c r="C1316" t="s">
        <v>2696</v>
      </c>
      <c r="D1316" t="s">
        <v>2696</v>
      </c>
      <c r="E1316" t="s">
        <v>9111</v>
      </c>
    </row>
    <row r="1317" spans="1:5" x14ac:dyDescent="0.3">
      <c r="A1317" t="s">
        <v>9132</v>
      </c>
      <c r="B1317" t="s">
        <v>9133</v>
      </c>
      <c r="C1317" t="s">
        <v>2696</v>
      </c>
      <c r="D1317" t="s">
        <v>2696</v>
      </c>
      <c r="E1317" t="s">
        <v>9134</v>
      </c>
    </row>
    <row r="1318" spans="1:5" x14ac:dyDescent="0.3">
      <c r="A1318" t="s">
        <v>9983</v>
      </c>
      <c r="B1318" t="s">
        <v>9984</v>
      </c>
      <c r="C1318" t="s">
        <v>6349</v>
      </c>
      <c r="D1318" t="s">
        <v>2841</v>
      </c>
      <c r="E1318" t="s">
        <v>9985</v>
      </c>
    </row>
    <row r="1319" spans="1:5" x14ac:dyDescent="0.3">
      <c r="A1319" t="s">
        <v>10006</v>
      </c>
      <c r="B1319" t="s">
        <v>10007</v>
      </c>
      <c r="C1319" t="s">
        <v>6574</v>
      </c>
      <c r="D1319" t="s">
        <v>2852</v>
      </c>
      <c r="E1319" t="s">
        <v>10008</v>
      </c>
    </row>
    <row r="1320" spans="1:5" x14ac:dyDescent="0.3">
      <c r="A1320" t="s">
        <v>8379</v>
      </c>
      <c r="B1320" t="s">
        <v>8380</v>
      </c>
      <c r="C1320" t="s">
        <v>2696</v>
      </c>
      <c r="D1320" t="s">
        <v>2696</v>
      </c>
      <c r="E1320" t="s">
        <v>8381</v>
      </c>
    </row>
    <row r="1321" spans="1:5" x14ac:dyDescent="0.3">
      <c r="A1321" t="s">
        <v>8402</v>
      </c>
      <c r="B1321" t="s">
        <v>8403</v>
      </c>
      <c r="C1321" t="s">
        <v>2696</v>
      </c>
      <c r="D1321" t="s">
        <v>2696</v>
      </c>
      <c r="E1321" t="s">
        <v>8404</v>
      </c>
    </row>
    <row r="1322" spans="1:5" x14ac:dyDescent="0.3">
      <c r="A1322" t="s">
        <v>5563</v>
      </c>
      <c r="B1322" t="s">
        <v>5564</v>
      </c>
      <c r="C1322" t="s">
        <v>2696</v>
      </c>
      <c r="D1322" t="s">
        <v>2696</v>
      </c>
      <c r="E1322" t="s">
        <v>5565</v>
      </c>
    </row>
    <row r="1323" spans="1:5" x14ac:dyDescent="0.3">
      <c r="A1323" t="s">
        <v>5585</v>
      </c>
      <c r="B1323" t="s">
        <v>5586</v>
      </c>
      <c r="C1323" t="s">
        <v>2696</v>
      </c>
      <c r="D1323" t="s">
        <v>2696</v>
      </c>
      <c r="E1323" t="s">
        <v>5587</v>
      </c>
    </row>
    <row r="1324" spans="1:5" x14ac:dyDescent="0.3">
      <c r="A1324" t="s">
        <v>9156</v>
      </c>
      <c r="B1324" t="s">
        <v>2449</v>
      </c>
      <c r="C1324" t="s">
        <v>2696</v>
      </c>
      <c r="D1324" t="s">
        <v>2696</v>
      </c>
      <c r="E1324" t="s">
        <v>9157</v>
      </c>
    </row>
    <row r="1325" spans="1:5" x14ac:dyDescent="0.3">
      <c r="A1325" t="s">
        <v>9178</v>
      </c>
      <c r="B1325" t="s">
        <v>9179</v>
      </c>
      <c r="C1325" t="s">
        <v>2696</v>
      </c>
      <c r="D1325" t="s">
        <v>2696</v>
      </c>
      <c r="E1325" t="s">
        <v>9180</v>
      </c>
    </row>
    <row r="1326" spans="1:5" x14ac:dyDescent="0.3">
      <c r="A1326" t="s">
        <v>8562</v>
      </c>
      <c r="B1326" t="s">
        <v>8563</v>
      </c>
      <c r="C1326" t="s">
        <v>2696</v>
      </c>
      <c r="D1326" t="s">
        <v>2696</v>
      </c>
      <c r="E1326" t="s">
        <v>8564</v>
      </c>
    </row>
    <row r="1327" spans="1:5" x14ac:dyDescent="0.3">
      <c r="A1327" t="s">
        <v>8586</v>
      </c>
      <c r="B1327" t="s">
        <v>8587</v>
      </c>
      <c r="C1327" t="s">
        <v>2696</v>
      </c>
      <c r="D1327" t="s">
        <v>2696</v>
      </c>
      <c r="E1327" t="s">
        <v>8588</v>
      </c>
    </row>
    <row r="1328" spans="1:5" x14ac:dyDescent="0.3">
      <c r="A1328" t="s">
        <v>10029</v>
      </c>
      <c r="B1328" t="s">
        <v>10030</v>
      </c>
      <c r="C1328" t="s">
        <v>6574</v>
      </c>
      <c r="D1328" t="s">
        <v>2852</v>
      </c>
      <c r="E1328" t="s">
        <v>10031</v>
      </c>
    </row>
    <row r="1329" spans="1:5" x14ac:dyDescent="0.3">
      <c r="A1329" t="s">
        <v>10051</v>
      </c>
      <c r="B1329" t="s">
        <v>10052</v>
      </c>
      <c r="C1329" t="s">
        <v>2696</v>
      </c>
      <c r="D1329" t="s">
        <v>2696</v>
      </c>
      <c r="E1329" t="s">
        <v>10053</v>
      </c>
    </row>
    <row r="1330" spans="1:5" x14ac:dyDescent="0.3">
      <c r="A1330" t="s">
        <v>8425</v>
      </c>
      <c r="B1330" t="s">
        <v>8426</v>
      </c>
      <c r="C1330" t="s">
        <v>2696</v>
      </c>
      <c r="D1330" t="s">
        <v>2696</v>
      </c>
      <c r="E1330" t="s">
        <v>8427</v>
      </c>
    </row>
    <row r="1331" spans="1:5" x14ac:dyDescent="0.3">
      <c r="A1331" t="s">
        <v>8449</v>
      </c>
      <c r="B1331" t="s">
        <v>8450</v>
      </c>
      <c r="C1331" t="s">
        <v>2696</v>
      </c>
      <c r="D1331" t="s">
        <v>2696</v>
      </c>
      <c r="E1331" t="s">
        <v>8451</v>
      </c>
    </row>
    <row r="1332" spans="1:5" x14ac:dyDescent="0.3">
      <c r="A1332" t="s">
        <v>5609</v>
      </c>
      <c r="B1332" t="s">
        <v>5610</v>
      </c>
      <c r="C1332" t="s">
        <v>2696</v>
      </c>
      <c r="D1332" t="s">
        <v>2696</v>
      </c>
      <c r="E1332" t="s">
        <v>5611</v>
      </c>
    </row>
    <row r="1333" spans="1:5" x14ac:dyDescent="0.3">
      <c r="A1333" t="s">
        <v>5631</v>
      </c>
      <c r="B1333" t="s">
        <v>5632</v>
      </c>
      <c r="C1333" t="s">
        <v>2696</v>
      </c>
      <c r="D1333" t="s">
        <v>2696</v>
      </c>
      <c r="E1333" t="s">
        <v>5633</v>
      </c>
    </row>
    <row r="1334" spans="1:5" x14ac:dyDescent="0.3">
      <c r="A1334" t="s">
        <v>8697</v>
      </c>
      <c r="B1334" t="s">
        <v>8698</v>
      </c>
      <c r="C1334" t="s">
        <v>2696</v>
      </c>
      <c r="D1334" t="s">
        <v>2696</v>
      </c>
      <c r="E1334" t="s">
        <v>8699</v>
      </c>
    </row>
    <row r="1335" spans="1:5" x14ac:dyDescent="0.3">
      <c r="A1335" t="s">
        <v>2605</v>
      </c>
      <c r="B1335" t="s">
        <v>2606</v>
      </c>
      <c r="C1335" t="s">
        <v>1533</v>
      </c>
      <c r="D1335" t="s">
        <v>1111</v>
      </c>
      <c r="E1335" t="s">
        <v>2607</v>
      </c>
    </row>
    <row r="1336" spans="1:5" x14ac:dyDescent="0.3">
      <c r="A1336" t="s">
        <v>8610</v>
      </c>
      <c r="B1336" t="s">
        <v>8611</v>
      </c>
      <c r="C1336" t="s">
        <v>2696</v>
      </c>
      <c r="D1336" t="s">
        <v>2696</v>
      </c>
      <c r="E1336" t="s">
        <v>8612</v>
      </c>
    </row>
    <row r="1337" spans="1:5" x14ac:dyDescent="0.3">
      <c r="A1337" t="s">
        <v>8633</v>
      </c>
      <c r="B1337" t="s">
        <v>8634</v>
      </c>
      <c r="C1337" t="s">
        <v>4246</v>
      </c>
      <c r="D1337" t="s">
        <v>2709</v>
      </c>
      <c r="E1337" t="s">
        <v>8635</v>
      </c>
    </row>
    <row r="1338" spans="1:5" x14ac:dyDescent="0.3">
      <c r="A1338" t="s">
        <v>8473</v>
      </c>
      <c r="B1338" t="s">
        <v>8474</v>
      </c>
      <c r="C1338" t="s">
        <v>2696</v>
      </c>
      <c r="D1338" t="s">
        <v>2696</v>
      </c>
      <c r="E1338" t="s">
        <v>8475</v>
      </c>
    </row>
    <row r="1339" spans="1:5" x14ac:dyDescent="0.3">
      <c r="A1339" t="s">
        <v>9201</v>
      </c>
      <c r="B1339" t="s">
        <v>9202</v>
      </c>
      <c r="C1339" t="s">
        <v>2696</v>
      </c>
      <c r="D1339" t="s">
        <v>2696</v>
      </c>
      <c r="E1339" t="s">
        <v>9203</v>
      </c>
    </row>
    <row r="1340" spans="1:5" x14ac:dyDescent="0.3">
      <c r="A1340" t="s">
        <v>9225</v>
      </c>
      <c r="B1340" t="s">
        <v>9226</v>
      </c>
      <c r="C1340" t="s">
        <v>2696</v>
      </c>
      <c r="D1340" t="s">
        <v>2696</v>
      </c>
      <c r="E1340" t="s">
        <v>9227</v>
      </c>
    </row>
    <row r="1341" spans="1:5" x14ac:dyDescent="0.3">
      <c r="A1341" t="s">
        <v>8657</v>
      </c>
      <c r="B1341" t="s">
        <v>8658</v>
      </c>
      <c r="C1341" t="s">
        <v>4246</v>
      </c>
      <c r="D1341" t="s">
        <v>2709</v>
      </c>
      <c r="E1341" t="s">
        <v>8659</v>
      </c>
    </row>
    <row r="1342" spans="1:5" x14ac:dyDescent="0.3">
      <c r="A1342" t="s">
        <v>2608</v>
      </c>
      <c r="B1342" t="s">
        <v>2609</v>
      </c>
      <c r="C1342" t="s">
        <v>1501</v>
      </c>
      <c r="D1342" t="s">
        <v>1088</v>
      </c>
      <c r="E1342" t="s">
        <v>2610</v>
      </c>
    </row>
    <row r="1343" spans="1:5" x14ac:dyDescent="0.3">
      <c r="A1343" t="s">
        <v>8725</v>
      </c>
      <c r="B1343" t="s">
        <v>8726</v>
      </c>
      <c r="C1343" t="s">
        <v>2696</v>
      </c>
      <c r="D1343" t="s">
        <v>2696</v>
      </c>
      <c r="E1343" t="s">
        <v>8727</v>
      </c>
    </row>
    <row r="1344" spans="1:5" x14ac:dyDescent="0.3">
      <c r="A1344" t="s">
        <v>8496</v>
      </c>
      <c r="B1344" t="s">
        <v>6920</v>
      </c>
      <c r="C1344" t="s">
        <v>2696</v>
      </c>
      <c r="D1344" t="s">
        <v>2696</v>
      </c>
      <c r="E1344" t="s">
        <v>8497</v>
      </c>
    </row>
    <row r="1345" spans="1:5" x14ac:dyDescent="0.3">
      <c r="A1345" t="s">
        <v>8518</v>
      </c>
      <c r="B1345" t="s">
        <v>8519</v>
      </c>
      <c r="C1345" t="s">
        <v>2696</v>
      </c>
      <c r="D1345" t="s">
        <v>2696</v>
      </c>
      <c r="E1345" t="s">
        <v>8520</v>
      </c>
    </row>
    <row r="1346" spans="1:5" x14ac:dyDescent="0.3">
      <c r="A1346" t="s">
        <v>8135</v>
      </c>
      <c r="B1346" t="s">
        <v>8136</v>
      </c>
      <c r="C1346" t="s">
        <v>6349</v>
      </c>
      <c r="D1346" t="s">
        <v>2841</v>
      </c>
      <c r="E1346" t="s">
        <v>8137</v>
      </c>
    </row>
    <row r="1347" spans="1:5" x14ac:dyDescent="0.3">
      <c r="A1347" t="s">
        <v>8158</v>
      </c>
      <c r="B1347" t="s">
        <v>8159</v>
      </c>
      <c r="C1347" t="s">
        <v>3860</v>
      </c>
      <c r="D1347" t="s">
        <v>2704</v>
      </c>
      <c r="E1347" t="s">
        <v>8160</v>
      </c>
    </row>
    <row r="1348" spans="1:5" x14ac:dyDescent="0.3">
      <c r="A1348" t="s">
        <v>9489</v>
      </c>
      <c r="B1348" t="s">
        <v>9490</v>
      </c>
      <c r="C1348" t="s">
        <v>2696</v>
      </c>
      <c r="D1348" t="s">
        <v>2696</v>
      </c>
      <c r="E1348" t="s">
        <v>9491</v>
      </c>
    </row>
    <row r="1349" spans="1:5" x14ac:dyDescent="0.3">
      <c r="A1349" t="s">
        <v>9512</v>
      </c>
      <c r="B1349" t="s">
        <v>9513</v>
      </c>
      <c r="C1349" t="s">
        <v>2696</v>
      </c>
      <c r="D1349" t="s">
        <v>2696</v>
      </c>
      <c r="E1349" t="s">
        <v>9514</v>
      </c>
    </row>
    <row r="1350" spans="1:5" x14ac:dyDescent="0.3">
      <c r="A1350" t="s">
        <v>9248</v>
      </c>
      <c r="B1350" t="s">
        <v>6160</v>
      </c>
      <c r="C1350" t="s">
        <v>2696</v>
      </c>
      <c r="D1350" t="s">
        <v>2696</v>
      </c>
      <c r="E1350" t="s">
        <v>9249</v>
      </c>
    </row>
    <row r="1351" spans="1:5" x14ac:dyDescent="0.3">
      <c r="A1351" t="s">
        <v>9270</v>
      </c>
      <c r="B1351" t="s">
        <v>9271</v>
      </c>
      <c r="C1351" t="s">
        <v>2696</v>
      </c>
      <c r="D1351" t="s">
        <v>2696</v>
      </c>
      <c r="E1351" t="s">
        <v>9272</v>
      </c>
    </row>
    <row r="1352" spans="1:5" x14ac:dyDescent="0.3">
      <c r="A1352" t="s">
        <v>5654</v>
      </c>
      <c r="B1352" t="s">
        <v>5655</v>
      </c>
      <c r="C1352" t="s">
        <v>2696</v>
      </c>
      <c r="D1352" t="s">
        <v>2696</v>
      </c>
      <c r="E1352" t="s">
        <v>5656</v>
      </c>
    </row>
    <row r="1353" spans="1:5" x14ac:dyDescent="0.3">
      <c r="A1353" t="s">
        <v>8541</v>
      </c>
      <c r="B1353" t="s">
        <v>8542</v>
      </c>
      <c r="C1353" t="s">
        <v>2696</v>
      </c>
      <c r="D1353" t="s">
        <v>2696</v>
      </c>
      <c r="E1353" t="s">
        <v>8543</v>
      </c>
    </row>
    <row r="1354" spans="1:5" x14ac:dyDescent="0.3">
      <c r="A1354" t="s">
        <v>8565</v>
      </c>
      <c r="B1354" t="s">
        <v>8566</v>
      </c>
      <c r="C1354" t="s">
        <v>2696</v>
      </c>
      <c r="D1354" t="s">
        <v>2696</v>
      </c>
      <c r="E1354" t="s">
        <v>8567</v>
      </c>
    </row>
    <row r="1355" spans="1:5" x14ac:dyDescent="0.3">
      <c r="A1355" t="s">
        <v>5677</v>
      </c>
      <c r="B1355" t="s">
        <v>5678</v>
      </c>
      <c r="C1355" t="s">
        <v>2696</v>
      </c>
      <c r="D1355" t="s">
        <v>2696</v>
      </c>
      <c r="E1355" t="s">
        <v>5679</v>
      </c>
    </row>
    <row r="1356" spans="1:5" x14ac:dyDescent="0.3">
      <c r="A1356" t="s">
        <v>5699</v>
      </c>
      <c r="B1356" t="s">
        <v>5700</v>
      </c>
      <c r="C1356" t="s">
        <v>2696</v>
      </c>
      <c r="D1356" t="s">
        <v>2696</v>
      </c>
      <c r="E1356" t="s">
        <v>5701</v>
      </c>
    </row>
    <row r="1357" spans="1:5" x14ac:dyDescent="0.3">
      <c r="A1357" t="s">
        <v>8748</v>
      </c>
      <c r="B1357" t="s">
        <v>8749</v>
      </c>
      <c r="C1357" t="s">
        <v>2696</v>
      </c>
      <c r="D1357" t="s">
        <v>2696</v>
      </c>
      <c r="E1357" t="s">
        <v>8750</v>
      </c>
    </row>
    <row r="1358" spans="1:5" x14ac:dyDescent="0.3">
      <c r="A1358" t="s">
        <v>8772</v>
      </c>
      <c r="B1358" t="s">
        <v>8773</v>
      </c>
      <c r="C1358" t="s">
        <v>4086</v>
      </c>
      <c r="D1358" t="s">
        <v>2704</v>
      </c>
      <c r="E1358" t="s">
        <v>8774</v>
      </c>
    </row>
    <row r="1359" spans="1:5" x14ac:dyDescent="0.3">
      <c r="A1359" t="s">
        <v>8589</v>
      </c>
      <c r="B1359" t="s">
        <v>8590</v>
      </c>
      <c r="C1359" t="s">
        <v>2696</v>
      </c>
      <c r="D1359" t="s">
        <v>2696</v>
      </c>
      <c r="E1359" t="s">
        <v>8591</v>
      </c>
    </row>
    <row r="1360" spans="1:5" x14ac:dyDescent="0.3">
      <c r="A1360" t="s">
        <v>8613</v>
      </c>
      <c r="B1360" t="s">
        <v>8614</v>
      </c>
      <c r="C1360" t="s">
        <v>2696</v>
      </c>
      <c r="D1360" t="s">
        <v>2696</v>
      </c>
      <c r="E1360" t="s">
        <v>8615</v>
      </c>
    </row>
    <row r="1361" spans="1:5" x14ac:dyDescent="0.3">
      <c r="A1361" t="s">
        <v>8181</v>
      </c>
      <c r="B1361" t="s">
        <v>8182</v>
      </c>
      <c r="C1361" t="s">
        <v>2696</v>
      </c>
      <c r="D1361" t="s">
        <v>2696</v>
      </c>
      <c r="E1361" t="s">
        <v>8183</v>
      </c>
    </row>
    <row r="1362" spans="1:5" x14ac:dyDescent="0.3">
      <c r="A1362" t="s">
        <v>8205</v>
      </c>
      <c r="B1362" t="s">
        <v>8206</v>
      </c>
      <c r="C1362" t="s">
        <v>2696</v>
      </c>
      <c r="D1362" t="s">
        <v>2696</v>
      </c>
      <c r="E1362" t="s">
        <v>8207</v>
      </c>
    </row>
    <row r="1363" spans="1:5" x14ac:dyDescent="0.3">
      <c r="A1363" t="s">
        <v>5722</v>
      </c>
      <c r="B1363" t="s">
        <v>3016</v>
      </c>
      <c r="C1363" t="s">
        <v>2696</v>
      </c>
      <c r="D1363" t="s">
        <v>2696</v>
      </c>
      <c r="E1363" t="s">
        <v>5723</v>
      </c>
    </row>
    <row r="1364" spans="1:5" x14ac:dyDescent="0.3">
      <c r="A1364" t="s">
        <v>5744</v>
      </c>
      <c r="B1364" t="s">
        <v>5745</v>
      </c>
      <c r="C1364" t="s">
        <v>2696</v>
      </c>
      <c r="D1364" t="s">
        <v>2696</v>
      </c>
      <c r="E1364" t="s">
        <v>5746</v>
      </c>
    </row>
    <row r="1365" spans="1:5" x14ac:dyDescent="0.3">
      <c r="A1365" t="s">
        <v>9294</v>
      </c>
      <c r="B1365" t="s">
        <v>9295</v>
      </c>
      <c r="C1365" t="s">
        <v>2696</v>
      </c>
      <c r="D1365" t="s">
        <v>2696</v>
      </c>
      <c r="E1365" t="s">
        <v>9296</v>
      </c>
    </row>
    <row r="1366" spans="1:5" x14ac:dyDescent="0.3">
      <c r="A1366" t="s">
        <v>9317</v>
      </c>
      <c r="B1366" t="s">
        <v>9318</v>
      </c>
      <c r="C1366" t="s">
        <v>2696</v>
      </c>
      <c r="D1366" t="s">
        <v>2696</v>
      </c>
      <c r="E1366" t="s">
        <v>9319</v>
      </c>
    </row>
    <row r="1367" spans="1:5" x14ac:dyDescent="0.3">
      <c r="A1367" t="s">
        <v>8636</v>
      </c>
      <c r="B1367" t="s">
        <v>8637</v>
      </c>
      <c r="C1367" t="s">
        <v>4246</v>
      </c>
      <c r="D1367" t="s">
        <v>2709</v>
      </c>
      <c r="E1367" t="s">
        <v>8638</v>
      </c>
    </row>
    <row r="1368" spans="1:5" x14ac:dyDescent="0.3">
      <c r="A1368" t="s">
        <v>8660</v>
      </c>
      <c r="B1368" t="s">
        <v>8661</v>
      </c>
      <c r="C1368" t="s">
        <v>4246</v>
      </c>
      <c r="D1368" t="s">
        <v>2709</v>
      </c>
      <c r="E1368" t="s">
        <v>8662</v>
      </c>
    </row>
    <row r="1369" spans="1:5" x14ac:dyDescent="0.3">
      <c r="A1369" t="s">
        <v>8794</v>
      </c>
      <c r="B1369" t="s">
        <v>8795</v>
      </c>
      <c r="C1369" t="s">
        <v>2703</v>
      </c>
      <c r="D1369" t="s">
        <v>2704</v>
      </c>
      <c r="E1369" t="s">
        <v>8796</v>
      </c>
    </row>
    <row r="1370" spans="1:5" x14ac:dyDescent="0.3">
      <c r="A1370" t="s">
        <v>8814</v>
      </c>
      <c r="B1370" t="s">
        <v>8815</v>
      </c>
      <c r="C1370" t="s">
        <v>2696</v>
      </c>
      <c r="D1370" t="s">
        <v>2696</v>
      </c>
      <c r="E1370" t="s">
        <v>8816</v>
      </c>
    </row>
    <row r="1371" spans="1:5" x14ac:dyDescent="0.3">
      <c r="A1371" t="s">
        <v>8228</v>
      </c>
      <c r="B1371" t="s">
        <v>8229</v>
      </c>
      <c r="C1371" t="s">
        <v>2696</v>
      </c>
      <c r="D1371" t="s">
        <v>2696</v>
      </c>
      <c r="E1371" t="s">
        <v>8230</v>
      </c>
    </row>
    <row r="1372" spans="1:5" x14ac:dyDescent="0.3">
      <c r="A1372" t="s">
        <v>8250</v>
      </c>
      <c r="B1372" t="s">
        <v>8251</v>
      </c>
      <c r="C1372" t="s">
        <v>2696</v>
      </c>
      <c r="D1372" t="s">
        <v>2696</v>
      </c>
      <c r="E1372" t="s">
        <v>8252</v>
      </c>
    </row>
    <row r="1373" spans="1:5" x14ac:dyDescent="0.3">
      <c r="A1373" t="s">
        <v>5767</v>
      </c>
      <c r="B1373" t="s">
        <v>2600</v>
      </c>
      <c r="C1373" t="s">
        <v>2696</v>
      </c>
      <c r="D1373" t="s">
        <v>2696</v>
      </c>
      <c r="E1373" t="s">
        <v>5768</v>
      </c>
    </row>
    <row r="1374" spans="1:5" x14ac:dyDescent="0.3">
      <c r="A1374" t="s">
        <v>5789</v>
      </c>
      <c r="B1374" t="s">
        <v>5790</v>
      </c>
      <c r="C1374" t="s">
        <v>2696</v>
      </c>
      <c r="D1374" t="s">
        <v>2696</v>
      </c>
      <c r="E1374" t="s">
        <v>5791</v>
      </c>
    </row>
    <row r="1375" spans="1:5" x14ac:dyDescent="0.3">
      <c r="A1375" t="s">
        <v>9341</v>
      </c>
      <c r="B1375" t="s">
        <v>9342</v>
      </c>
      <c r="C1375" t="s">
        <v>2696</v>
      </c>
      <c r="D1375" t="s">
        <v>2696</v>
      </c>
      <c r="E1375" t="s">
        <v>9343</v>
      </c>
    </row>
    <row r="1376" spans="1:5" x14ac:dyDescent="0.3">
      <c r="A1376" t="s">
        <v>9364</v>
      </c>
      <c r="B1376" t="s">
        <v>9365</v>
      </c>
      <c r="C1376" t="s">
        <v>2696</v>
      </c>
      <c r="D1376" t="s">
        <v>2696</v>
      </c>
      <c r="E1376" t="s">
        <v>9366</v>
      </c>
    </row>
    <row r="1377" spans="1:5" x14ac:dyDescent="0.3">
      <c r="A1377" t="s">
        <v>8683</v>
      </c>
      <c r="B1377" t="s">
        <v>8684</v>
      </c>
      <c r="C1377" t="s">
        <v>2696</v>
      </c>
      <c r="D1377" t="s">
        <v>2696</v>
      </c>
      <c r="E1377" t="s">
        <v>8685</v>
      </c>
    </row>
    <row r="1378" spans="1:5" x14ac:dyDescent="0.3">
      <c r="A1378" t="s">
        <v>8706</v>
      </c>
      <c r="B1378" t="s">
        <v>3141</v>
      </c>
      <c r="C1378" t="s">
        <v>2696</v>
      </c>
      <c r="D1378" t="s">
        <v>2696</v>
      </c>
      <c r="E1378" t="s">
        <v>8707</v>
      </c>
    </row>
    <row r="1379" spans="1:5" x14ac:dyDescent="0.3">
      <c r="A1379" t="s">
        <v>8838</v>
      </c>
      <c r="B1379" t="s">
        <v>8839</v>
      </c>
      <c r="C1379" t="s">
        <v>2696</v>
      </c>
      <c r="D1379" t="s">
        <v>2696</v>
      </c>
      <c r="E1379" t="s">
        <v>8840</v>
      </c>
    </row>
    <row r="1380" spans="1:5" x14ac:dyDescent="0.3">
      <c r="A1380" t="s">
        <v>8860</v>
      </c>
      <c r="B1380" t="s">
        <v>8861</v>
      </c>
      <c r="C1380" t="s">
        <v>3850</v>
      </c>
      <c r="D1380" t="s">
        <v>3712</v>
      </c>
      <c r="E1380" t="s">
        <v>8862</v>
      </c>
    </row>
    <row r="1381" spans="1:5" x14ac:dyDescent="0.3">
      <c r="A1381" t="s">
        <v>8273</v>
      </c>
      <c r="B1381" t="s">
        <v>8274</v>
      </c>
      <c r="C1381" t="s">
        <v>2696</v>
      </c>
      <c r="D1381" t="s">
        <v>2696</v>
      </c>
      <c r="E1381" t="s">
        <v>8275</v>
      </c>
    </row>
    <row r="1382" spans="1:5" x14ac:dyDescent="0.3">
      <c r="A1382" t="s">
        <v>8297</v>
      </c>
      <c r="B1382" t="s">
        <v>8298</v>
      </c>
      <c r="C1382" t="s">
        <v>2696</v>
      </c>
      <c r="D1382" t="s">
        <v>2696</v>
      </c>
      <c r="E1382" t="s">
        <v>8299</v>
      </c>
    </row>
    <row r="1383" spans="1:5" x14ac:dyDescent="0.3">
      <c r="A1383" t="s">
        <v>8884</v>
      </c>
      <c r="B1383" t="s">
        <v>8885</v>
      </c>
      <c r="C1383" t="s">
        <v>3860</v>
      </c>
      <c r="D1383" t="s">
        <v>2704</v>
      </c>
      <c r="E1383" t="s">
        <v>8886</v>
      </c>
    </row>
    <row r="1384" spans="1:5" x14ac:dyDescent="0.3">
      <c r="A1384" t="s">
        <v>8908</v>
      </c>
      <c r="B1384" t="s">
        <v>8909</v>
      </c>
      <c r="C1384" t="s">
        <v>2696</v>
      </c>
      <c r="D1384" t="s">
        <v>2696</v>
      </c>
      <c r="E1384" t="s">
        <v>8910</v>
      </c>
    </row>
    <row r="1385" spans="1:5" x14ac:dyDescent="0.3">
      <c r="A1385" t="s">
        <v>5813</v>
      </c>
      <c r="B1385" t="s">
        <v>5814</v>
      </c>
      <c r="C1385" t="s">
        <v>2696</v>
      </c>
      <c r="D1385" t="s">
        <v>2696</v>
      </c>
      <c r="E1385" t="s">
        <v>5815</v>
      </c>
    </row>
    <row r="1386" spans="1:5" x14ac:dyDescent="0.3">
      <c r="A1386" t="s">
        <v>5837</v>
      </c>
      <c r="B1386" t="s">
        <v>5838</v>
      </c>
      <c r="C1386" t="s">
        <v>2696</v>
      </c>
      <c r="D1386" t="s">
        <v>2696</v>
      </c>
      <c r="E1386" t="s">
        <v>5839</v>
      </c>
    </row>
    <row r="1387" spans="1:5" x14ac:dyDescent="0.3">
      <c r="A1387" t="s">
        <v>9386</v>
      </c>
      <c r="B1387" t="s">
        <v>9387</v>
      </c>
      <c r="C1387" t="s">
        <v>2696</v>
      </c>
      <c r="D1387" t="s">
        <v>2696</v>
      </c>
      <c r="E1387" t="s">
        <v>9388</v>
      </c>
    </row>
    <row r="1388" spans="1:5" x14ac:dyDescent="0.3">
      <c r="A1388" t="s">
        <v>9409</v>
      </c>
      <c r="B1388" t="s">
        <v>9410</v>
      </c>
      <c r="C1388" t="s">
        <v>2696</v>
      </c>
      <c r="D1388" t="s">
        <v>2696</v>
      </c>
      <c r="E1388" t="s">
        <v>9411</v>
      </c>
    </row>
    <row r="1389" spans="1:5" x14ac:dyDescent="0.3">
      <c r="A1389" t="s">
        <v>8930</v>
      </c>
      <c r="B1389" t="s">
        <v>8931</v>
      </c>
      <c r="C1389" t="s">
        <v>2696</v>
      </c>
      <c r="D1389" t="s">
        <v>2696</v>
      </c>
      <c r="E1389" t="s">
        <v>8932</v>
      </c>
    </row>
    <row r="1390" spans="1:5" x14ac:dyDescent="0.3">
      <c r="A1390" t="s">
        <v>8954</v>
      </c>
      <c r="B1390" t="s">
        <v>8955</v>
      </c>
      <c r="C1390" t="s">
        <v>2696</v>
      </c>
      <c r="D1390" t="s">
        <v>2696</v>
      </c>
      <c r="E1390" t="s">
        <v>8956</v>
      </c>
    </row>
    <row r="1391" spans="1:5" x14ac:dyDescent="0.3">
      <c r="A1391" t="s">
        <v>2593</v>
      </c>
      <c r="B1391" t="s">
        <v>2594</v>
      </c>
      <c r="C1391" t="s">
        <v>1533</v>
      </c>
      <c r="D1391" t="s">
        <v>1111</v>
      </c>
      <c r="E1391" t="s">
        <v>2595</v>
      </c>
    </row>
    <row r="1392" spans="1:5" x14ac:dyDescent="0.3">
      <c r="A1392" t="s">
        <v>2596</v>
      </c>
      <c r="B1392" t="s">
        <v>2597</v>
      </c>
      <c r="C1392" t="s">
        <v>1501</v>
      </c>
      <c r="D1392" t="s">
        <v>1088</v>
      </c>
      <c r="E1392" t="s">
        <v>2598</v>
      </c>
    </row>
    <row r="1393" spans="1:5" x14ac:dyDescent="0.3">
      <c r="A1393" t="s">
        <v>8321</v>
      </c>
      <c r="B1393" t="s">
        <v>8322</v>
      </c>
      <c r="C1393" t="s">
        <v>2696</v>
      </c>
      <c r="D1393" t="s">
        <v>2696</v>
      </c>
      <c r="E1393" t="s">
        <v>8323</v>
      </c>
    </row>
    <row r="1394" spans="1:5" x14ac:dyDescent="0.3">
      <c r="A1394" t="s">
        <v>8344</v>
      </c>
      <c r="B1394" t="s">
        <v>8345</v>
      </c>
      <c r="C1394" t="s">
        <v>2696</v>
      </c>
      <c r="D1394" t="s">
        <v>2696</v>
      </c>
      <c r="E1394" t="s">
        <v>8346</v>
      </c>
    </row>
    <row r="1395" spans="1:5" x14ac:dyDescent="0.3">
      <c r="A1395" t="s">
        <v>5861</v>
      </c>
      <c r="B1395" t="s">
        <v>5862</v>
      </c>
      <c r="C1395" t="s">
        <v>2696</v>
      </c>
      <c r="D1395" t="s">
        <v>2696</v>
      </c>
      <c r="E1395" t="s">
        <v>5863</v>
      </c>
    </row>
    <row r="1396" spans="1:5" x14ac:dyDescent="0.3">
      <c r="A1396" t="s">
        <v>5883</v>
      </c>
      <c r="B1396" t="s">
        <v>5884</v>
      </c>
      <c r="C1396" t="s">
        <v>2696</v>
      </c>
      <c r="D1396" t="s">
        <v>2696</v>
      </c>
      <c r="E1396" t="s">
        <v>5885</v>
      </c>
    </row>
    <row r="1397" spans="1:5" x14ac:dyDescent="0.3">
      <c r="A1397" t="s">
        <v>8977</v>
      </c>
      <c r="B1397" t="s">
        <v>8978</v>
      </c>
      <c r="C1397" t="s">
        <v>2696</v>
      </c>
      <c r="D1397" t="s">
        <v>2696</v>
      </c>
      <c r="E1397" t="s">
        <v>8979</v>
      </c>
    </row>
    <row r="1398" spans="1:5" x14ac:dyDescent="0.3">
      <c r="A1398" t="s">
        <v>9432</v>
      </c>
      <c r="B1398" t="s">
        <v>9433</v>
      </c>
      <c r="C1398" t="s">
        <v>2696</v>
      </c>
      <c r="D1398" t="s">
        <v>2696</v>
      </c>
      <c r="E1398" t="s">
        <v>9434</v>
      </c>
    </row>
    <row r="1399" spans="1:5" x14ac:dyDescent="0.3">
      <c r="A1399" t="s">
        <v>9455</v>
      </c>
      <c r="B1399" t="s">
        <v>9456</v>
      </c>
      <c r="C1399" t="s">
        <v>2696</v>
      </c>
      <c r="D1399" t="s">
        <v>2696</v>
      </c>
      <c r="E1399" t="s">
        <v>9457</v>
      </c>
    </row>
    <row r="1400" spans="1:5" x14ac:dyDescent="0.3">
      <c r="A1400" t="s">
        <v>8368</v>
      </c>
      <c r="B1400" t="s">
        <v>8369</v>
      </c>
      <c r="C1400" t="s">
        <v>2696</v>
      </c>
      <c r="D1400" t="s">
        <v>2696</v>
      </c>
      <c r="E1400" t="s">
        <v>8370</v>
      </c>
    </row>
    <row r="1401" spans="1:5" x14ac:dyDescent="0.3">
      <c r="A1401" t="s">
        <v>8391</v>
      </c>
      <c r="B1401" t="s">
        <v>8392</v>
      </c>
      <c r="C1401" t="s">
        <v>2696</v>
      </c>
      <c r="D1401" t="s">
        <v>2696</v>
      </c>
      <c r="E1401" t="s">
        <v>8393</v>
      </c>
    </row>
    <row r="1402" spans="1:5" x14ac:dyDescent="0.3">
      <c r="A1402" t="s">
        <v>8734</v>
      </c>
      <c r="B1402" t="s">
        <v>1194</v>
      </c>
      <c r="C1402" t="s">
        <v>2696</v>
      </c>
      <c r="D1402" t="s">
        <v>2696</v>
      </c>
      <c r="E1402" t="s">
        <v>8735</v>
      </c>
    </row>
    <row r="1403" spans="1:5" x14ac:dyDescent="0.3">
      <c r="A1403" t="s">
        <v>8757</v>
      </c>
      <c r="B1403" t="s">
        <v>8758</v>
      </c>
      <c r="C1403" t="s">
        <v>2696</v>
      </c>
      <c r="D1403" t="s">
        <v>2696</v>
      </c>
      <c r="E1403" t="s">
        <v>8759</v>
      </c>
    </row>
    <row r="1404" spans="1:5" x14ac:dyDescent="0.3">
      <c r="A1404" t="s">
        <v>5907</v>
      </c>
      <c r="B1404" t="s">
        <v>5908</v>
      </c>
      <c r="C1404" t="s">
        <v>2696</v>
      </c>
      <c r="D1404" t="s">
        <v>2696</v>
      </c>
      <c r="E1404" t="s">
        <v>5909</v>
      </c>
    </row>
    <row r="1405" spans="1:5" x14ac:dyDescent="0.3">
      <c r="A1405" t="s">
        <v>5930</v>
      </c>
      <c r="B1405" t="s">
        <v>5931</v>
      </c>
      <c r="C1405" t="s">
        <v>2696</v>
      </c>
      <c r="D1405" t="s">
        <v>2696</v>
      </c>
      <c r="E1405" t="s">
        <v>5932</v>
      </c>
    </row>
    <row r="1406" spans="1:5" x14ac:dyDescent="0.3">
      <c r="A1406" t="s">
        <v>9000</v>
      </c>
      <c r="B1406" t="s">
        <v>9001</v>
      </c>
      <c r="C1406" t="s">
        <v>2696</v>
      </c>
      <c r="D1406" t="s">
        <v>2696</v>
      </c>
      <c r="E1406" t="s">
        <v>9002</v>
      </c>
    </row>
    <row r="1407" spans="1:5" x14ac:dyDescent="0.3">
      <c r="A1407" t="s">
        <v>9023</v>
      </c>
      <c r="B1407" t="s">
        <v>9024</v>
      </c>
      <c r="C1407" t="s">
        <v>2696</v>
      </c>
      <c r="D1407" t="s">
        <v>2696</v>
      </c>
      <c r="E1407" t="s">
        <v>9025</v>
      </c>
    </row>
    <row r="1408" spans="1:5" x14ac:dyDescent="0.3">
      <c r="A1408" t="s">
        <v>8413</v>
      </c>
      <c r="B1408" t="s">
        <v>8414</v>
      </c>
      <c r="C1408" t="s">
        <v>2696</v>
      </c>
      <c r="D1408" t="s">
        <v>2696</v>
      </c>
      <c r="E1408" t="s">
        <v>8415</v>
      </c>
    </row>
    <row r="1409" spans="1:5" x14ac:dyDescent="0.3">
      <c r="A1409" t="s">
        <v>9477</v>
      </c>
      <c r="B1409" t="s">
        <v>9478</v>
      </c>
      <c r="C1409" t="s">
        <v>2696</v>
      </c>
      <c r="D1409" t="s">
        <v>2696</v>
      </c>
      <c r="E1409" t="s">
        <v>9479</v>
      </c>
    </row>
    <row r="1410" spans="1:5" x14ac:dyDescent="0.3">
      <c r="A1410" t="s">
        <v>9500</v>
      </c>
      <c r="B1410" t="s">
        <v>9501</v>
      </c>
      <c r="C1410" t="s">
        <v>2696</v>
      </c>
      <c r="D1410" t="s">
        <v>2696</v>
      </c>
      <c r="E1410" t="s">
        <v>9502</v>
      </c>
    </row>
    <row r="1411" spans="1:5" x14ac:dyDescent="0.3">
      <c r="A1411" t="s">
        <v>9533</v>
      </c>
      <c r="B1411" t="s">
        <v>9534</v>
      </c>
      <c r="C1411" t="s">
        <v>2696</v>
      </c>
      <c r="D1411" t="s">
        <v>2696</v>
      </c>
      <c r="E1411" t="s">
        <v>9535</v>
      </c>
    </row>
    <row r="1412" spans="1:5" x14ac:dyDescent="0.3">
      <c r="A1412" t="s">
        <v>9557</v>
      </c>
      <c r="B1412" t="s">
        <v>9558</v>
      </c>
      <c r="C1412" t="s">
        <v>2696</v>
      </c>
      <c r="D1412" t="s">
        <v>2696</v>
      </c>
      <c r="E1412" t="s">
        <v>9559</v>
      </c>
    </row>
    <row r="1413" spans="1:5" x14ac:dyDescent="0.3">
      <c r="A1413" t="s">
        <v>8437</v>
      </c>
      <c r="B1413" t="s">
        <v>8438</v>
      </c>
      <c r="C1413" t="s">
        <v>2696</v>
      </c>
      <c r="D1413" t="s">
        <v>2696</v>
      </c>
      <c r="E1413" t="s">
        <v>8439</v>
      </c>
    </row>
    <row r="1414" spans="1:5" x14ac:dyDescent="0.3">
      <c r="A1414" t="s">
        <v>8461</v>
      </c>
      <c r="B1414" t="s">
        <v>8462</v>
      </c>
      <c r="C1414" t="s">
        <v>2696</v>
      </c>
      <c r="D1414" t="s">
        <v>2696</v>
      </c>
      <c r="E1414" t="s">
        <v>8463</v>
      </c>
    </row>
    <row r="1415" spans="1:5" x14ac:dyDescent="0.3">
      <c r="A1415" t="s">
        <v>5954</v>
      </c>
      <c r="B1415" t="s">
        <v>5955</v>
      </c>
      <c r="C1415" t="s">
        <v>2696</v>
      </c>
      <c r="D1415" t="s">
        <v>2696</v>
      </c>
      <c r="E1415" t="s">
        <v>5956</v>
      </c>
    </row>
    <row r="1416" spans="1:5" x14ac:dyDescent="0.3">
      <c r="A1416" t="s">
        <v>5978</v>
      </c>
      <c r="B1416" t="s">
        <v>5979</v>
      </c>
      <c r="C1416" t="s">
        <v>2696</v>
      </c>
      <c r="D1416" t="s">
        <v>2696</v>
      </c>
      <c r="E1416" t="s">
        <v>5980</v>
      </c>
    </row>
    <row r="1417" spans="1:5" x14ac:dyDescent="0.3">
      <c r="A1417" t="s">
        <v>10073</v>
      </c>
      <c r="B1417" t="s">
        <v>10074</v>
      </c>
      <c r="C1417" t="s">
        <v>2696</v>
      </c>
      <c r="D1417" t="s">
        <v>2696</v>
      </c>
      <c r="E1417" t="s">
        <v>10075</v>
      </c>
    </row>
    <row r="1418" spans="1:5" x14ac:dyDescent="0.3">
      <c r="A1418" t="s">
        <v>10096</v>
      </c>
      <c r="B1418" t="s">
        <v>8257</v>
      </c>
      <c r="C1418" t="s">
        <v>7344</v>
      </c>
      <c r="D1418" t="s">
        <v>2704</v>
      </c>
      <c r="E1418" t="s">
        <v>10097</v>
      </c>
    </row>
    <row r="1419" spans="1:5" x14ac:dyDescent="0.3">
      <c r="A1419" t="s">
        <v>8781</v>
      </c>
      <c r="B1419" t="s">
        <v>8782</v>
      </c>
      <c r="C1419" t="s">
        <v>4086</v>
      </c>
      <c r="D1419" t="s">
        <v>2704</v>
      </c>
      <c r="E1419" t="s">
        <v>8783</v>
      </c>
    </row>
    <row r="1420" spans="1:5" x14ac:dyDescent="0.3">
      <c r="A1420" t="s">
        <v>8485</v>
      </c>
      <c r="B1420" t="s">
        <v>8486</v>
      </c>
      <c r="C1420" t="s">
        <v>2696</v>
      </c>
      <c r="D1420" t="s">
        <v>2696</v>
      </c>
      <c r="E1420" t="s">
        <v>8487</v>
      </c>
    </row>
    <row r="1421" spans="1:5" x14ac:dyDescent="0.3">
      <c r="A1421" t="s">
        <v>8507</v>
      </c>
      <c r="B1421" t="s">
        <v>8508</v>
      </c>
      <c r="C1421" t="s">
        <v>2696</v>
      </c>
      <c r="D1421" t="s">
        <v>2696</v>
      </c>
      <c r="E1421" t="s">
        <v>8509</v>
      </c>
    </row>
    <row r="1422" spans="1:5" x14ac:dyDescent="0.3">
      <c r="A1422" t="s">
        <v>8680</v>
      </c>
      <c r="B1422" t="s">
        <v>8681</v>
      </c>
      <c r="C1422" t="s">
        <v>2696</v>
      </c>
      <c r="D1422" t="s">
        <v>2696</v>
      </c>
      <c r="E1422" t="s">
        <v>8682</v>
      </c>
    </row>
    <row r="1423" spans="1:5" x14ac:dyDescent="0.3">
      <c r="A1423" t="s">
        <v>8703</v>
      </c>
      <c r="B1423" t="s">
        <v>8704</v>
      </c>
      <c r="C1423" t="s">
        <v>2696</v>
      </c>
      <c r="D1423" t="s">
        <v>2696</v>
      </c>
      <c r="E1423" t="s">
        <v>8705</v>
      </c>
    </row>
    <row r="1424" spans="1:5" x14ac:dyDescent="0.3">
      <c r="A1424" t="s">
        <v>9581</v>
      </c>
      <c r="B1424" t="s">
        <v>9582</v>
      </c>
      <c r="C1424" t="s">
        <v>2696</v>
      </c>
      <c r="D1424" t="s">
        <v>2696</v>
      </c>
      <c r="E1424" t="s">
        <v>9583</v>
      </c>
    </row>
    <row r="1425" spans="1:5" x14ac:dyDescent="0.3">
      <c r="A1425" t="s">
        <v>9603</v>
      </c>
      <c r="B1425" t="s">
        <v>9604</v>
      </c>
      <c r="C1425" t="s">
        <v>2696</v>
      </c>
      <c r="D1425" t="s">
        <v>2696</v>
      </c>
      <c r="E1425" t="s">
        <v>9605</v>
      </c>
    </row>
    <row r="1426" spans="1:5" x14ac:dyDescent="0.3">
      <c r="A1426" t="s">
        <v>9523</v>
      </c>
      <c r="B1426" t="s">
        <v>9524</v>
      </c>
      <c r="C1426" t="s">
        <v>2696</v>
      </c>
      <c r="D1426" t="s">
        <v>2696</v>
      </c>
      <c r="E1426" t="s">
        <v>9525</v>
      </c>
    </row>
    <row r="1427" spans="1:5" x14ac:dyDescent="0.3">
      <c r="A1427" t="s">
        <v>9545</v>
      </c>
      <c r="B1427" t="s">
        <v>9546</v>
      </c>
      <c r="C1427" t="s">
        <v>2696</v>
      </c>
      <c r="D1427" t="s">
        <v>2696</v>
      </c>
      <c r="E1427" t="s">
        <v>9547</v>
      </c>
    </row>
    <row r="1428" spans="1:5" x14ac:dyDescent="0.3">
      <c r="A1428" t="s">
        <v>10118</v>
      </c>
      <c r="B1428" t="s">
        <v>10119</v>
      </c>
      <c r="C1428" t="s">
        <v>2696</v>
      </c>
      <c r="D1428" t="s">
        <v>2696</v>
      </c>
      <c r="E1428" t="s">
        <v>10120</v>
      </c>
    </row>
    <row r="1429" spans="1:5" x14ac:dyDescent="0.3">
      <c r="A1429" t="s">
        <v>6002</v>
      </c>
      <c r="B1429" t="s">
        <v>6003</v>
      </c>
      <c r="C1429" t="s">
        <v>2696</v>
      </c>
      <c r="D1429" t="s">
        <v>2696</v>
      </c>
      <c r="E1429" t="s">
        <v>6004</v>
      </c>
    </row>
    <row r="1430" spans="1:5" x14ac:dyDescent="0.3">
      <c r="A1430" t="s">
        <v>6024</v>
      </c>
      <c r="B1430" t="s">
        <v>6025</v>
      </c>
      <c r="C1430" t="s">
        <v>2696</v>
      </c>
      <c r="D1430" t="s">
        <v>2696</v>
      </c>
      <c r="E1430" t="s">
        <v>6026</v>
      </c>
    </row>
    <row r="1431" spans="1:5" x14ac:dyDescent="0.3">
      <c r="A1431" t="s">
        <v>9569</v>
      </c>
      <c r="B1431" t="s">
        <v>9570</v>
      </c>
      <c r="C1431" t="s">
        <v>2696</v>
      </c>
      <c r="D1431" t="s">
        <v>2696</v>
      </c>
      <c r="E1431" t="s">
        <v>9571</v>
      </c>
    </row>
    <row r="1432" spans="1:5" x14ac:dyDescent="0.3">
      <c r="A1432" t="s">
        <v>9592</v>
      </c>
      <c r="B1432" t="s">
        <v>1763</v>
      </c>
      <c r="C1432" t="s">
        <v>2696</v>
      </c>
      <c r="D1432" t="s">
        <v>2696</v>
      </c>
      <c r="E1432" t="s">
        <v>9593</v>
      </c>
    </row>
    <row r="1433" spans="1:5" x14ac:dyDescent="0.3">
      <c r="A1433" t="s">
        <v>8530</v>
      </c>
      <c r="B1433" t="s">
        <v>8531</v>
      </c>
      <c r="C1433" t="s">
        <v>2696</v>
      </c>
      <c r="D1433" t="s">
        <v>2696</v>
      </c>
      <c r="E1433" t="s">
        <v>8532</v>
      </c>
    </row>
    <row r="1434" spans="1:5" x14ac:dyDescent="0.3">
      <c r="A1434" t="s">
        <v>8553</v>
      </c>
      <c r="B1434" t="s">
        <v>8554</v>
      </c>
      <c r="C1434" t="s">
        <v>2696</v>
      </c>
      <c r="D1434" t="s">
        <v>2696</v>
      </c>
      <c r="E1434" t="s">
        <v>8555</v>
      </c>
    </row>
    <row r="1435" spans="1:5" x14ac:dyDescent="0.3">
      <c r="A1435" t="s">
        <v>9626</v>
      </c>
      <c r="B1435" t="s">
        <v>9627</v>
      </c>
      <c r="C1435" t="s">
        <v>2696</v>
      </c>
      <c r="D1435" t="s">
        <v>2696</v>
      </c>
      <c r="E1435" t="s">
        <v>9628</v>
      </c>
    </row>
    <row r="1436" spans="1:5" x14ac:dyDescent="0.3">
      <c r="A1436" t="s">
        <v>9649</v>
      </c>
      <c r="B1436" t="s">
        <v>9650</v>
      </c>
      <c r="C1436" t="s">
        <v>2696</v>
      </c>
      <c r="D1436" t="s">
        <v>2696</v>
      </c>
      <c r="E1436" t="s">
        <v>9651</v>
      </c>
    </row>
    <row r="1437" spans="1:5" x14ac:dyDescent="0.3">
      <c r="A1437" t="s">
        <v>10141</v>
      </c>
      <c r="B1437" t="s">
        <v>10142</v>
      </c>
      <c r="C1437" t="s">
        <v>2696</v>
      </c>
      <c r="D1437" t="s">
        <v>2696</v>
      </c>
      <c r="E1437" t="s">
        <v>10143</v>
      </c>
    </row>
    <row r="1438" spans="1:5" x14ac:dyDescent="0.3">
      <c r="A1438" t="s">
        <v>10164</v>
      </c>
      <c r="B1438" t="s">
        <v>10165</v>
      </c>
      <c r="C1438" t="s">
        <v>4229</v>
      </c>
      <c r="D1438" t="s">
        <v>2841</v>
      </c>
      <c r="E1438" t="s">
        <v>10166</v>
      </c>
    </row>
    <row r="1439" spans="1:5" x14ac:dyDescent="0.3">
      <c r="A1439" t="s">
        <v>2632</v>
      </c>
      <c r="B1439" t="s">
        <v>2633</v>
      </c>
      <c r="C1439" t="s">
        <v>1533</v>
      </c>
      <c r="D1439" t="s">
        <v>1111</v>
      </c>
      <c r="E1439" t="s">
        <v>2634</v>
      </c>
    </row>
    <row r="1440" spans="1:5" x14ac:dyDescent="0.3">
      <c r="A1440" t="s">
        <v>2635</v>
      </c>
      <c r="B1440" t="s">
        <v>2636</v>
      </c>
      <c r="C1440" t="s">
        <v>1501</v>
      </c>
      <c r="D1440" t="s">
        <v>1088</v>
      </c>
      <c r="E1440" t="s">
        <v>2637</v>
      </c>
    </row>
    <row r="1441" spans="1:5" x14ac:dyDescent="0.3">
      <c r="A1441" t="s">
        <v>6047</v>
      </c>
      <c r="B1441" t="s">
        <v>6048</v>
      </c>
      <c r="C1441" t="s">
        <v>2696</v>
      </c>
      <c r="D1441" t="s">
        <v>2696</v>
      </c>
      <c r="E1441" t="s">
        <v>6049</v>
      </c>
    </row>
    <row r="1442" spans="1:5" x14ac:dyDescent="0.3">
      <c r="A1442" t="s">
        <v>6070</v>
      </c>
      <c r="B1442" t="s">
        <v>6071</v>
      </c>
      <c r="C1442" t="s">
        <v>2696</v>
      </c>
      <c r="D1442" t="s">
        <v>2696</v>
      </c>
      <c r="E1442" t="s">
        <v>6072</v>
      </c>
    </row>
    <row r="1443" spans="1:5" x14ac:dyDescent="0.3">
      <c r="A1443" t="s">
        <v>8577</v>
      </c>
      <c r="B1443" t="s">
        <v>8578</v>
      </c>
      <c r="C1443" t="s">
        <v>2696</v>
      </c>
      <c r="D1443" t="s">
        <v>2696</v>
      </c>
      <c r="E1443" t="s">
        <v>8579</v>
      </c>
    </row>
    <row r="1444" spans="1:5" x14ac:dyDescent="0.3">
      <c r="A1444" t="s">
        <v>8601</v>
      </c>
      <c r="B1444" t="s">
        <v>8602</v>
      </c>
      <c r="C1444" t="s">
        <v>2696</v>
      </c>
      <c r="D1444" t="s">
        <v>2696</v>
      </c>
      <c r="E1444" t="s">
        <v>8603</v>
      </c>
    </row>
    <row r="1445" spans="1:5" x14ac:dyDescent="0.3">
      <c r="A1445" t="s">
        <v>10186</v>
      </c>
      <c r="B1445" t="s">
        <v>6290</v>
      </c>
      <c r="C1445" t="s">
        <v>4229</v>
      </c>
      <c r="D1445" t="s">
        <v>2841</v>
      </c>
      <c r="E1445" t="s">
        <v>10187</v>
      </c>
    </row>
    <row r="1446" spans="1:5" x14ac:dyDescent="0.3">
      <c r="A1446" t="s">
        <v>10208</v>
      </c>
      <c r="B1446" t="s">
        <v>10209</v>
      </c>
      <c r="C1446" t="s">
        <v>3768</v>
      </c>
      <c r="D1446" t="s">
        <v>2852</v>
      </c>
      <c r="E1446" t="s">
        <v>10210</v>
      </c>
    </row>
    <row r="1447" spans="1:5" x14ac:dyDescent="0.3">
      <c r="A1447" t="s">
        <v>9671</v>
      </c>
      <c r="B1447" t="s">
        <v>9672</v>
      </c>
      <c r="C1447" t="s">
        <v>2696</v>
      </c>
      <c r="D1447" t="s">
        <v>2696</v>
      </c>
      <c r="E1447" t="s">
        <v>9673</v>
      </c>
    </row>
    <row r="1448" spans="1:5" x14ac:dyDescent="0.3">
      <c r="A1448" t="s">
        <v>9695</v>
      </c>
      <c r="B1448" t="s">
        <v>9696</v>
      </c>
      <c r="C1448" t="s">
        <v>2696</v>
      </c>
      <c r="D1448" t="s">
        <v>2696</v>
      </c>
      <c r="E1448" t="s">
        <v>9697</v>
      </c>
    </row>
    <row r="1449" spans="1:5" x14ac:dyDescent="0.3">
      <c r="A1449" t="s">
        <v>8624</v>
      </c>
      <c r="B1449" t="s">
        <v>8625</v>
      </c>
      <c r="C1449" t="s">
        <v>4246</v>
      </c>
      <c r="D1449" t="s">
        <v>2709</v>
      </c>
      <c r="E1449" t="s">
        <v>8626</v>
      </c>
    </row>
    <row r="1450" spans="1:5" x14ac:dyDescent="0.3">
      <c r="A1450" t="s">
        <v>8648</v>
      </c>
      <c r="B1450" t="s">
        <v>8649</v>
      </c>
      <c r="C1450" t="s">
        <v>4246</v>
      </c>
      <c r="D1450" t="s">
        <v>2709</v>
      </c>
      <c r="E1450" t="s">
        <v>8650</v>
      </c>
    </row>
    <row r="1451" spans="1:5" x14ac:dyDescent="0.3">
      <c r="A1451" t="s">
        <v>6093</v>
      </c>
      <c r="B1451" t="s">
        <v>6094</v>
      </c>
      <c r="C1451" t="s">
        <v>2696</v>
      </c>
      <c r="D1451" t="s">
        <v>2696</v>
      </c>
      <c r="E1451" t="s">
        <v>6095</v>
      </c>
    </row>
    <row r="1452" spans="1:5" x14ac:dyDescent="0.3">
      <c r="A1452" t="s">
        <v>6115</v>
      </c>
      <c r="B1452" t="s">
        <v>6116</v>
      </c>
      <c r="C1452" t="s">
        <v>2696</v>
      </c>
      <c r="D1452" t="s">
        <v>2696</v>
      </c>
      <c r="E1452" t="s">
        <v>6117</v>
      </c>
    </row>
    <row r="1453" spans="1:5" x14ac:dyDescent="0.3">
      <c r="A1453" t="s">
        <v>2653</v>
      </c>
      <c r="B1453" t="s">
        <v>2654</v>
      </c>
      <c r="C1453" t="s">
        <v>1543</v>
      </c>
      <c r="D1453" t="s">
        <v>1088</v>
      </c>
      <c r="E1453" t="s">
        <v>2655</v>
      </c>
    </row>
    <row r="1454" spans="1:5" x14ac:dyDescent="0.3">
      <c r="A1454" t="s">
        <v>10227</v>
      </c>
      <c r="B1454" t="s">
        <v>10228</v>
      </c>
      <c r="C1454" t="s">
        <v>2696</v>
      </c>
      <c r="D1454" t="s">
        <v>2696</v>
      </c>
      <c r="E1454" t="s">
        <v>10229</v>
      </c>
    </row>
    <row r="1455" spans="1:5" x14ac:dyDescent="0.3">
      <c r="A1455" t="s">
        <v>8802</v>
      </c>
      <c r="B1455" t="s">
        <v>8803</v>
      </c>
      <c r="C1455" t="s">
        <v>2703</v>
      </c>
      <c r="D1455" t="s">
        <v>2704</v>
      </c>
      <c r="E1455" t="s">
        <v>8804</v>
      </c>
    </row>
    <row r="1456" spans="1:5" x14ac:dyDescent="0.3">
      <c r="A1456" t="s">
        <v>8823</v>
      </c>
      <c r="B1456" t="s">
        <v>8824</v>
      </c>
      <c r="C1456" t="s">
        <v>2696</v>
      </c>
      <c r="D1456" t="s">
        <v>2696</v>
      </c>
      <c r="E1456" t="s">
        <v>8825</v>
      </c>
    </row>
    <row r="1457" spans="1:5" x14ac:dyDescent="0.3">
      <c r="A1457" t="s">
        <v>8671</v>
      </c>
      <c r="B1457" t="s">
        <v>8672</v>
      </c>
      <c r="C1457" t="s">
        <v>4246</v>
      </c>
      <c r="D1457" t="s">
        <v>2709</v>
      </c>
      <c r="E1457" t="s">
        <v>8673</v>
      </c>
    </row>
    <row r="1458" spans="1:5" x14ac:dyDescent="0.3">
      <c r="A1458" t="s">
        <v>8695</v>
      </c>
      <c r="B1458" t="s">
        <v>5227</v>
      </c>
      <c r="C1458" t="s">
        <v>2696</v>
      </c>
      <c r="D1458" t="s">
        <v>2696</v>
      </c>
      <c r="E1458" t="s">
        <v>8696</v>
      </c>
    </row>
    <row r="1459" spans="1:5" x14ac:dyDescent="0.3">
      <c r="A1459" t="s">
        <v>2207</v>
      </c>
      <c r="B1459" t="s">
        <v>2208</v>
      </c>
      <c r="C1459" t="s">
        <v>1196</v>
      </c>
      <c r="D1459" t="s">
        <v>1088</v>
      </c>
      <c r="E1459" t="s">
        <v>2209</v>
      </c>
    </row>
    <row r="1460" spans="1:5" x14ac:dyDescent="0.3">
      <c r="A1460" t="s">
        <v>9719</v>
      </c>
      <c r="B1460" t="s">
        <v>9720</v>
      </c>
      <c r="C1460" t="s">
        <v>2696</v>
      </c>
      <c r="D1460" t="s">
        <v>2696</v>
      </c>
      <c r="E1460" t="s">
        <v>9721</v>
      </c>
    </row>
    <row r="1461" spans="1:5" x14ac:dyDescent="0.3">
      <c r="A1461" t="s">
        <v>9740</v>
      </c>
      <c r="B1461" t="s">
        <v>9741</v>
      </c>
      <c r="C1461" t="s">
        <v>2696</v>
      </c>
      <c r="D1461" t="s">
        <v>2696</v>
      </c>
      <c r="E1461" t="s">
        <v>9742</v>
      </c>
    </row>
    <row r="1462" spans="1:5" x14ac:dyDescent="0.3">
      <c r="A1462" t="s">
        <v>10251</v>
      </c>
      <c r="B1462" t="s">
        <v>10252</v>
      </c>
      <c r="C1462" t="s">
        <v>2696</v>
      </c>
      <c r="D1462" t="s">
        <v>2696</v>
      </c>
      <c r="E1462" t="s">
        <v>10253</v>
      </c>
    </row>
    <row r="1463" spans="1:5" x14ac:dyDescent="0.3">
      <c r="A1463" t="s">
        <v>2662</v>
      </c>
      <c r="B1463" t="s">
        <v>2663</v>
      </c>
      <c r="C1463" t="s">
        <v>1209</v>
      </c>
      <c r="D1463" t="s">
        <v>1088</v>
      </c>
      <c r="E1463" t="s">
        <v>2664</v>
      </c>
    </row>
    <row r="1464" spans="1:5" x14ac:dyDescent="0.3">
      <c r="A1464" t="s">
        <v>9615</v>
      </c>
      <c r="B1464" t="s">
        <v>9616</v>
      </c>
      <c r="C1464" t="s">
        <v>2696</v>
      </c>
      <c r="D1464" t="s">
        <v>2696</v>
      </c>
      <c r="E1464" t="s">
        <v>9617</v>
      </c>
    </row>
    <row r="1465" spans="1:5" x14ac:dyDescent="0.3">
      <c r="A1465" t="s">
        <v>2521</v>
      </c>
      <c r="B1465" t="s">
        <v>2522</v>
      </c>
      <c r="C1465" t="s">
        <v>1533</v>
      </c>
      <c r="D1465" t="s">
        <v>1111</v>
      </c>
      <c r="E1465" t="s">
        <v>2523</v>
      </c>
    </row>
    <row r="1466" spans="1:5" x14ac:dyDescent="0.3">
      <c r="A1466" t="s">
        <v>6141</v>
      </c>
      <c r="B1466" t="s">
        <v>6142</v>
      </c>
      <c r="C1466" t="s">
        <v>4469</v>
      </c>
      <c r="D1466" t="s">
        <v>2709</v>
      </c>
      <c r="E1466" t="s">
        <v>6143</v>
      </c>
    </row>
    <row r="1467" spans="1:5" x14ac:dyDescent="0.3">
      <c r="A1467" t="s">
        <v>6165</v>
      </c>
      <c r="B1467" t="s">
        <v>6166</v>
      </c>
      <c r="C1467" t="s">
        <v>2840</v>
      </c>
      <c r="D1467" t="s">
        <v>2841</v>
      </c>
      <c r="E1467" t="s">
        <v>6167</v>
      </c>
    </row>
    <row r="1468" spans="1:5" x14ac:dyDescent="0.3">
      <c r="A1468" t="s">
        <v>9638</v>
      </c>
      <c r="B1468" t="s">
        <v>9639</v>
      </c>
      <c r="C1468" t="s">
        <v>2696</v>
      </c>
      <c r="D1468" t="s">
        <v>2696</v>
      </c>
      <c r="E1468" t="s">
        <v>9640</v>
      </c>
    </row>
    <row r="1469" spans="1:5" x14ac:dyDescent="0.3">
      <c r="A1469" t="s">
        <v>9660</v>
      </c>
      <c r="B1469" t="s">
        <v>9661</v>
      </c>
      <c r="C1469" t="s">
        <v>2696</v>
      </c>
      <c r="D1469" t="s">
        <v>2696</v>
      </c>
      <c r="E1469" t="s">
        <v>9662</v>
      </c>
    </row>
    <row r="1470" spans="1:5" x14ac:dyDescent="0.3">
      <c r="A1470" t="s">
        <v>9683</v>
      </c>
      <c r="B1470" t="s">
        <v>9684</v>
      </c>
      <c r="C1470" t="s">
        <v>2696</v>
      </c>
      <c r="D1470" t="s">
        <v>2696</v>
      </c>
      <c r="E1470" t="s">
        <v>9685</v>
      </c>
    </row>
    <row r="1471" spans="1:5" x14ac:dyDescent="0.3">
      <c r="A1471" t="s">
        <v>8846</v>
      </c>
      <c r="B1471" t="s">
        <v>8847</v>
      </c>
      <c r="C1471" t="s">
        <v>2696</v>
      </c>
      <c r="D1471" t="s">
        <v>2696</v>
      </c>
      <c r="E1471" t="s">
        <v>8848</v>
      </c>
    </row>
    <row r="1472" spans="1:5" x14ac:dyDescent="0.3">
      <c r="A1472" t="s">
        <v>8869</v>
      </c>
      <c r="B1472" t="s">
        <v>8870</v>
      </c>
      <c r="C1472" t="s">
        <v>3850</v>
      </c>
      <c r="D1472" t="s">
        <v>3712</v>
      </c>
      <c r="E1472" t="s">
        <v>8871</v>
      </c>
    </row>
    <row r="1473" spans="1:5" x14ac:dyDescent="0.3">
      <c r="A1473" t="s">
        <v>10283</v>
      </c>
      <c r="B1473" t="s">
        <v>3868</v>
      </c>
      <c r="C1473" t="s">
        <v>4086</v>
      </c>
      <c r="D1473" t="s">
        <v>2704</v>
      </c>
      <c r="E1473" t="s">
        <v>10284</v>
      </c>
    </row>
    <row r="1474" spans="1:5" x14ac:dyDescent="0.3">
      <c r="A1474" t="s">
        <v>10302</v>
      </c>
      <c r="B1474" t="s">
        <v>1772</v>
      </c>
      <c r="C1474" t="s">
        <v>7397</v>
      </c>
      <c r="D1474" t="s">
        <v>2704</v>
      </c>
      <c r="E1474" t="s">
        <v>10303</v>
      </c>
    </row>
    <row r="1475" spans="1:5" x14ac:dyDescent="0.3">
      <c r="A1475" t="s">
        <v>2524</v>
      </c>
      <c r="B1475" t="s">
        <v>2525</v>
      </c>
      <c r="C1475" t="s">
        <v>1501</v>
      </c>
      <c r="D1475" t="s">
        <v>1088</v>
      </c>
      <c r="E1475" t="s">
        <v>2526</v>
      </c>
    </row>
    <row r="1476" spans="1:5" x14ac:dyDescent="0.3">
      <c r="A1476" t="s">
        <v>8722</v>
      </c>
      <c r="B1476" t="s">
        <v>8723</v>
      </c>
      <c r="C1476" t="s">
        <v>134</v>
      </c>
      <c r="D1476" t="s">
        <v>133</v>
      </c>
      <c r="E1476" t="s">
        <v>8724</v>
      </c>
    </row>
    <row r="1477" spans="1:5" x14ac:dyDescent="0.3">
      <c r="A1477" t="s">
        <v>6189</v>
      </c>
      <c r="B1477" t="s">
        <v>6190</v>
      </c>
      <c r="C1477" t="s">
        <v>4086</v>
      </c>
      <c r="D1477" t="s">
        <v>2704</v>
      </c>
      <c r="E1477" t="s">
        <v>6191</v>
      </c>
    </row>
    <row r="1478" spans="1:5" x14ac:dyDescent="0.3">
      <c r="A1478" t="s">
        <v>2231</v>
      </c>
      <c r="B1478" t="s">
        <v>2232</v>
      </c>
      <c r="C1478" t="s">
        <v>1501</v>
      </c>
      <c r="D1478" t="s">
        <v>1088</v>
      </c>
      <c r="E1478" t="s">
        <v>2233</v>
      </c>
    </row>
    <row r="1479" spans="1:5" x14ac:dyDescent="0.3">
      <c r="A1479" t="s">
        <v>9764</v>
      </c>
      <c r="B1479" t="s">
        <v>2792</v>
      </c>
      <c r="C1479" t="s">
        <v>6349</v>
      </c>
      <c r="D1479" t="s">
        <v>2841</v>
      </c>
      <c r="E1479" t="s">
        <v>9765</v>
      </c>
    </row>
    <row r="1480" spans="1:5" x14ac:dyDescent="0.3">
      <c r="A1480" t="s">
        <v>9707</v>
      </c>
      <c r="B1480" t="s">
        <v>9708</v>
      </c>
      <c r="C1480" t="s">
        <v>2696</v>
      </c>
      <c r="D1480" t="s">
        <v>2696</v>
      </c>
      <c r="E1480" t="s">
        <v>9709</v>
      </c>
    </row>
    <row r="1481" spans="1:5" x14ac:dyDescent="0.3">
      <c r="A1481" t="s">
        <v>9730</v>
      </c>
      <c r="B1481" t="s">
        <v>2348</v>
      </c>
      <c r="C1481" t="s">
        <v>2696</v>
      </c>
      <c r="D1481" t="s">
        <v>2696</v>
      </c>
      <c r="E1481" t="s">
        <v>9731</v>
      </c>
    </row>
    <row r="1482" spans="1:5" x14ac:dyDescent="0.3">
      <c r="A1482" t="s">
        <v>9047</v>
      </c>
      <c r="B1482" t="s">
        <v>9048</v>
      </c>
      <c r="C1482" t="s">
        <v>2696</v>
      </c>
      <c r="D1482" t="s">
        <v>2696</v>
      </c>
      <c r="E1482" t="s">
        <v>9049</v>
      </c>
    </row>
    <row r="1483" spans="1:5" x14ac:dyDescent="0.3">
      <c r="A1483" t="s">
        <v>9071</v>
      </c>
      <c r="B1483" t="s">
        <v>9072</v>
      </c>
      <c r="C1483" t="s">
        <v>2696</v>
      </c>
      <c r="D1483" t="s">
        <v>2696</v>
      </c>
      <c r="E1483" t="s">
        <v>9073</v>
      </c>
    </row>
    <row r="1484" spans="1:5" x14ac:dyDescent="0.3">
      <c r="A1484" t="s">
        <v>8745</v>
      </c>
      <c r="B1484" t="s">
        <v>8746</v>
      </c>
      <c r="C1484" t="s">
        <v>2696</v>
      </c>
      <c r="D1484" t="s">
        <v>2696</v>
      </c>
      <c r="E1484" t="s">
        <v>8747</v>
      </c>
    </row>
    <row r="1485" spans="1:5" x14ac:dyDescent="0.3">
      <c r="A1485" t="s">
        <v>8769</v>
      </c>
      <c r="B1485" t="s">
        <v>8770</v>
      </c>
      <c r="C1485" t="s">
        <v>3860</v>
      </c>
      <c r="D1485" t="s">
        <v>2704</v>
      </c>
      <c r="E1485" t="s">
        <v>8771</v>
      </c>
    </row>
    <row r="1486" spans="1:5" x14ac:dyDescent="0.3">
      <c r="A1486" t="s">
        <v>2237</v>
      </c>
      <c r="B1486" t="s">
        <v>2238</v>
      </c>
      <c r="C1486" t="s">
        <v>1209</v>
      </c>
      <c r="D1486" t="s">
        <v>1088</v>
      </c>
      <c r="E1486" t="s">
        <v>2239</v>
      </c>
    </row>
    <row r="1487" spans="1:5" x14ac:dyDescent="0.3">
      <c r="A1487" t="s">
        <v>6206</v>
      </c>
      <c r="B1487" t="s">
        <v>6207</v>
      </c>
      <c r="C1487" t="s">
        <v>4625</v>
      </c>
      <c r="D1487" t="s">
        <v>133</v>
      </c>
      <c r="E1487" t="s">
        <v>6208</v>
      </c>
    </row>
    <row r="1488" spans="1:5" x14ac:dyDescent="0.3">
      <c r="A1488" t="s">
        <v>9785</v>
      </c>
      <c r="B1488" t="s">
        <v>9786</v>
      </c>
      <c r="C1488" t="s">
        <v>6349</v>
      </c>
      <c r="D1488" t="s">
        <v>2841</v>
      </c>
      <c r="E1488" t="s">
        <v>9787</v>
      </c>
    </row>
    <row r="1489" spans="1:5" x14ac:dyDescent="0.3">
      <c r="A1489" t="s">
        <v>9808</v>
      </c>
      <c r="B1489" t="s">
        <v>9809</v>
      </c>
      <c r="C1489" t="s">
        <v>2840</v>
      </c>
      <c r="D1489" t="s">
        <v>2841</v>
      </c>
      <c r="E1489" t="s">
        <v>9810</v>
      </c>
    </row>
    <row r="1490" spans="1:5" x14ac:dyDescent="0.3">
      <c r="A1490" t="s">
        <v>9752</v>
      </c>
      <c r="B1490" t="s">
        <v>9753</v>
      </c>
      <c r="C1490" t="s">
        <v>7682</v>
      </c>
      <c r="D1490" t="s">
        <v>3712</v>
      </c>
      <c r="E1490" t="s">
        <v>9754</v>
      </c>
    </row>
    <row r="1491" spans="1:5" x14ac:dyDescent="0.3">
      <c r="A1491" t="s">
        <v>8792</v>
      </c>
      <c r="B1491" t="s">
        <v>3617</v>
      </c>
      <c r="C1491" t="s">
        <v>4086</v>
      </c>
      <c r="D1491" t="s">
        <v>2704</v>
      </c>
      <c r="E1491" t="s">
        <v>8793</v>
      </c>
    </row>
    <row r="1492" spans="1:5" x14ac:dyDescent="0.3">
      <c r="A1492" t="s">
        <v>2533</v>
      </c>
      <c r="B1492" t="s">
        <v>2534</v>
      </c>
      <c r="C1492" t="s">
        <v>1153</v>
      </c>
      <c r="D1492" t="s">
        <v>1088</v>
      </c>
      <c r="E1492" t="s">
        <v>2535</v>
      </c>
    </row>
    <row r="1493" spans="1:5" x14ac:dyDescent="0.3">
      <c r="A1493" t="s">
        <v>9094</v>
      </c>
      <c r="B1493" t="s">
        <v>9095</v>
      </c>
      <c r="C1493" t="s">
        <v>2696</v>
      </c>
      <c r="D1493" t="s">
        <v>2696</v>
      </c>
      <c r="E1493" t="s">
        <v>9096</v>
      </c>
    </row>
    <row r="1494" spans="1:5" x14ac:dyDescent="0.3">
      <c r="A1494" t="s">
        <v>9117</v>
      </c>
      <c r="B1494" t="s">
        <v>9118</v>
      </c>
      <c r="C1494" t="s">
        <v>2696</v>
      </c>
      <c r="D1494" t="s">
        <v>2696</v>
      </c>
      <c r="E1494" t="s">
        <v>9119</v>
      </c>
    </row>
    <row r="1495" spans="1:5" x14ac:dyDescent="0.3">
      <c r="A1495" t="s">
        <v>6229</v>
      </c>
      <c r="B1495" t="s">
        <v>6230</v>
      </c>
      <c r="C1495" t="s">
        <v>4733</v>
      </c>
      <c r="D1495" t="s">
        <v>2704</v>
      </c>
      <c r="E1495" t="s">
        <v>6231</v>
      </c>
    </row>
    <row r="1496" spans="1:5" x14ac:dyDescent="0.3">
      <c r="A1496" t="s">
        <v>6252</v>
      </c>
      <c r="B1496" t="s">
        <v>6253</v>
      </c>
      <c r="C1496" t="s">
        <v>134</v>
      </c>
      <c r="D1496" t="s">
        <v>133</v>
      </c>
      <c r="E1496" t="s">
        <v>6254</v>
      </c>
    </row>
    <row r="1497" spans="1:5" x14ac:dyDescent="0.3">
      <c r="A1497" t="s">
        <v>9831</v>
      </c>
      <c r="B1497" t="s">
        <v>9832</v>
      </c>
      <c r="C1497" t="s">
        <v>2840</v>
      </c>
      <c r="D1497" t="s">
        <v>2841</v>
      </c>
      <c r="E1497" t="s">
        <v>9833</v>
      </c>
    </row>
    <row r="1498" spans="1:5" x14ac:dyDescent="0.3">
      <c r="A1498" t="s">
        <v>9855</v>
      </c>
      <c r="B1498" t="s">
        <v>9856</v>
      </c>
      <c r="C1498" t="s">
        <v>2696</v>
      </c>
      <c r="D1498" t="s">
        <v>2696</v>
      </c>
      <c r="E1498" t="s">
        <v>9857</v>
      </c>
    </row>
    <row r="1499" spans="1:5" x14ac:dyDescent="0.3">
      <c r="A1499" t="s">
        <v>9773</v>
      </c>
      <c r="B1499" t="s">
        <v>9774</v>
      </c>
      <c r="C1499" t="s">
        <v>6349</v>
      </c>
      <c r="D1499" t="s">
        <v>2841</v>
      </c>
      <c r="E1499" t="s">
        <v>9775</v>
      </c>
    </row>
    <row r="1500" spans="1:5" x14ac:dyDescent="0.3">
      <c r="A1500" t="s">
        <v>9796</v>
      </c>
      <c r="B1500" t="s">
        <v>9797</v>
      </c>
      <c r="C1500" t="s">
        <v>6349</v>
      </c>
      <c r="D1500" t="s">
        <v>2841</v>
      </c>
      <c r="E1500" t="s">
        <v>9798</v>
      </c>
    </row>
    <row r="1501" spans="1:5" x14ac:dyDescent="0.3">
      <c r="A1501" t="s">
        <v>8835</v>
      </c>
      <c r="B1501" t="s">
        <v>8836</v>
      </c>
      <c r="C1501" t="s">
        <v>2696</v>
      </c>
      <c r="D1501" t="s">
        <v>2696</v>
      </c>
      <c r="E1501" t="s">
        <v>8837</v>
      </c>
    </row>
    <row r="1502" spans="1:5" x14ac:dyDescent="0.3">
      <c r="A1502" t="s">
        <v>8857</v>
      </c>
      <c r="B1502" t="s">
        <v>8858</v>
      </c>
      <c r="C1502" t="s">
        <v>3850</v>
      </c>
      <c r="D1502" t="s">
        <v>3712</v>
      </c>
      <c r="E1502" t="s">
        <v>8859</v>
      </c>
    </row>
    <row r="1503" spans="1:5" x14ac:dyDescent="0.3">
      <c r="A1503" t="s">
        <v>9141</v>
      </c>
      <c r="B1503" t="s">
        <v>9142</v>
      </c>
      <c r="C1503" t="s">
        <v>2696</v>
      </c>
      <c r="D1503" t="s">
        <v>2696</v>
      </c>
      <c r="E1503" t="s">
        <v>9143</v>
      </c>
    </row>
    <row r="1504" spans="1:5" x14ac:dyDescent="0.3">
      <c r="A1504" t="s">
        <v>9164</v>
      </c>
      <c r="B1504" t="s">
        <v>9165</v>
      </c>
      <c r="C1504" t="s">
        <v>2696</v>
      </c>
      <c r="D1504" t="s">
        <v>2696</v>
      </c>
      <c r="E1504" t="s">
        <v>9166</v>
      </c>
    </row>
    <row r="1505" spans="1:5" x14ac:dyDescent="0.3">
      <c r="A1505" t="s">
        <v>6276</v>
      </c>
      <c r="B1505" t="s">
        <v>2792</v>
      </c>
      <c r="C1505" t="s">
        <v>134</v>
      </c>
      <c r="D1505" t="s">
        <v>133</v>
      </c>
      <c r="E1505" t="s">
        <v>6277</v>
      </c>
    </row>
    <row r="1506" spans="1:5" x14ac:dyDescent="0.3">
      <c r="A1506" t="s">
        <v>2255</v>
      </c>
      <c r="B1506" t="s">
        <v>2256</v>
      </c>
      <c r="C1506" t="s">
        <v>1153</v>
      </c>
      <c r="D1506" t="s">
        <v>1088</v>
      </c>
      <c r="E1506" t="s">
        <v>2257</v>
      </c>
    </row>
    <row r="1507" spans="1:5" x14ac:dyDescent="0.3">
      <c r="A1507" t="s">
        <v>9878</v>
      </c>
      <c r="B1507" t="s">
        <v>9879</v>
      </c>
      <c r="C1507" t="s">
        <v>2696</v>
      </c>
      <c r="D1507" t="s">
        <v>2696</v>
      </c>
      <c r="E1507" t="s">
        <v>9880</v>
      </c>
    </row>
    <row r="1508" spans="1:5" x14ac:dyDescent="0.3">
      <c r="A1508" t="s">
        <v>9900</v>
      </c>
      <c r="B1508" t="s">
        <v>9901</v>
      </c>
      <c r="C1508" t="s">
        <v>4595</v>
      </c>
      <c r="D1508" t="s">
        <v>133</v>
      </c>
      <c r="E1508" t="s">
        <v>9902</v>
      </c>
    </row>
    <row r="1509" spans="1:5" x14ac:dyDescent="0.3">
      <c r="A1509" t="s">
        <v>9820</v>
      </c>
      <c r="B1509" t="s">
        <v>9821</v>
      </c>
      <c r="C1509" t="s">
        <v>2840</v>
      </c>
      <c r="D1509" t="s">
        <v>2841</v>
      </c>
      <c r="E1509" t="s">
        <v>9822</v>
      </c>
    </row>
    <row r="1510" spans="1:5" x14ac:dyDescent="0.3">
      <c r="A1510" t="s">
        <v>9843</v>
      </c>
      <c r="B1510" t="s">
        <v>9844</v>
      </c>
      <c r="C1510" t="s">
        <v>2840</v>
      </c>
      <c r="D1510" t="s">
        <v>2841</v>
      </c>
      <c r="E1510" t="s">
        <v>9845</v>
      </c>
    </row>
    <row r="1511" spans="1:5" x14ac:dyDescent="0.3">
      <c r="A1511" t="s">
        <v>8881</v>
      </c>
      <c r="B1511" t="s">
        <v>8882</v>
      </c>
      <c r="C1511" t="s">
        <v>3860</v>
      </c>
      <c r="D1511" t="s">
        <v>2704</v>
      </c>
      <c r="E1511" t="s">
        <v>8883</v>
      </c>
    </row>
    <row r="1512" spans="1:5" x14ac:dyDescent="0.3">
      <c r="A1512" t="s">
        <v>8905</v>
      </c>
      <c r="B1512" t="s">
        <v>8906</v>
      </c>
      <c r="C1512" t="s">
        <v>2696</v>
      </c>
      <c r="D1512" t="s">
        <v>2696</v>
      </c>
      <c r="E1512" t="s">
        <v>8907</v>
      </c>
    </row>
    <row r="1513" spans="1:5" x14ac:dyDescent="0.3">
      <c r="A1513" t="s">
        <v>2258</v>
      </c>
      <c r="B1513" t="s">
        <v>2259</v>
      </c>
      <c r="C1513" t="s">
        <v>1501</v>
      </c>
      <c r="D1513" t="s">
        <v>1088</v>
      </c>
      <c r="E1513" t="s">
        <v>2260</v>
      </c>
    </row>
    <row r="1514" spans="1:5" x14ac:dyDescent="0.3">
      <c r="A1514" t="s">
        <v>6305</v>
      </c>
      <c r="B1514" t="s">
        <v>6306</v>
      </c>
      <c r="C1514" t="s">
        <v>4229</v>
      </c>
      <c r="D1514" t="s">
        <v>2841</v>
      </c>
      <c r="E1514" t="s">
        <v>6307</v>
      </c>
    </row>
    <row r="1515" spans="1:5" x14ac:dyDescent="0.3">
      <c r="A1515" t="s">
        <v>9866</v>
      </c>
      <c r="B1515" t="s">
        <v>9867</v>
      </c>
      <c r="C1515" t="s">
        <v>2696</v>
      </c>
      <c r="D1515" t="s">
        <v>2696</v>
      </c>
      <c r="E1515" t="s">
        <v>9868</v>
      </c>
    </row>
    <row r="1516" spans="1:5" x14ac:dyDescent="0.3">
      <c r="A1516" t="s">
        <v>9889</v>
      </c>
      <c r="B1516" t="s">
        <v>9890</v>
      </c>
      <c r="C1516" t="s">
        <v>2696</v>
      </c>
      <c r="D1516" t="s">
        <v>2696</v>
      </c>
      <c r="E1516" t="s">
        <v>9891</v>
      </c>
    </row>
    <row r="1517" spans="1:5" x14ac:dyDescent="0.3">
      <c r="A1517" t="s">
        <v>9923</v>
      </c>
      <c r="B1517" t="s">
        <v>9924</v>
      </c>
      <c r="C1517" t="s">
        <v>4595</v>
      </c>
      <c r="D1517" t="s">
        <v>133</v>
      </c>
      <c r="E1517" t="s">
        <v>9925</v>
      </c>
    </row>
    <row r="1518" spans="1:5" x14ac:dyDescent="0.3">
      <c r="A1518" t="s">
        <v>9946</v>
      </c>
      <c r="B1518" t="s">
        <v>9947</v>
      </c>
      <c r="C1518" t="s">
        <v>3768</v>
      </c>
      <c r="D1518" t="s">
        <v>2852</v>
      </c>
      <c r="E1518" t="s">
        <v>9948</v>
      </c>
    </row>
    <row r="1519" spans="1:5" x14ac:dyDescent="0.3">
      <c r="A1519" t="s">
        <v>8927</v>
      </c>
      <c r="B1519" t="s">
        <v>8928</v>
      </c>
      <c r="C1519" t="s">
        <v>2696</v>
      </c>
      <c r="D1519" t="s">
        <v>2696</v>
      </c>
      <c r="E1519" t="s">
        <v>8929</v>
      </c>
    </row>
    <row r="1520" spans="1:5" x14ac:dyDescent="0.3">
      <c r="A1520" t="s">
        <v>8951</v>
      </c>
      <c r="B1520" t="s">
        <v>8952</v>
      </c>
      <c r="C1520" t="s">
        <v>2696</v>
      </c>
      <c r="D1520" t="s">
        <v>2696</v>
      </c>
      <c r="E1520" t="s">
        <v>8953</v>
      </c>
    </row>
    <row r="1521" spans="1:5" x14ac:dyDescent="0.3">
      <c r="A1521" t="s">
        <v>8731</v>
      </c>
      <c r="B1521" t="s">
        <v>8732</v>
      </c>
      <c r="C1521" t="s">
        <v>2696</v>
      </c>
      <c r="D1521" t="s">
        <v>2696</v>
      </c>
      <c r="E1521" t="s">
        <v>8733</v>
      </c>
    </row>
    <row r="1522" spans="1:5" x14ac:dyDescent="0.3">
      <c r="A1522" t="s">
        <v>8754</v>
      </c>
      <c r="B1522" t="s">
        <v>8755</v>
      </c>
      <c r="C1522" t="s">
        <v>2696</v>
      </c>
      <c r="D1522" t="s">
        <v>2696</v>
      </c>
      <c r="E1522" t="s">
        <v>8756</v>
      </c>
    </row>
    <row r="1523" spans="1:5" x14ac:dyDescent="0.3">
      <c r="A1523" t="s">
        <v>6327</v>
      </c>
      <c r="B1523" t="s">
        <v>6328</v>
      </c>
      <c r="C1523" t="s">
        <v>4229</v>
      </c>
      <c r="D1523" t="s">
        <v>2841</v>
      </c>
      <c r="E1523" t="s">
        <v>6329</v>
      </c>
    </row>
    <row r="1524" spans="1:5" x14ac:dyDescent="0.3">
      <c r="A1524" t="s">
        <v>6337</v>
      </c>
      <c r="B1524" t="s">
        <v>6338</v>
      </c>
      <c r="C1524" t="s">
        <v>6333</v>
      </c>
      <c r="D1524" t="s">
        <v>2709</v>
      </c>
      <c r="E1524" t="s">
        <v>6339</v>
      </c>
    </row>
    <row r="1525" spans="1:5" x14ac:dyDescent="0.3">
      <c r="A1525" t="s">
        <v>9968</v>
      </c>
      <c r="B1525" t="s">
        <v>9969</v>
      </c>
      <c r="C1525" t="s">
        <v>6349</v>
      </c>
      <c r="D1525" t="s">
        <v>2841</v>
      </c>
      <c r="E1525" t="s">
        <v>9970</v>
      </c>
    </row>
    <row r="1526" spans="1:5" x14ac:dyDescent="0.3">
      <c r="A1526" t="s">
        <v>9992</v>
      </c>
      <c r="B1526" t="s">
        <v>9993</v>
      </c>
      <c r="C1526" t="s">
        <v>4625</v>
      </c>
      <c r="D1526" t="s">
        <v>133</v>
      </c>
      <c r="E1526" t="s">
        <v>9994</v>
      </c>
    </row>
    <row r="1527" spans="1:5" x14ac:dyDescent="0.3">
      <c r="A1527" t="s">
        <v>8893</v>
      </c>
      <c r="B1527" t="s">
        <v>8894</v>
      </c>
      <c r="C1527" t="s">
        <v>3860</v>
      </c>
      <c r="D1527" t="s">
        <v>2704</v>
      </c>
      <c r="E1527" t="s">
        <v>8895</v>
      </c>
    </row>
    <row r="1528" spans="1:5" x14ac:dyDescent="0.3">
      <c r="A1528" t="s">
        <v>8917</v>
      </c>
      <c r="B1528" t="s">
        <v>7593</v>
      </c>
      <c r="C1528" t="s">
        <v>2696</v>
      </c>
      <c r="D1528" t="s">
        <v>2696</v>
      </c>
      <c r="E1528" t="s">
        <v>8918</v>
      </c>
    </row>
    <row r="1529" spans="1:5" x14ac:dyDescent="0.3">
      <c r="A1529" t="s">
        <v>9912</v>
      </c>
      <c r="B1529" t="s">
        <v>9913</v>
      </c>
      <c r="C1529" t="s">
        <v>4595</v>
      </c>
      <c r="D1529" t="s">
        <v>133</v>
      </c>
      <c r="E1529" t="s">
        <v>9914</v>
      </c>
    </row>
    <row r="1530" spans="1:5" x14ac:dyDescent="0.3">
      <c r="A1530" t="s">
        <v>9935</v>
      </c>
      <c r="B1530" t="s">
        <v>9936</v>
      </c>
      <c r="C1530" t="s">
        <v>2696</v>
      </c>
      <c r="D1530" t="s">
        <v>2696</v>
      </c>
      <c r="E1530" t="s">
        <v>9937</v>
      </c>
    </row>
    <row r="1531" spans="1:5" x14ac:dyDescent="0.3">
      <c r="A1531" t="s">
        <v>10324</v>
      </c>
      <c r="B1531" t="s">
        <v>3617</v>
      </c>
      <c r="C1531" t="s">
        <v>2708</v>
      </c>
      <c r="D1531" t="s">
        <v>2709</v>
      </c>
      <c r="E1531" t="s">
        <v>10325</v>
      </c>
    </row>
    <row r="1532" spans="1:5" x14ac:dyDescent="0.3">
      <c r="A1532" t="s">
        <v>2693</v>
      </c>
      <c r="B1532" t="s">
        <v>2694</v>
      </c>
      <c r="C1532" t="s">
        <v>2696</v>
      </c>
      <c r="D1532" t="s">
        <v>2696</v>
      </c>
      <c r="E1532" t="s">
        <v>2695</v>
      </c>
    </row>
    <row r="1533" spans="1:5" x14ac:dyDescent="0.3">
      <c r="A1533" t="s">
        <v>9957</v>
      </c>
      <c r="B1533" t="s">
        <v>9958</v>
      </c>
      <c r="C1533" t="s">
        <v>3768</v>
      </c>
      <c r="D1533" t="s">
        <v>2852</v>
      </c>
      <c r="E1533" t="s">
        <v>9959</v>
      </c>
    </row>
    <row r="1534" spans="1:5" x14ac:dyDescent="0.3">
      <c r="A1534" t="s">
        <v>9980</v>
      </c>
      <c r="B1534" t="s">
        <v>9981</v>
      </c>
      <c r="C1534" t="s">
        <v>6349</v>
      </c>
      <c r="D1534" t="s">
        <v>2841</v>
      </c>
      <c r="E1534" t="s">
        <v>9982</v>
      </c>
    </row>
    <row r="1535" spans="1:5" x14ac:dyDescent="0.3">
      <c r="A1535" t="s">
        <v>8974</v>
      </c>
      <c r="B1535" t="s">
        <v>8975</v>
      </c>
      <c r="C1535" t="s">
        <v>2696</v>
      </c>
      <c r="D1535" t="s">
        <v>2696</v>
      </c>
      <c r="E1535" t="s">
        <v>8976</v>
      </c>
    </row>
    <row r="1536" spans="1:5" x14ac:dyDescent="0.3">
      <c r="A1536" t="s">
        <v>8997</v>
      </c>
      <c r="B1536" t="s">
        <v>8998</v>
      </c>
      <c r="C1536" t="s">
        <v>2696</v>
      </c>
      <c r="D1536" t="s">
        <v>2696</v>
      </c>
      <c r="E1536" t="s">
        <v>8999</v>
      </c>
    </row>
    <row r="1537" spans="1:5" x14ac:dyDescent="0.3">
      <c r="A1537" t="s">
        <v>10014</v>
      </c>
      <c r="B1537" t="s">
        <v>10015</v>
      </c>
      <c r="C1537" t="s">
        <v>6574</v>
      </c>
      <c r="D1537" t="s">
        <v>2852</v>
      </c>
      <c r="E1537" t="s">
        <v>10016</v>
      </c>
    </row>
    <row r="1538" spans="1:5" x14ac:dyDescent="0.3">
      <c r="A1538" t="s">
        <v>10038</v>
      </c>
      <c r="B1538" t="s">
        <v>10039</v>
      </c>
      <c r="C1538" t="s">
        <v>2696</v>
      </c>
      <c r="D1538" t="s">
        <v>2696</v>
      </c>
      <c r="E1538" t="s">
        <v>10040</v>
      </c>
    </row>
    <row r="1539" spans="1:5" x14ac:dyDescent="0.3">
      <c r="A1539" t="s">
        <v>10003</v>
      </c>
      <c r="B1539" t="s">
        <v>10004</v>
      </c>
      <c r="C1539" t="s">
        <v>4625</v>
      </c>
      <c r="D1539" t="s">
        <v>133</v>
      </c>
      <c r="E1539" t="s">
        <v>10005</v>
      </c>
    </row>
    <row r="1540" spans="1:5" x14ac:dyDescent="0.3">
      <c r="A1540" t="s">
        <v>10026</v>
      </c>
      <c r="B1540" t="s">
        <v>10027</v>
      </c>
      <c r="C1540" t="s">
        <v>6574</v>
      </c>
      <c r="D1540" t="s">
        <v>2852</v>
      </c>
      <c r="E1540" t="s">
        <v>10028</v>
      </c>
    </row>
    <row r="1541" spans="1:5" x14ac:dyDescent="0.3">
      <c r="A1541" t="s">
        <v>8778</v>
      </c>
      <c r="B1541" t="s">
        <v>8779</v>
      </c>
      <c r="C1541" t="s">
        <v>4086</v>
      </c>
      <c r="D1541" t="s">
        <v>2704</v>
      </c>
      <c r="E1541" t="s">
        <v>8780</v>
      </c>
    </row>
    <row r="1542" spans="1:5" x14ac:dyDescent="0.3">
      <c r="A1542" t="s">
        <v>8799</v>
      </c>
      <c r="B1542" t="s">
        <v>8800</v>
      </c>
      <c r="C1542" t="s">
        <v>2703</v>
      </c>
      <c r="D1542" t="s">
        <v>2704</v>
      </c>
      <c r="E1542" t="s">
        <v>8801</v>
      </c>
    </row>
    <row r="1543" spans="1:5" x14ac:dyDescent="0.3">
      <c r="A1543" t="s">
        <v>5278</v>
      </c>
      <c r="B1543" t="s">
        <v>5279</v>
      </c>
      <c r="C1543" t="s">
        <v>2696</v>
      </c>
      <c r="D1543" t="s">
        <v>2696</v>
      </c>
      <c r="E1543" t="s">
        <v>5280</v>
      </c>
    </row>
    <row r="1544" spans="1:5" x14ac:dyDescent="0.3">
      <c r="A1544" t="s">
        <v>5302</v>
      </c>
      <c r="B1544" t="s">
        <v>5303</v>
      </c>
      <c r="C1544" t="s">
        <v>3860</v>
      </c>
      <c r="D1544" t="s">
        <v>2704</v>
      </c>
      <c r="E1544" t="s">
        <v>5304</v>
      </c>
    </row>
    <row r="1545" spans="1:5" x14ac:dyDescent="0.3">
      <c r="A1545" t="s">
        <v>10048</v>
      </c>
      <c r="B1545" t="s">
        <v>10049</v>
      </c>
      <c r="C1545" t="s">
        <v>2696</v>
      </c>
      <c r="D1545" t="s">
        <v>2696</v>
      </c>
      <c r="E1545" t="s">
        <v>10050</v>
      </c>
    </row>
    <row r="1546" spans="1:5" x14ac:dyDescent="0.3">
      <c r="A1546" t="s">
        <v>10070</v>
      </c>
      <c r="B1546" t="s">
        <v>10071</v>
      </c>
      <c r="C1546" t="s">
        <v>2696</v>
      </c>
      <c r="D1546" t="s">
        <v>2696</v>
      </c>
      <c r="E1546" t="s">
        <v>10072</v>
      </c>
    </row>
    <row r="1547" spans="1:5" x14ac:dyDescent="0.3">
      <c r="A1547" t="s">
        <v>10060</v>
      </c>
      <c r="B1547" t="s">
        <v>10061</v>
      </c>
      <c r="C1547" t="s">
        <v>2696</v>
      </c>
      <c r="D1547" t="s">
        <v>2696</v>
      </c>
      <c r="E1547" t="s">
        <v>10062</v>
      </c>
    </row>
    <row r="1548" spans="1:5" x14ac:dyDescent="0.3">
      <c r="A1548" t="s">
        <v>10082</v>
      </c>
      <c r="B1548" t="s">
        <v>10083</v>
      </c>
      <c r="C1548" t="s">
        <v>7344</v>
      </c>
      <c r="D1548" t="s">
        <v>2704</v>
      </c>
      <c r="E1548" t="s">
        <v>10084</v>
      </c>
    </row>
    <row r="1549" spans="1:5" x14ac:dyDescent="0.3">
      <c r="A1549" t="s">
        <v>8820</v>
      </c>
      <c r="B1549" t="s">
        <v>8821</v>
      </c>
      <c r="C1549" t="s">
        <v>2696</v>
      </c>
      <c r="D1549" t="s">
        <v>2696</v>
      </c>
      <c r="E1549" t="s">
        <v>8822</v>
      </c>
    </row>
    <row r="1550" spans="1:5" x14ac:dyDescent="0.3">
      <c r="A1550" t="s">
        <v>8844</v>
      </c>
      <c r="B1550" t="s">
        <v>6684</v>
      </c>
      <c r="C1550" t="s">
        <v>2696</v>
      </c>
      <c r="D1550" t="s">
        <v>2696</v>
      </c>
      <c r="E1550" t="s">
        <v>8845</v>
      </c>
    </row>
    <row r="1551" spans="1:5" x14ac:dyDescent="0.3">
      <c r="A1551" t="s">
        <v>2638</v>
      </c>
      <c r="B1551" t="s">
        <v>2639</v>
      </c>
      <c r="C1551" t="s">
        <v>1523</v>
      </c>
      <c r="D1551" t="s">
        <v>1111</v>
      </c>
      <c r="E1551" t="s">
        <v>2640</v>
      </c>
    </row>
    <row r="1552" spans="1:5" x14ac:dyDescent="0.3">
      <c r="A1552" t="s">
        <v>8939</v>
      </c>
      <c r="B1552" t="s">
        <v>8940</v>
      </c>
      <c r="C1552" t="s">
        <v>2696</v>
      </c>
      <c r="D1552" t="s">
        <v>2696</v>
      </c>
      <c r="E1552" t="s">
        <v>8941</v>
      </c>
    </row>
    <row r="1553" spans="1:5" x14ac:dyDescent="0.3">
      <c r="A1553" t="s">
        <v>8963</v>
      </c>
      <c r="B1553" t="s">
        <v>1637</v>
      </c>
      <c r="C1553" t="s">
        <v>2696</v>
      </c>
      <c r="D1553" t="s">
        <v>2696</v>
      </c>
      <c r="E1553" t="s">
        <v>8964</v>
      </c>
    </row>
    <row r="1554" spans="1:5" x14ac:dyDescent="0.3">
      <c r="A1554" t="s">
        <v>10104</v>
      </c>
      <c r="B1554" t="s">
        <v>10105</v>
      </c>
      <c r="C1554" t="s">
        <v>7344</v>
      </c>
      <c r="D1554" t="s">
        <v>2704</v>
      </c>
      <c r="E1554" t="s">
        <v>10106</v>
      </c>
    </row>
    <row r="1555" spans="1:5" x14ac:dyDescent="0.3">
      <c r="A1555" t="s">
        <v>10127</v>
      </c>
      <c r="B1555" t="s">
        <v>10128</v>
      </c>
      <c r="C1555" t="s">
        <v>2696</v>
      </c>
      <c r="D1555" t="s">
        <v>2696</v>
      </c>
      <c r="E1555" t="s">
        <v>10129</v>
      </c>
    </row>
    <row r="1556" spans="1:5" x14ac:dyDescent="0.3">
      <c r="A1556" t="s">
        <v>10093</v>
      </c>
      <c r="B1556" t="s">
        <v>10094</v>
      </c>
      <c r="C1556" t="s">
        <v>7344</v>
      </c>
      <c r="D1556" t="s">
        <v>2704</v>
      </c>
      <c r="E1556" t="s">
        <v>10095</v>
      </c>
    </row>
    <row r="1557" spans="1:5" x14ac:dyDescent="0.3">
      <c r="A1557" t="s">
        <v>10115</v>
      </c>
      <c r="B1557" t="s">
        <v>10116</v>
      </c>
      <c r="C1557" t="s">
        <v>7344</v>
      </c>
      <c r="D1557" t="s">
        <v>2704</v>
      </c>
      <c r="E1557" t="s">
        <v>10117</v>
      </c>
    </row>
    <row r="1558" spans="1:5" x14ac:dyDescent="0.3">
      <c r="A1558" t="s">
        <v>5339</v>
      </c>
      <c r="B1558" t="s">
        <v>5340</v>
      </c>
      <c r="C1558" t="s">
        <v>2696</v>
      </c>
      <c r="D1558" t="s">
        <v>2696</v>
      </c>
      <c r="E1558" t="s">
        <v>5341</v>
      </c>
    </row>
    <row r="1559" spans="1:5" x14ac:dyDescent="0.3">
      <c r="A1559" t="s">
        <v>5362</v>
      </c>
      <c r="B1559" t="s">
        <v>5363</v>
      </c>
      <c r="C1559" t="s">
        <v>2696</v>
      </c>
      <c r="D1559" t="s">
        <v>2696</v>
      </c>
      <c r="E1559" t="s">
        <v>5364</v>
      </c>
    </row>
    <row r="1560" spans="1:5" x14ac:dyDescent="0.3">
      <c r="A1560" t="s">
        <v>8866</v>
      </c>
      <c r="B1560" t="s">
        <v>8867</v>
      </c>
      <c r="C1560" t="s">
        <v>3850</v>
      </c>
      <c r="D1560" t="s">
        <v>3712</v>
      </c>
      <c r="E1560" t="s">
        <v>8868</v>
      </c>
    </row>
    <row r="1561" spans="1:5" x14ac:dyDescent="0.3">
      <c r="A1561" t="s">
        <v>8890</v>
      </c>
      <c r="B1561" t="s">
        <v>8891</v>
      </c>
      <c r="C1561" t="s">
        <v>3860</v>
      </c>
      <c r="D1561" t="s">
        <v>2704</v>
      </c>
      <c r="E1561" t="s">
        <v>8892</v>
      </c>
    </row>
    <row r="1562" spans="1:5" x14ac:dyDescent="0.3">
      <c r="A1562" t="s">
        <v>10149</v>
      </c>
      <c r="B1562" t="s">
        <v>10150</v>
      </c>
      <c r="C1562" t="s">
        <v>2696</v>
      </c>
      <c r="D1562" t="s">
        <v>2696</v>
      </c>
      <c r="E1562" t="s">
        <v>10151</v>
      </c>
    </row>
    <row r="1563" spans="1:5" x14ac:dyDescent="0.3">
      <c r="A1563" t="s">
        <v>10173</v>
      </c>
      <c r="B1563" t="s">
        <v>10174</v>
      </c>
      <c r="C1563" t="s">
        <v>4229</v>
      </c>
      <c r="D1563" t="s">
        <v>2841</v>
      </c>
      <c r="E1563" t="s">
        <v>10175</v>
      </c>
    </row>
    <row r="1564" spans="1:5" x14ac:dyDescent="0.3">
      <c r="A1564" t="s">
        <v>9021</v>
      </c>
      <c r="B1564" t="s">
        <v>7638</v>
      </c>
      <c r="C1564" t="s">
        <v>2696</v>
      </c>
      <c r="D1564" t="s">
        <v>2696</v>
      </c>
      <c r="E1564" t="s">
        <v>9022</v>
      </c>
    </row>
    <row r="1565" spans="1:5" x14ac:dyDescent="0.3">
      <c r="A1565" t="s">
        <v>9044</v>
      </c>
      <c r="B1565" t="s">
        <v>9045</v>
      </c>
      <c r="C1565" t="s">
        <v>2696</v>
      </c>
      <c r="D1565" t="s">
        <v>2696</v>
      </c>
      <c r="E1565" t="s">
        <v>9046</v>
      </c>
    </row>
    <row r="1566" spans="1:5" x14ac:dyDescent="0.3">
      <c r="A1566" t="s">
        <v>9187</v>
      </c>
      <c r="B1566" t="s">
        <v>3266</v>
      </c>
      <c r="C1566" t="s">
        <v>2696</v>
      </c>
      <c r="D1566" t="s">
        <v>2696</v>
      </c>
      <c r="E1566" t="s">
        <v>9188</v>
      </c>
    </row>
    <row r="1567" spans="1:5" x14ac:dyDescent="0.3">
      <c r="A1567" t="s">
        <v>9210</v>
      </c>
      <c r="B1567" t="s">
        <v>9211</v>
      </c>
      <c r="C1567" t="s">
        <v>2696</v>
      </c>
      <c r="D1567" t="s">
        <v>2696</v>
      </c>
      <c r="E1567" t="s">
        <v>9212</v>
      </c>
    </row>
    <row r="1568" spans="1:5" x14ac:dyDescent="0.3">
      <c r="A1568" t="s">
        <v>5386</v>
      </c>
      <c r="B1568" t="s">
        <v>5387</v>
      </c>
      <c r="C1568" t="s">
        <v>2696</v>
      </c>
      <c r="D1568" t="s">
        <v>2696</v>
      </c>
      <c r="E1568" t="s">
        <v>5388</v>
      </c>
    </row>
    <row r="1569" spans="1:5" x14ac:dyDescent="0.3">
      <c r="A1569" t="s">
        <v>5410</v>
      </c>
      <c r="B1569" t="s">
        <v>3981</v>
      </c>
      <c r="C1569" t="s">
        <v>2696</v>
      </c>
      <c r="D1569" t="s">
        <v>2696</v>
      </c>
      <c r="E1569" t="s">
        <v>5411</v>
      </c>
    </row>
    <row r="1570" spans="1:5" x14ac:dyDescent="0.3">
      <c r="A1570" t="s">
        <v>8914</v>
      </c>
      <c r="B1570" t="s">
        <v>8915</v>
      </c>
      <c r="C1570" t="s">
        <v>2696</v>
      </c>
      <c r="D1570" t="s">
        <v>2696</v>
      </c>
      <c r="E1570" t="s">
        <v>8916</v>
      </c>
    </row>
    <row r="1571" spans="1:5" x14ac:dyDescent="0.3">
      <c r="A1571" t="s">
        <v>8936</v>
      </c>
      <c r="B1571" t="s">
        <v>8937</v>
      </c>
      <c r="C1571" t="s">
        <v>2696</v>
      </c>
      <c r="D1571" t="s">
        <v>2696</v>
      </c>
      <c r="E1571" t="s">
        <v>8938</v>
      </c>
    </row>
    <row r="1572" spans="1:5" x14ac:dyDescent="0.3">
      <c r="A1572" t="s">
        <v>10138</v>
      </c>
      <c r="B1572" t="s">
        <v>10139</v>
      </c>
      <c r="C1572" t="s">
        <v>2696</v>
      </c>
      <c r="D1572" t="s">
        <v>2696</v>
      </c>
      <c r="E1572" t="s">
        <v>10140</v>
      </c>
    </row>
    <row r="1573" spans="1:5" x14ac:dyDescent="0.3">
      <c r="A1573" t="s">
        <v>10161</v>
      </c>
      <c r="B1573" t="s">
        <v>10162</v>
      </c>
      <c r="C1573" t="s">
        <v>4229</v>
      </c>
      <c r="D1573" t="s">
        <v>2841</v>
      </c>
      <c r="E1573" t="s">
        <v>10163</v>
      </c>
    </row>
    <row r="1574" spans="1:5" x14ac:dyDescent="0.3">
      <c r="A1574" t="s">
        <v>9234</v>
      </c>
      <c r="B1574" t="s">
        <v>9235</v>
      </c>
      <c r="C1574" t="s">
        <v>2696</v>
      </c>
      <c r="D1574" t="s">
        <v>2696</v>
      </c>
      <c r="E1574" t="s">
        <v>9236</v>
      </c>
    </row>
    <row r="1575" spans="1:5" x14ac:dyDescent="0.3">
      <c r="A1575" t="s">
        <v>9256</v>
      </c>
      <c r="B1575" t="s">
        <v>9257</v>
      </c>
      <c r="C1575" t="s">
        <v>2696</v>
      </c>
      <c r="D1575" t="s">
        <v>2696</v>
      </c>
      <c r="E1575" t="s">
        <v>9258</v>
      </c>
    </row>
    <row r="1576" spans="1:5" x14ac:dyDescent="0.3">
      <c r="A1576" t="s">
        <v>9068</v>
      </c>
      <c r="B1576" t="s">
        <v>9069</v>
      </c>
      <c r="C1576" t="s">
        <v>2696</v>
      </c>
      <c r="D1576" t="s">
        <v>2696</v>
      </c>
      <c r="E1576" t="s">
        <v>9070</v>
      </c>
    </row>
    <row r="1577" spans="1:5" x14ac:dyDescent="0.3">
      <c r="A1577" t="s">
        <v>5432</v>
      </c>
      <c r="B1577" t="s">
        <v>5433</v>
      </c>
      <c r="C1577" t="s">
        <v>2696</v>
      </c>
      <c r="D1577" t="s">
        <v>2696</v>
      </c>
      <c r="E1577" t="s">
        <v>5434</v>
      </c>
    </row>
    <row r="1578" spans="1:5" x14ac:dyDescent="0.3">
      <c r="A1578" t="s">
        <v>5455</v>
      </c>
      <c r="B1578" t="s">
        <v>5456</v>
      </c>
      <c r="C1578" t="s">
        <v>2696</v>
      </c>
      <c r="D1578" t="s">
        <v>2696</v>
      </c>
      <c r="E1578" t="s">
        <v>5457</v>
      </c>
    </row>
    <row r="1579" spans="1:5" x14ac:dyDescent="0.3">
      <c r="A1579" t="s">
        <v>8960</v>
      </c>
      <c r="B1579" t="s">
        <v>8961</v>
      </c>
      <c r="C1579" t="s">
        <v>2696</v>
      </c>
      <c r="D1579" t="s">
        <v>2696</v>
      </c>
      <c r="E1579" t="s">
        <v>8962</v>
      </c>
    </row>
    <row r="1580" spans="1:5" x14ac:dyDescent="0.3">
      <c r="A1580" t="s">
        <v>8983</v>
      </c>
      <c r="B1580" t="s">
        <v>8984</v>
      </c>
      <c r="C1580" t="s">
        <v>2696</v>
      </c>
      <c r="D1580" t="s">
        <v>2696</v>
      </c>
      <c r="E1580" t="s">
        <v>8985</v>
      </c>
    </row>
    <row r="1581" spans="1:5" x14ac:dyDescent="0.3">
      <c r="A1581" t="s">
        <v>10184</v>
      </c>
      <c r="B1581" t="s">
        <v>3135</v>
      </c>
      <c r="C1581" t="s">
        <v>4229</v>
      </c>
      <c r="D1581" t="s">
        <v>2841</v>
      </c>
      <c r="E1581" t="s">
        <v>10185</v>
      </c>
    </row>
    <row r="1582" spans="1:5" x14ac:dyDescent="0.3">
      <c r="A1582" t="s">
        <v>9279</v>
      </c>
      <c r="B1582" t="s">
        <v>9280</v>
      </c>
      <c r="C1582" t="s">
        <v>2696</v>
      </c>
      <c r="D1582" t="s">
        <v>2696</v>
      </c>
      <c r="E1582" t="s">
        <v>9281</v>
      </c>
    </row>
    <row r="1583" spans="1:5" x14ac:dyDescent="0.3">
      <c r="A1583" t="s">
        <v>9302</v>
      </c>
      <c r="B1583" t="s">
        <v>9303</v>
      </c>
      <c r="C1583" t="s">
        <v>2696</v>
      </c>
      <c r="D1583" t="s">
        <v>2696</v>
      </c>
      <c r="E1583" t="s">
        <v>9304</v>
      </c>
    </row>
    <row r="1584" spans="1:5" x14ac:dyDescent="0.3">
      <c r="A1584" t="s">
        <v>9091</v>
      </c>
      <c r="B1584" t="s">
        <v>9092</v>
      </c>
      <c r="C1584" t="s">
        <v>2696</v>
      </c>
      <c r="D1584" t="s">
        <v>2696</v>
      </c>
      <c r="E1584" t="s">
        <v>9093</v>
      </c>
    </row>
    <row r="1585" spans="1:5" x14ac:dyDescent="0.3">
      <c r="A1585" t="s">
        <v>9114</v>
      </c>
      <c r="B1585" t="s">
        <v>9115</v>
      </c>
      <c r="C1585" t="s">
        <v>2696</v>
      </c>
      <c r="D1585" t="s">
        <v>2696</v>
      </c>
      <c r="E1585" t="s">
        <v>9116</v>
      </c>
    </row>
    <row r="1586" spans="1:5" x14ac:dyDescent="0.3">
      <c r="A1586" t="s">
        <v>5474</v>
      </c>
      <c r="B1586" t="s">
        <v>5475</v>
      </c>
      <c r="C1586" t="s">
        <v>2696</v>
      </c>
      <c r="D1586" t="s">
        <v>2696</v>
      </c>
      <c r="E1586" t="s">
        <v>5476</v>
      </c>
    </row>
    <row r="1587" spans="1:5" x14ac:dyDescent="0.3">
      <c r="A1587" t="s">
        <v>5498</v>
      </c>
      <c r="B1587" t="s">
        <v>5499</v>
      </c>
      <c r="C1587" t="s">
        <v>2696</v>
      </c>
      <c r="D1587" t="s">
        <v>2696</v>
      </c>
      <c r="E1587" t="s">
        <v>5500</v>
      </c>
    </row>
    <row r="1588" spans="1:5" x14ac:dyDescent="0.3">
      <c r="A1588" t="s">
        <v>9006</v>
      </c>
      <c r="B1588" t="s">
        <v>9007</v>
      </c>
      <c r="C1588" t="s">
        <v>2696</v>
      </c>
      <c r="D1588" t="s">
        <v>2696</v>
      </c>
      <c r="E1588" t="s">
        <v>9008</v>
      </c>
    </row>
    <row r="1589" spans="1:5" x14ac:dyDescent="0.3">
      <c r="A1589" t="s">
        <v>9029</v>
      </c>
      <c r="B1589" t="s">
        <v>9030</v>
      </c>
      <c r="C1589" t="s">
        <v>2696</v>
      </c>
      <c r="D1589" t="s">
        <v>2696</v>
      </c>
      <c r="E1589" t="s">
        <v>9031</v>
      </c>
    </row>
    <row r="1590" spans="1:5" x14ac:dyDescent="0.3">
      <c r="A1590" t="s">
        <v>8986</v>
      </c>
      <c r="B1590" t="s">
        <v>8987</v>
      </c>
      <c r="C1590" t="s">
        <v>2696</v>
      </c>
      <c r="D1590" t="s">
        <v>2696</v>
      </c>
      <c r="E1590" t="s">
        <v>8988</v>
      </c>
    </row>
    <row r="1591" spans="1:5" x14ac:dyDescent="0.3">
      <c r="A1591" t="s">
        <v>9009</v>
      </c>
      <c r="B1591" t="s">
        <v>9010</v>
      </c>
      <c r="C1591" t="s">
        <v>2696</v>
      </c>
      <c r="D1591" t="s">
        <v>2696</v>
      </c>
      <c r="E1591" t="s">
        <v>9011</v>
      </c>
    </row>
    <row r="1592" spans="1:5" x14ac:dyDescent="0.3">
      <c r="A1592" t="s">
        <v>9138</v>
      </c>
      <c r="B1592" t="s">
        <v>9139</v>
      </c>
      <c r="C1592" t="s">
        <v>2696</v>
      </c>
      <c r="D1592" t="s">
        <v>2696</v>
      </c>
      <c r="E1592" t="s">
        <v>9140</v>
      </c>
    </row>
    <row r="1593" spans="1:5" x14ac:dyDescent="0.3">
      <c r="A1593" t="s">
        <v>9161</v>
      </c>
      <c r="B1593" t="s">
        <v>9162</v>
      </c>
      <c r="C1593" t="s">
        <v>2696</v>
      </c>
      <c r="D1593" t="s">
        <v>2696</v>
      </c>
      <c r="E1593" t="s">
        <v>9163</v>
      </c>
    </row>
    <row r="1594" spans="1:5" x14ac:dyDescent="0.3">
      <c r="A1594" t="s">
        <v>10194</v>
      </c>
      <c r="B1594" t="s">
        <v>10195</v>
      </c>
      <c r="C1594" t="s">
        <v>4229</v>
      </c>
      <c r="D1594" t="s">
        <v>2841</v>
      </c>
      <c r="E1594" t="s">
        <v>10196</v>
      </c>
    </row>
    <row r="1595" spans="1:5" x14ac:dyDescent="0.3">
      <c r="A1595" t="s">
        <v>10216</v>
      </c>
      <c r="B1595" t="s">
        <v>10217</v>
      </c>
      <c r="C1595" t="s">
        <v>3768</v>
      </c>
      <c r="D1595" t="s">
        <v>2852</v>
      </c>
      <c r="E1595" t="s">
        <v>10218</v>
      </c>
    </row>
    <row r="1596" spans="1:5" x14ac:dyDescent="0.3">
      <c r="A1596" t="s">
        <v>9032</v>
      </c>
      <c r="B1596" t="s">
        <v>9033</v>
      </c>
      <c r="C1596" t="s">
        <v>2696</v>
      </c>
      <c r="D1596" t="s">
        <v>2696</v>
      </c>
      <c r="E1596" t="s">
        <v>9034</v>
      </c>
    </row>
    <row r="1597" spans="1:5" x14ac:dyDescent="0.3">
      <c r="A1597" t="s">
        <v>9056</v>
      </c>
      <c r="B1597" t="s">
        <v>9057</v>
      </c>
      <c r="C1597" t="s">
        <v>2696</v>
      </c>
      <c r="D1597" t="s">
        <v>2696</v>
      </c>
      <c r="E1597" t="s">
        <v>9058</v>
      </c>
    </row>
    <row r="1598" spans="1:5" x14ac:dyDescent="0.3">
      <c r="A1598" t="s">
        <v>5521</v>
      </c>
      <c r="B1598" t="s">
        <v>5522</v>
      </c>
      <c r="C1598" t="s">
        <v>2696</v>
      </c>
      <c r="D1598" t="s">
        <v>2696</v>
      </c>
      <c r="E1598" t="s">
        <v>5523</v>
      </c>
    </row>
    <row r="1599" spans="1:5" x14ac:dyDescent="0.3">
      <c r="A1599" t="s">
        <v>5545</v>
      </c>
      <c r="B1599" t="s">
        <v>5546</v>
      </c>
      <c r="C1599" t="s">
        <v>2696</v>
      </c>
      <c r="D1599" t="s">
        <v>2696</v>
      </c>
      <c r="E1599" t="s">
        <v>5547</v>
      </c>
    </row>
    <row r="1600" spans="1:5" x14ac:dyDescent="0.3">
      <c r="A1600" t="s">
        <v>9053</v>
      </c>
      <c r="B1600" t="s">
        <v>9054</v>
      </c>
      <c r="C1600" t="s">
        <v>2696</v>
      </c>
      <c r="D1600" t="s">
        <v>2696</v>
      </c>
      <c r="E1600" t="s">
        <v>9055</v>
      </c>
    </row>
    <row r="1601" spans="1:5" x14ac:dyDescent="0.3">
      <c r="A1601" t="s">
        <v>9077</v>
      </c>
      <c r="B1601" t="s">
        <v>9078</v>
      </c>
      <c r="C1601" t="s">
        <v>2696</v>
      </c>
      <c r="D1601" t="s">
        <v>2696</v>
      </c>
      <c r="E1601" t="s">
        <v>9079</v>
      </c>
    </row>
    <row r="1602" spans="1:5" x14ac:dyDescent="0.3">
      <c r="A1602" t="s">
        <v>6346</v>
      </c>
      <c r="B1602" t="s">
        <v>6347</v>
      </c>
      <c r="C1602" t="s">
        <v>6349</v>
      </c>
      <c r="D1602" t="s">
        <v>2841</v>
      </c>
      <c r="E1602" t="s">
        <v>6348</v>
      </c>
    </row>
    <row r="1603" spans="1:5" x14ac:dyDescent="0.3">
      <c r="A1603" t="s">
        <v>2282</v>
      </c>
      <c r="B1603" t="s">
        <v>2283</v>
      </c>
      <c r="C1603" t="s">
        <v>1543</v>
      </c>
      <c r="D1603" t="s">
        <v>1088</v>
      </c>
      <c r="E1603" t="s">
        <v>2284</v>
      </c>
    </row>
    <row r="1604" spans="1:5" x14ac:dyDescent="0.3">
      <c r="A1604" t="s">
        <v>9326</v>
      </c>
      <c r="B1604" t="s">
        <v>9327</v>
      </c>
      <c r="C1604" t="s">
        <v>2696</v>
      </c>
      <c r="D1604" t="s">
        <v>2696</v>
      </c>
      <c r="E1604" t="s">
        <v>9328</v>
      </c>
    </row>
    <row r="1605" spans="1:5" x14ac:dyDescent="0.3">
      <c r="A1605" t="s">
        <v>9350</v>
      </c>
      <c r="B1605" t="s">
        <v>4677</v>
      </c>
      <c r="C1605" t="s">
        <v>2696</v>
      </c>
      <c r="D1605" t="s">
        <v>2696</v>
      </c>
      <c r="E1605" t="s">
        <v>9351</v>
      </c>
    </row>
    <row r="1606" spans="1:5" x14ac:dyDescent="0.3">
      <c r="A1606" t="s">
        <v>9080</v>
      </c>
      <c r="B1606" t="s">
        <v>9081</v>
      </c>
      <c r="C1606" t="s">
        <v>2696</v>
      </c>
      <c r="D1606" t="s">
        <v>2696</v>
      </c>
      <c r="E1606" t="s">
        <v>9082</v>
      </c>
    </row>
    <row r="1607" spans="1:5" x14ac:dyDescent="0.3">
      <c r="A1607" t="s">
        <v>9103</v>
      </c>
      <c r="B1607" t="s">
        <v>9104</v>
      </c>
      <c r="C1607" t="s">
        <v>2696</v>
      </c>
      <c r="D1607" t="s">
        <v>2696</v>
      </c>
      <c r="E1607" t="s">
        <v>9105</v>
      </c>
    </row>
    <row r="1608" spans="1:5" x14ac:dyDescent="0.3">
      <c r="A1608" t="s">
        <v>9184</v>
      </c>
      <c r="B1608" t="s">
        <v>9185</v>
      </c>
      <c r="C1608" t="s">
        <v>2696</v>
      </c>
      <c r="D1608" t="s">
        <v>2696</v>
      </c>
      <c r="E1608" t="s">
        <v>9186</v>
      </c>
    </row>
    <row r="1609" spans="1:5" x14ac:dyDescent="0.3">
      <c r="A1609" t="s">
        <v>9207</v>
      </c>
      <c r="B1609" t="s">
        <v>9208</v>
      </c>
      <c r="C1609" t="s">
        <v>2696</v>
      </c>
      <c r="D1609" t="s">
        <v>2696</v>
      </c>
      <c r="E1609" t="s">
        <v>9209</v>
      </c>
    </row>
    <row r="1610" spans="1:5" x14ac:dyDescent="0.3">
      <c r="A1610" t="s">
        <v>9100</v>
      </c>
      <c r="B1610" t="s">
        <v>9101</v>
      </c>
      <c r="C1610" t="s">
        <v>2696</v>
      </c>
      <c r="D1610" t="s">
        <v>2696</v>
      </c>
      <c r="E1610" t="s">
        <v>9102</v>
      </c>
    </row>
    <row r="1611" spans="1:5" x14ac:dyDescent="0.3">
      <c r="A1611" t="s">
        <v>9123</v>
      </c>
      <c r="B1611" t="s">
        <v>9124</v>
      </c>
      <c r="C1611" t="s">
        <v>2696</v>
      </c>
      <c r="D1611" t="s">
        <v>2696</v>
      </c>
      <c r="E1611" t="s">
        <v>9125</v>
      </c>
    </row>
    <row r="1612" spans="1:5" x14ac:dyDescent="0.3">
      <c r="A1612" t="s">
        <v>2288</v>
      </c>
      <c r="B1612" t="s">
        <v>2289</v>
      </c>
      <c r="C1612" t="s">
        <v>1209</v>
      </c>
      <c r="D1612" t="s">
        <v>1088</v>
      </c>
      <c r="E1612" t="s">
        <v>2290</v>
      </c>
    </row>
    <row r="1613" spans="1:5" x14ac:dyDescent="0.3">
      <c r="A1613" t="s">
        <v>5569</v>
      </c>
      <c r="B1613" t="s">
        <v>2849</v>
      </c>
      <c r="C1613" t="s">
        <v>2696</v>
      </c>
      <c r="D1613" t="s">
        <v>2696</v>
      </c>
      <c r="E1613" t="s">
        <v>5570</v>
      </c>
    </row>
    <row r="1614" spans="1:5" x14ac:dyDescent="0.3">
      <c r="A1614" t="s">
        <v>5591</v>
      </c>
      <c r="B1614" t="s">
        <v>5592</v>
      </c>
      <c r="C1614" t="s">
        <v>2696</v>
      </c>
      <c r="D1614" t="s">
        <v>2696</v>
      </c>
      <c r="E1614" t="s">
        <v>5593</v>
      </c>
    </row>
    <row r="1615" spans="1:5" x14ac:dyDescent="0.3">
      <c r="A1615" t="s">
        <v>9126</v>
      </c>
      <c r="B1615" t="s">
        <v>9127</v>
      </c>
      <c r="C1615" t="s">
        <v>2696</v>
      </c>
      <c r="D1615" t="s">
        <v>2696</v>
      </c>
      <c r="E1615" t="s">
        <v>9128</v>
      </c>
    </row>
    <row r="1616" spans="1:5" x14ac:dyDescent="0.3">
      <c r="A1616" t="s">
        <v>9150</v>
      </c>
      <c r="B1616" t="s">
        <v>9151</v>
      </c>
      <c r="C1616" t="s">
        <v>2696</v>
      </c>
      <c r="D1616" t="s">
        <v>2696</v>
      </c>
      <c r="E1616" t="s">
        <v>9152</v>
      </c>
    </row>
    <row r="1617" spans="1:5" x14ac:dyDescent="0.3">
      <c r="A1617" t="s">
        <v>9231</v>
      </c>
      <c r="B1617" t="s">
        <v>9232</v>
      </c>
      <c r="C1617" t="s">
        <v>2696</v>
      </c>
      <c r="D1617" t="s">
        <v>2696</v>
      </c>
      <c r="E1617" t="s">
        <v>9233</v>
      </c>
    </row>
    <row r="1618" spans="1:5" x14ac:dyDescent="0.3">
      <c r="A1618" t="s">
        <v>9253</v>
      </c>
      <c r="B1618" t="s">
        <v>9254</v>
      </c>
      <c r="C1618" t="s">
        <v>2696</v>
      </c>
      <c r="D1618" t="s">
        <v>2696</v>
      </c>
      <c r="E1618" t="s">
        <v>9255</v>
      </c>
    </row>
    <row r="1619" spans="1:5" x14ac:dyDescent="0.3">
      <c r="A1619" t="s">
        <v>9147</v>
      </c>
      <c r="B1619" t="s">
        <v>9148</v>
      </c>
      <c r="C1619" t="s">
        <v>2696</v>
      </c>
      <c r="D1619" t="s">
        <v>2696</v>
      </c>
      <c r="E1619" t="s">
        <v>9149</v>
      </c>
    </row>
    <row r="1620" spans="1:5" x14ac:dyDescent="0.3">
      <c r="A1620" t="s">
        <v>9170</v>
      </c>
      <c r="B1620" t="s">
        <v>9171</v>
      </c>
      <c r="C1620" t="s">
        <v>2696</v>
      </c>
      <c r="D1620" t="s">
        <v>2696</v>
      </c>
      <c r="E1620" t="s">
        <v>9172</v>
      </c>
    </row>
    <row r="1621" spans="1:5" x14ac:dyDescent="0.3">
      <c r="A1621" t="s">
        <v>6370</v>
      </c>
      <c r="B1621" t="s">
        <v>6371</v>
      </c>
      <c r="C1621" t="s">
        <v>4086</v>
      </c>
      <c r="D1621" t="s">
        <v>2704</v>
      </c>
      <c r="E1621" t="s">
        <v>6372</v>
      </c>
    </row>
    <row r="1622" spans="1:5" x14ac:dyDescent="0.3">
      <c r="A1622" t="s">
        <v>6393</v>
      </c>
      <c r="B1622" t="s">
        <v>6394</v>
      </c>
      <c r="C1622" t="s">
        <v>4086</v>
      </c>
      <c r="D1622" t="s">
        <v>2704</v>
      </c>
      <c r="E1622" t="s">
        <v>6395</v>
      </c>
    </row>
    <row r="1623" spans="1:5" x14ac:dyDescent="0.3">
      <c r="A1623" t="s">
        <v>5615</v>
      </c>
      <c r="B1623" t="s">
        <v>5616</v>
      </c>
      <c r="C1623" t="s">
        <v>2696</v>
      </c>
      <c r="D1623" t="s">
        <v>2696</v>
      </c>
      <c r="E1623" t="s">
        <v>5617</v>
      </c>
    </row>
    <row r="1624" spans="1:5" x14ac:dyDescent="0.3">
      <c r="A1624" t="s">
        <v>5637</v>
      </c>
      <c r="B1624" t="s">
        <v>5638</v>
      </c>
      <c r="C1624" t="s">
        <v>2696</v>
      </c>
      <c r="D1624" t="s">
        <v>2696</v>
      </c>
      <c r="E1624" t="s">
        <v>5639</v>
      </c>
    </row>
    <row r="1625" spans="1:5" x14ac:dyDescent="0.3">
      <c r="A1625" t="s">
        <v>9173</v>
      </c>
      <c r="B1625" t="s">
        <v>9174</v>
      </c>
      <c r="C1625" t="s">
        <v>2696</v>
      </c>
      <c r="D1625" t="s">
        <v>2696</v>
      </c>
      <c r="E1625" t="s">
        <v>9175</v>
      </c>
    </row>
    <row r="1626" spans="1:5" x14ac:dyDescent="0.3">
      <c r="A1626" t="s">
        <v>9195</v>
      </c>
      <c r="B1626" t="s">
        <v>9196</v>
      </c>
      <c r="C1626" t="s">
        <v>2696</v>
      </c>
      <c r="D1626" t="s">
        <v>2696</v>
      </c>
      <c r="E1626" t="s">
        <v>9197</v>
      </c>
    </row>
    <row r="1627" spans="1:5" x14ac:dyDescent="0.3">
      <c r="A1627" t="s">
        <v>9276</v>
      </c>
      <c r="B1627" t="s">
        <v>9277</v>
      </c>
      <c r="C1627" t="s">
        <v>2696</v>
      </c>
      <c r="D1627" t="s">
        <v>2696</v>
      </c>
      <c r="E1627" t="s">
        <v>9278</v>
      </c>
    </row>
    <row r="1628" spans="1:5" x14ac:dyDescent="0.3">
      <c r="A1628" t="s">
        <v>9299</v>
      </c>
      <c r="B1628" t="s">
        <v>9300</v>
      </c>
      <c r="C1628" t="s">
        <v>2696</v>
      </c>
      <c r="D1628" t="s">
        <v>2696</v>
      </c>
      <c r="E1628" t="s">
        <v>9301</v>
      </c>
    </row>
    <row r="1629" spans="1:5" x14ac:dyDescent="0.3">
      <c r="A1629" t="s">
        <v>9192</v>
      </c>
      <c r="B1629" t="s">
        <v>9193</v>
      </c>
      <c r="C1629" t="s">
        <v>2696</v>
      </c>
      <c r="D1629" t="s">
        <v>2696</v>
      </c>
      <c r="E1629" t="s">
        <v>9194</v>
      </c>
    </row>
    <row r="1630" spans="1:5" x14ac:dyDescent="0.3">
      <c r="A1630" t="s">
        <v>9216</v>
      </c>
      <c r="B1630" t="s">
        <v>9217</v>
      </c>
      <c r="C1630" t="s">
        <v>2696</v>
      </c>
      <c r="D1630" t="s">
        <v>2696</v>
      </c>
      <c r="E1630" t="s">
        <v>9218</v>
      </c>
    </row>
    <row r="1631" spans="1:5" x14ac:dyDescent="0.3">
      <c r="A1631" t="s">
        <v>6417</v>
      </c>
      <c r="B1631" t="s">
        <v>6418</v>
      </c>
      <c r="C1631" t="s">
        <v>2708</v>
      </c>
      <c r="D1631" t="s">
        <v>2709</v>
      </c>
      <c r="E1631" t="s">
        <v>6419</v>
      </c>
    </row>
    <row r="1632" spans="1:5" x14ac:dyDescent="0.3">
      <c r="A1632" t="s">
        <v>6440</v>
      </c>
      <c r="B1632" t="s">
        <v>6441</v>
      </c>
      <c r="C1632" t="s">
        <v>2708</v>
      </c>
      <c r="D1632" t="s">
        <v>2709</v>
      </c>
      <c r="E1632" t="s">
        <v>6442</v>
      </c>
    </row>
    <row r="1633" spans="1:5" x14ac:dyDescent="0.3">
      <c r="A1633" t="s">
        <v>2617</v>
      </c>
      <c r="B1633" t="s">
        <v>2618</v>
      </c>
      <c r="C1633" t="s">
        <v>1543</v>
      </c>
      <c r="D1633" t="s">
        <v>1088</v>
      </c>
      <c r="E1633" t="s">
        <v>2619</v>
      </c>
    </row>
    <row r="1634" spans="1:5" x14ac:dyDescent="0.3">
      <c r="A1634" t="s">
        <v>10236</v>
      </c>
      <c r="B1634" t="s">
        <v>10237</v>
      </c>
      <c r="C1634" t="s">
        <v>2696</v>
      </c>
      <c r="D1634" t="s">
        <v>2696</v>
      </c>
      <c r="E1634" t="s">
        <v>10238</v>
      </c>
    </row>
    <row r="1635" spans="1:5" x14ac:dyDescent="0.3">
      <c r="A1635" t="s">
        <v>5660</v>
      </c>
      <c r="B1635" t="s">
        <v>5661</v>
      </c>
      <c r="C1635" t="s">
        <v>2696</v>
      </c>
      <c r="D1635" t="s">
        <v>2696</v>
      </c>
      <c r="E1635" t="s">
        <v>5662</v>
      </c>
    </row>
    <row r="1636" spans="1:5" x14ac:dyDescent="0.3">
      <c r="A1636" t="s">
        <v>5683</v>
      </c>
      <c r="B1636" t="s">
        <v>3590</v>
      </c>
      <c r="C1636" t="s">
        <v>2696</v>
      </c>
      <c r="D1636" t="s">
        <v>2696</v>
      </c>
      <c r="E1636" t="s">
        <v>5684</v>
      </c>
    </row>
    <row r="1637" spans="1:5" x14ac:dyDescent="0.3">
      <c r="A1637" t="s">
        <v>9323</v>
      </c>
      <c r="B1637" t="s">
        <v>9324</v>
      </c>
      <c r="C1637" t="s">
        <v>2696</v>
      </c>
      <c r="D1637" t="s">
        <v>2696</v>
      </c>
      <c r="E1637" t="s">
        <v>9325</v>
      </c>
    </row>
    <row r="1638" spans="1:5" x14ac:dyDescent="0.3">
      <c r="A1638" t="s">
        <v>9347</v>
      </c>
      <c r="B1638" t="s">
        <v>9348</v>
      </c>
      <c r="C1638" t="s">
        <v>2696</v>
      </c>
      <c r="D1638" t="s">
        <v>2696</v>
      </c>
      <c r="E1638" t="s">
        <v>9349</v>
      </c>
    </row>
    <row r="1639" spans="1:5" x14ac:dyDescent="0.3">
      <c r="A1639" t="s">
        <v>6463</v>
      </c>
      <c r="B1639" t="s">
        <v>6464</v>
      </c>
      <c r="C1639" t="s">
        <v>2840</v>
      </c>
      <c r="D1639" t="s">
        <v>2841</v>
      </c>
      <c r="E1639" t="s">
        <v>6465</v>
      </c>
    </row>
    <row r="1640" spans="1:5" x14ac:dyDescent="0.3">
      <c r="A1640" t="s">
        <v>2324</v>
      </c>
      <c r="B1640" t="s">
        <v>2325</v>
      </c>
      <c r="C1640" t="s">
        <v>1110</v>
      </c>
      <c r="D1640" t="s">
        <v>1111</v>
      </c>
      <c r="E1640" t="s">
        <v>2326</v>
      </c>
    </row>
    <row r="1641" spans="1:5" x14ac:dyDescent="0.3">
      <c r="A1641" t="s">
        <v>9240</v>
      </c>
      <c r="B1641" t="s">
        <v>9241</v>
      </c>
      <c r="C1641" t="s">
        <v>2696</v>
      </c>
      <c r="D1641" t="s">
        <v>2696</v>
      </c>
      <c r="E1641" t="s">
        <v>9242</v>
      </c>
    </row>
    <row r="1642" spans="1:5" x14ac:dyDescent="0.3">
      <c r="A1642" t="s">
        <v>9261</v>
      </c>
      <c r="B1642" t="s">
        <v>9262</v>
      </c>
      <c r="C1642" t="s">
        <v>2696</v>
      </c>
      <c r="D1642" t="s">
        <v>2696</v>
      </c>
      <c r="E1642" t="s">
        <v>9263</v>
      </c>
    </row>
    <row r="1643" spans="1:5" x14ac:dyDescent="0.3">
      <c r="A1643" t="s">
        <v>10260</v>
      </c>
      <c r="B1643" t="s">
        <v>10261</v>
      </c>
      <c r="C1643" t="s">
        <v>2696</v>
      </c>
      <c r="D1643" t="s">
        <v>2696</v>
      </c>
      <c r="E1643" t="s">
        <v>10262</v>
      </c>
    </row>
    <row r="1644" spans="1:5" x14ac:dyDescent="0.3">
      <c r="A1644" t="s">
        <v>10269</v>
      </c>
      <c r="B1644" t="s">
        <v>10270</v>
      </c>
      <c r="C1644" t="s">
        <v>4086</v>
      </c>
      <c r="D1644" t="s">
        <v>2704</v>
      </c>
      <c r="E1644" t="s">
        <v>10271</v>
      </c>
    </row>
    <row r="1645" spans="1:5" x14ac:dyDescent="0.3">
      <c r="A1645" t="s">
        <v>5705</v>
      </c>
      <c r="B1645" t="s">
        <v>5706</v>
      </c>
      <c r="C1645" t="s">
        <v>2696</v>
      </c>
      <c r="D1645" t="s">
        <v>2696</v>
      </c>
      <c r="E1645" t="s">
        <v>5707</v>
      </c>
    </row>
    <row r="1646" spans="1:5" x14ac:dyDescent="0.3">
      <c r="A1646" t="s">
        <v>5727</v>
      </c>
      <c r="B1646" t="s">
        <v>5728</v>
      </c>
      <c r="C1646" t="s">
        <v>2696</v>
      </c>
      <c r="D1646" t="s">
        <v>2696</v>
      </c>
      <c r="E1646" t="s">
        <v>5729</v>
      </c>
    </row>
    <row r="1647" spans="1:5" x14ac:dyDescent="0.3">
      <c r="A1647" t="s">
        <v>6486</v>
      </c>
      <c r="B1647" t="s">
        <v>6487</v>
      </c>
      <c r="C1647" t="s">
        <v>2696</v>
      </c>
      <c r="D1647" t="s">
        <v>2696</v>
      </c>
      <c r="E1647" t="s">
        <v>6488</v>
      </c>
    </row>
    <row r="1648" spans="1:5" x14ac:dyDescent="0.3">
      <c r="A1648" t="s">
        <v>2333</v>
      </c>
      <c r="B1648" t="s">
        <v>2334</v>
      </c>
      <c r="C1648" t="s">
        <v>1110</v>
      </c>
      <c r="D1648" t="s">
        <v>1111</v>
      </c>
      <c r="E1648" t="s">
        <v>2335</v>
      </c>
    </row>
    <row r="1649" spans="1:5" x14ac:dyDescent="0.3">
      <c r="A1649" t="s">
        <v>9285</v>
      </c>
      <c r="B1649" t="s">
        <v>9286</v>
      </c>
      <c r="C1649" t="s">
        <v>2696</v>
      </c>
      <c r="D1649" t="s">
        <v>2696</v>
      </c>
      <c r="E1649" t="s">
        <v>9287</v>
      </c>
    </row>
    <row r="1650" spans="1:5" x14ac:dyDescent="0.3">
      <c r="A1650" t="s">
        <v>9308</v>
      </c>
      <c r="B1650" t="s">
        <v>9309</v>
      </c>
      <c r="C1650" t="s">
        <v>2696</v>
      </c>
      <c r="D1650" t="s">
        <v>2696</v>
      </c>
      <c r="E1650" t="s">
        <v>9310</v>
      </c>
    </row>
    <row r="1651" spans="1:5" x14ac:dyDescent="0.3">
      <c r="A1651" t="s">
        <v>9369</v>
      </c>
      <c r="B1651" t="s">
        <v>9370</v>
      </c>
      <c r="C1651" t="s">
        <v>2696</v>
      </c>
      <c r="D1651" t="s">
        <v>2696</v>
      </c>
      <c r="E1651" t="s">
        <v>9371</v>
      </c>
    </row>
    <row r="1652" spans="1:5" x14ac:dyDescent="0.3">
      <c r="A1652" t="s">
        <v>9392</v>
      </c>
      <c r="B1652" t="s">
        <v>9393</v>
      </c>
      <c r="C1652" t="s">
        <v>2696</v>
      </c>
      <c r="D1652" t="s">
        <v>2696</v>
      </c>
      <c r="E1652" t="s">
        <v>9394</v>
      </c>
    </row>
    <row r="1653" spans="1:5" x14ac:dyDescent="0.3">
      <c r="A1653" t="s">
        <v>10289</v>
      </c>
      <c r="B1653" t="s">
        <v>2774</v>
      </c>
      <c r="C1653" t="s">
        <v>4086</v>
      </c>
      <c r="D1653" t="s">
        <v>2704</v>
      </c>
      <c r="E1653" t="s">
        <v>10290</v>
      </c>
    </row>
    <row r="1654" spans="1:5" x14ac:dyDescent="0.3">
      <c r="A1654" t="s">
        <v>10309</v>
      </c>
      <c r="B1654" t="s">
        <v>10310</v>
      </c>
      <c r="C1654" t="s">
        <v>2708</v>
      </c>
      <c r="D1654" t="s">
        <v>2709</v>
      </c>
      <c r="E1654" t="s">
        <v>10311</v>
      </c>
    </row>
    <row r="1655" spans="1:5" x14ac:dyDescent="0.3">
      <c r="A1655" t="s">
        <v>6507</v>
      </c>
      <c r="B1655" t="s">
        <v>6508</v>
      </c>
      <c r="C1655" t="s">
        <v>3850</v>
      </c>
      <c r="D1655" t="s">
        <v>3712</v>
      </c>
      <c r="E1655" t="s">
        <v>6509</v>
      </c>
    </row>
    <row r="1656" spans="1:5" x14ac:dyDescent="0.3">
      <c r="A1656" t="s">
        <v>6530</v>
      </c>
      <c r="B1656" t="s">
        <v>6531</v>
      </c>
      <c r="C1656" t="s">
        <v>2840</v>
      </c>
      <c r="D1656" t="s">
        <v>2841</v>
      </c>
      <c r="E1656" t="s">
        <v>6532</v>
      </c>
    </row>
    <row r="1657" spans="1:5" x14ac:dyDescent="0.3">
      <c r="A1657" t="s">
        <v>9372</v>
      </c>
      <c r="B1657" t="s">
        <v>8812</v>
      </c>
      <c r="C1657" t="s">
        <v>2696</v>
      </c>
      <c r="D1657" t="s">
        <v>2696</v>
      </c>
      <c r="E1657" t="s">
        <v>9373</v>
      </c>
    </row>
    <row r="1658" spans="1:5" x14ac:dyDescent="0.3">
      <c r="A1658" t="s">
        <v>9395</v>
      </c>
      <c r="B1658" t="s">
        <v>9396</v>
      </c>
      <c r="C1658" t="s">
        <v>2696</v>
      </c>
      <c r="D1658" t="s">
        <v>2696</v>
      </c>
      <c r="E1658" t="s">
        <v>9397</v>
      </c>
    </row>
    <row r="1659" spans="1:5" x14ac:dyDescent="0.3">
      <c r="A1659" t="s">
        <v>9332</v>
      </c>
      <c r="B1659" t="s">
        <v>9333</v>
      </c>
      <c r="C1659" t="s">
        <v>2696</v>
      </c>
      <c r="D1659" t="s">
        <v>2696</v>
      </c>
      <c r="E1659" t="s">
        <v>9334</v>
      </c>
    </row>
    <row r="1660" spans="1:5" x14ac:dyDescent="0.3">
      <c r="A1660" t="s">
        <v>9355</v>
      </c>
      <c r="B1660" t="s">
        <v>9356</v>
      </c>
      <c r="C1660" t="s">
        <v>2696</v>
      </c>
      <c r="D1660" t="s">
        <v>2696</v>
      </c>
      <c r="E1660" t="s">
        <v>9357</v>
      </c>
    </row>
    <row r="1661" spans="1:5" x14ac:dyDescent="0.3">
      <c r="A1661" t="s">
        <v>9415</v>
      </c>
      <c r="B1661" t="s">
        <v>9416</v>
      </c>
      <c r="C1661" t="s">
        <v>2696</v>
      </c>
      <c r="D1661" t="s">
        <v>2696</v>
      </c>
      <c r="E1661" t="s">
        <v>9417</v>
      </c>
    </row>
    <row r="1662" spans="1:5" x14ac:dyDescent="0.3">
      <c r="A1662" t="s">
        <v>9438</v>
      </c>
      <c r="B1662" t="s">
        <v>1868</v>
      </c>
      <c r="C1662" t="s">
        <v>2696</v>
      </c>
      <c r="D1662" t="s">
        <v>2696</v>
      </c>
      <c r="E1662" t="s">
        <v>9439</v>
      </c>
    </row>
    <row r="1663" spans="1:5" x14ac:dyDescent="0.3">
      <c r="A1663" t="s">
        <v>10332</v>
      </c>
      <c r="B1663" t="s">
        <v>10333</v>
      </c>
      <c r="C1663" t="s">
        <v>2708</v>
      </c>
      <c r="D1663" t="s">
        <v>2709</v>
      </c>
      <c r="E1663" t="s">
        <v>10334</v>
      </c>
    </row>
    <row r="1664" spans="1:5" x14ac:dyDescent="0.3">
      <c r="A1664" t="s">
        <v>5263</v>
      </c>
      <c r="B1664" t="s">
        <v>5264</v>
      </c>
      <c r="C1664" t="s">
        <v>2696</v>
      </c>
      <c r="D1664" t="s">
        <v>2696</v>
      </c>
      <c r="E1664" t="s">
        <v>5265</v>
      </c>
    </row>
    <row r="1665" spans="1:5" x14ac:dyDescent="0.3">
      <c r="A1665" t="s">
        <v>6553</v>
      </c>
      <c r="B1665" t="s">
        <v>6554</v>
      </c>
      <c r="C1665" t="s">
        <v>2840</v>
      </c>
      <c r="D1665" t="s">
        <v>2841</v>
      </c>
      <c r="E1665" t="s">
        <v>6555</v>
      </c>
    </row>
    <row r="1666" spans="1:5" x14ac:dyDescent="0.3">
      <c r="A1666" t="s">
        <v>6578</v>
      </c>
      <c r="B1666" t="s">
        <v>6579</v>
      </c>
      <c r="C1666" t="s">
        <v>6574</v>
      </c>
      <c r="D1666" t="s">
        <v>2852</v>
      </c>
      <c r="E1666" t="s">
        <v>6580</v>
      </c>
    </row>
    <row r="1667" spans="1:5" x14ac:dyDescent="0.3">
      <c r="A1667" t="s">
        <v>9418</v>
      </c>
      <c r="B1667" t="s">
        <v>9419</v>
      </c>
      <c r="C1667" t="s">
        <v>2696</v>
      </c>
      <c r="D1667" t="s">
        <v>2696</v>
      </c>
      <c r="E1667" t="s">
        <v>9420</v>
      </c>
    </row>
    <row r="1668" spans="1:5" x14ac:dyDescent="0.3">
      <c r="A1668" t="s">
        <v>9440</v>
      </c>
      <c r="B1668" t="s">
        <v>9441</v>
      </c>
      <c r="C1668" t="s">
        <v>2696</v>
      </c>
      <c r="D1668" t="s">
        <v>2696</v>
      </c>
      <c r="E1668" t="s">
        <v>9442</v>
      </c>
    </row>
    <row r="1669" spans="1:5" x14ac:dyDescent="0.3">
      <c r="A1669" t="s">
        <v>9461</v>
      </c>
      <c r="B1669" t="s">
        <v>9462</v>
      </c>
      <c r="C1669" t="s">
        <v>2696</v>
      </c>
      <c r="D1669" t="s">
        <v>2696</v>
      </c>
      <c r="E1669" t="s">
        <v>9463</v>
      </c>
    </row>
    <row r="1670" spans="1:5" x14ac:dyDescent="0.3">
      <c r="A1670" t="s">
        <v>9483</v>
      </c>
      <c r="B1670" t="s">
        <v>9484</v>
      </c>
      <c r="C1670" t="s">
        <v>2696</v>
      </c>
      <c r="D1670" t="s">
        <v>2696</v>
      </c>
      <c r="E1670" t="s">
        <v>9485</v>
      </c>
    </row>
    <row r="1671" spans="1:5" x14ac:dyDescent="0.3">
      <c r="A1671" t="s">
        <v>5287</v>
      </c>
      <c r="B1671" t="s">
        <v>5288</v>
      </c>
      <c r="C1671" t="s">
        <v>3860</v>
      </c>
      <c r="D1671" t="s">
        <v>2704</v>
      </c>
      <c r="E1671" t="s">
        <v>5289</v>
      </c>
    </row>
    <row r="1672" spans="1:5" x14ac:dyDescent="0.3">
      <c r="A1672" t="s">
        <v>5311</v>
      </c>
      <c r="B1672" t="s">
        <v>5312</v>
      </c>
      <c r="C1672" t="s">
        <v>3860</v>
      </c>
      <c r="D1672" t="s">
        <v>2704</v>
      </c>
      <c r="E1672" t="s">
        <v>5313</v>
      </c>
    </row>
    <row r="1673" spans="1:5" x14ac:dyDescent="0.3">
      <c r="A1673" t="s">
        <v>5750</v>
      </c>
      <c r="B1673" t="s">
        <v>5751</v>
      </c>
      <c r="C1673" t="s">
        <v>2696</v>
      </c>
      <c r="D1673" t="s">
        <v>2696</v>
      </c>
      <c r="E1673" t="s">
        <v>5752</v>
      </c>
    </row>
    <row r="1674" spans="1:5" x14ac:dyDescent="0.3">
      <c r="A1674" t="s">
        <v>5772</v>
      </c>
      <c r="B1674" t="s">
        <v>5635</v>
      </c>
      <c r="C1674" t="s">
        <v>2696</v>
      </c>
      <c r="D1674" t="s">
        <v>2696</v>
      </c>
      <c r="E1674" t="s">
        <v>5773</v>
      </c>
    </row>
    <row r="1675" spans="1:5" x14ac:dyDescent="0.3">
      <c r="A1675" t="s">
        <v>6601</v>
      </c>
      <c r="B1675" t="s">
        <v>6602</v>
      </c>
      <c r="C1675" t="s">
        <v>4469</v>
      </c>
      <c r="D1675" t="s">
        <v>2709</v>
      </c>
      <c r="E1675" t="s">
        <v>6603</v>
      </c>
    </row>
    <row r="1676" spans="1:5" x14ac:dyDescent="0.3">
      <c r="A1676" t="s">
        <v>2347</v>
      </c>
      <c r="B1676" t="s">
        <v>2348</v>
      </c>
      <c r="C1676" t="s">
        <v>1140</v>
      </c>
      <c r="D1676" t="s">
        <v>1088</v>
      </c>
      <c r="E1676" t="s">
        <v>2349</v>
      </c>
    </row>
    <row r="1677" spans="1:5" x14ac:dyDescent="0.3">
      <c r="A1677" t="s">
        <v>9464</v>
      </c>
      <c r="B1677" t="s">
        <v>9465</v>
      </c>
      <c r="C1677" t="s">
        <v>2696</v>
      </c>
      <c r="D1677" t="s">
        <v>2696</v>
      </c>
      <c r="E1677" t="s">
        <v>9466</v>
      </c>
    </row>
    <row r="1678" spans="1:5" x14ac:dyDescent="0.3">
      <c r="A1678" t="s">
        <v>9486</v>
      </c>
      <c r="B1678" t="s">
        <v>9487</v>
      </c>
      <c r="C1678" t="s">
        <v>2696</v>
      </c>
      <c r="D1678" t="s">
        <v>2696</v>
      </c>
      <c r="E1678" t="s">
        <v>9488</v>
      </c>
    </row>
    <row r="1679" spans="1:5" x14ac:dyDescent="0.3">
      <c r="A1679" t="s">
        <v>9506</v>
      </c>
      <c r="B1679" t="s">
        <v>9507</v>
      </c>
      <c r="C1679" t="s">
        <v>2696</v>
      </c>
      <c r="D1679" t="s">
        <v>2696</v>
      </c>
      <c r="E1679" t="s">
        <v>9508</v>
      </c>
    </row>
    <row r="1680" spans="1:5" x14ac:dyDescent="0.3">
      <c r="A1680" t="s">
        <v>9528</v>
      </c>
      <c r="B1680" t="s">
        <v>5878</v>
      </c>
      <c r="C1680" t="s">
        <v>2696</v>
      </c>
      <c r="D1680" t="s">
        <v>2696</v>
      </c>
      <c r="E1680" t="s">
        <v>9529</v>
      </c>
    </row>
    <row r="1681" spans="1:5" x14ac:dyDescent="0.3">
      <c r="A1681" t="s">
        <v>2697</v>
      </c>
      <c r="B1681" t="s">
        <v>2698</v>
      </c>
      <c r="C1681" t="s">
        <v>2696</v>
      </c>
      <c r="D1681" t="s">
        <v>2696</v>
      </c>
      <c r="E1681" t="s">
        <v>2699</v>
      </c>
    </row>
    <row r="1682" spans="1:5" x14ac:dyDescent="0.3">
      <c r="A1682" t="s">
        <v>5348</v>
      </c>
      <c r="B1682" t="s">
        <v>5349</v>
      </c>
      <c r="C1682" t="s">
        <v>2696</v>
      </c>
      <c r="D1682" t="s">
        <v>2696</v>
      </c>
      <c r="E1682" t="s">
        <v>5350</v>
      </c>
    </row>
    <row r="1683" spans="1:5" x14ac:dyDescent="0.3">
      <c r="A1683" t="s">
        <v>6633</v>
      </c>
      <c r="B1683" t="s">
        <v>6634</v>
      </c>
      <c r="C1683" t="s">
        <v>4246</v>
      </c>
      <c r="D1683" t="s">
        <v>2709</v>
      </c>
      <c r="E1683" t="s">
        <v>6635</v>
      </c>
    </row>
    <row r="1684" spans="1:5" x14ac:dyDescent="0.3">
      <c r="A1684" t="s">
        <v>6657</v>
      </c>
      <c r="B1684" t="s">
        <v>6000</v>
      </c>
      <c r="C1684" t="s">
        <v>4595</v>
      </c>
      <c r="D1684" t="s">
        <v>133</v>
      </c>
      <c r="E1684" t="s">
        <v>6658</v>
      </c>
    </row>
    <row r="1685" spans="1:5" x14ac:dyDescent="0.3">
      <c r="A1685" t="s">
        <v>9551</v>
      </c>
      <c r="B1685" t="s">
        <v>9552</v>
      </c>
      <c r="C1685" t="s">
        <v>2696</v>
      </c>
      <c r="D1685" t="s">
        <v>2696</v>
      </c>
      <c r="E1685" t="s">
        <v>9553</v>
      </c>
    </row>
    <row r="1686" spans="1:5" x14ac:dyDescent="0.3">
      <c r="A1686" t="s">
        <v>9575</v>
      </c>
      <c r="B1686" t="s">
        <v>9576</v>
      </c>
      <c r="C1686" t="s">
        <v>2696</v>
      </c>
      <c r="D1686" t="s">
        <v>2696</v>
      </c>
      <c r="E1686" t="s">
        <v>9577</v>
      </c>
    </row>
    <row r="1687" spans="1:5" x14ac:dyDescent="0.3">
      <c r="A1687" t="s">
        <v>10205</v>
      </c>
      <c r="B1687" t="s">
        <v>10206</v>
      </c>
      <c r="C1687" t="s">
        <v>3768</v>
      </c>
      <c r="D1687" t="s">
        <v>2852</v>
      </c>
      <c r="E1687" t="s">
        <v>10207</v>
      </c>
    </row>
    <row r="1688" spans="1:5" x14ac:dyDescent="0.3">
      <c r="A1688" t="s">
        <v>2644</v>
      </c>
      <c r="B1688" t="s">
        <v>2645</v>
      </c>
      <c r="C1688" t="s">
        <v>1543</v>
      </c>
      <c r="D1688" t="s">
        <v>1088</v>
      </c>
      <c r="E1688" t="s">
        <v>2646</v>
      </c>
    </row>
    <row r="1689" spans="1:5" x14ac:dyDescent="0.3">
      <c r="A1689" t="s">
        <v>10224</v>
      </c>
      <c r="B1689" t="s">
        <v>10225</v>
      </c>
      <c r="C1689" t="s">
        <v>2696</v>
      </c>
      <c r="D1689" t="s">
        <v>2696</v>
      </c>
      <c r="E1689" t="s">
        <v>10226</v>
      </c>
    </row>
    <row r="1690" spans="1:5" x14ac:dyDescent="0.3">
      <c r="A1690" t="s">
        <v>5371</v>
      </c>
      <c r="B1690" t="s">
        <v>5372</v>
      </c>
      <c r="C1690" t="s">
        <v>2696</v>
      </c>
      <c r="D1690" t="s">
        <v>2696</v>
      </c>
      <c r="E1690" t="s">
        <v>5373</v>
      </c>
    </row>
    <row r="1691" spans="1:5" x14ac:dyDescent="0.3">
      <c r="A1691" t="s">
        <v>5395</v>
      </c>
      <c r="B1691" t="s">
        <v>5396</v>
      </c>
      <c r="C1691" t="s">
        <v>2696</v>
      </c>
      <c r="D1691" t="s">
        <v>2696</v>
      </c>
      <c r="E1691" t="s">
        <v>5397</v>
      </c>
    </row>
    <row r="1692" spans="1:5" x14ac:dyDescent="0.3">
      <c r="A1692" t="s">
        <v>9219</v>
      </c>
      <c r="B1692" t="s">
        <v>9220</v>
      </c>
      <c r="C1692" t="s">
        <v>2696</v>
      </c>
      <c r="D1692" t="s">
        <v>2696</v>
      </c>
      <c r="E1692" t="s">
        <v>9221</v>
      </c>
    </row>
    <row r="1693" spans="1:5" x14ac:dyDescent="0.3">
      <c r="A1693" t="s">
        <v>9597</v>
      </c>
      <c r="B1693" t="s">
        <v>9598</v>
      </c>
      <c r="C1693" t="s">
        <v>2696</v>
      </c>
      <c r="D1693" t="s">
        <v>2696</v>
      </c>
      <c r="E1693" t="s">
        <v>9599</v>
      </c>
    </row>
    <row r="1694" spans="1:5" x14ac:dyDescent="0.3">
      <c r="A1694" t="s">
        <v>9377</v>
      </c>
      <c r="B1694" t="s">
        <v>9378</v>
      </c>
      <c r="C1694" t="s">
        <v>2696</v>
      </c>
      <c r="D1694" t="s">
        <v>2696</v>
      </c>
      <c r="E1694" t="s">
        <v>9379</v>
      </c>
    </row>
    <row r="1695" spans="1:5" x14ac:dyDescent="0.3">
      <c r="A1695" t="s">
        <v>9401</v>
      </c>
      <c r="B1695" t="s">
        <v>9402</v>
      </c>
      <c r="C1695" t="s">
        <v>2696</v>
      </c>
      <c r="D1695" t="s">
        <v>2696</v>
      </c>
      <c r="E1695" t="s">
        <v>9403</v>
      </c>
    </row>
    <row r="1696" spans="1:5" x14ac:dyDescent="0.3">
      <c r="A1696" t="s">
        <v>6680</v>
      </c>
      <c r="B1696" t="s">
        <v>6681</v>
      </c>
      <c r="C1696" t="s">
        <v>4595</v>
      </c>
      <c r="D1696" t="s">
        <v>133</v>
      </c>
      <c r="E1696" t="s">
        <v>6682</v>
      </c>
    </row>
    <row r="1697" spans="1:5" x14ac:dyDescent="0.3">
      <c r="A1697" t="s">
        <v>6703</v>
      </c>
      <c r="B1697" t="s">
        <v>6704</v>
      </c>
      <c r="C1697" t="s">
        <v>6574</v>
      </c>
      <c r="D1697" t="s">
        <v>2852</v>
      </c>
      <c r="E1697" t="s">
        <v>6705</v>
      </c>
    </row>
    <row r="1698" spans="1:5" x14ac:dyDescent="0.3">
      <c r="A1698" t="s">
        <v>5418</v>
      </c>
      <c r="B1698" t="s">
        <v>5419</v>
      </c>
      <c r="C1698" t="s">
        <v>2696</v>
      </c>
      <c r="D1698" t="s">
        <v>2696</v>
      </c>
      <c r="E1698" t="s">
        <v>5420</v>
      </c>
    </row>
    <row r="1699" spans="1:5" x14ac:dyDescent="0.3">
      <c r="A1699" t="s">
        <v>5441</v>
      </c>
      <c r="B1699" t="s">
        <v>2835</v>
      </c>
      <c r="C1699" t="s">
        <v>2696</v>
      </c>
      <c r="D1699" t="s">
        <v>2696</v>
      </c>
      <c r="E1699" t="s">
        <v>5442</v>
      </c>
    </row>
    <row r="1700" spans="1:5" x14ac:dyDescent="0.3">
      <c r="A1700" t="s">
        <v>10248</v>
      </c>
      <c r="B1700" t="s">
        <v>10249</v>
      </c>
      <c r="C1700" t="s">
        <v>2696</v>
      </c>
      <c r="D1700" t="s">
        <v>2696</v>
      </c>
      <c r="E1700" t="s">
        <v>10250</v>
      </c>
    </row>
    <row r="1701" spans="1:5" x14ac:dyDescent="0.3">
      <c r="A1701" t="s">
        <v>9621</v>
      </c>
      <c r="B1701" t="s">
        <v>3275</v>
      </c>
      <c r="C1701" t="s">
        <v>2696</v>
      </c>
      <c r="D1701" t="s">
        <v>2696</v>
      </c>
      <c r="E1701" t="s">
        <v>9622</v>
      </c>
    </row>
    <row r="1702" spans="1:5" x14ac:dyDescent="0.3">
      <c r="A1702" t="s">
        <v>9644</v>
      </c>
      <c r="B1702" t="s">
        <v>3901</v>
      </c>
      <c r="C1702" t="s">
        <v>2696</v>
      </c>
      <c r="D1702" t="s">
        <v>2696</v>
      </c>
      <c r="E1702" t="s">
        <v>9645</v>
      </c>
    </row>
    <row r="1703" spans="1:5" x14ac:dyDescent="0.3">
      <c r="A1703" t="s">
        <v>6721</v>
      </c>
      <c r="B1703" t="s">
        <v>6722</v>
      </c>
      <c r="C1703" t="s">
        <v>3860</v>
      </c>
      <c r="D1703" t="s">
        <v>2704</v>
      </c>
      <c r="E1703" t="s">
        <v>6723</v>
      </c>
    </row>
    <row r="1704" spans="1:5" x14ac:dyDescent="0.3">
      <c r="A1704" t="s">
        <v>2374</v>
      </c>
      <c r="B1704" t="s">
        <v>2375</v>
      </c>
      <c r="C1704" t="s">
        <v>1533</v>
      </c>
      <c r="D1704" t="s">
        <v>1111</v>
      </c>
      <c r="E1704" t="s">
        <v>2376</v>
      </c>
    </row>
    <row r="1705" spans="1:5" x14ac:dyDescent="0.3">
      <c r="A1705" t="s">
        <v>9423</v>
      </c>
      <c r="B1705" t="s">
        <v>9424</v>
      </c>
      <c r="C1705" t="s">
        <v>2696</v>
      </c>
      <c r="D1705" t="s">
        <v>2696</v>
      </c>
      <c r="E1705" t="s">
        <v>9425</v>
      </c>
    </row>
    <row r="1706" spans="1:5" x14ac:dyDescent="0.3">
      <c r="A1706" t="s">
        <v>9446</v>
      </c>
      <c r="B1706" t="s">
        <v>9447</v>
      </c>
      <c r="C1706" t="s">
        <v>2696</v>
      </c>
      <c r="D1706" t="s">
        <v>2696</v>
      </c>
      <c r="E1706" t="s">
        <v>9448</v>
      </c>
    </row>
    <row r="1707" spans="1:5" x14ac:dyDescent="0.3">
      <c r="A1707" t="s">
        <v>1858</v>
      </c>
      <c r="B1707" t="s">
        <v>1859</v>
      </c>
      <c r="C1707" t="s">
        <v>1523</v>
      </c>
      <c r="D1707" t="s">
        <v>1111</v>
      </c>
      <c r="E1707" t="s">
        <v>1860</v>
      </c>
    </row>
    <row r="1708" spans="1:5" x14ac:dyDescent="0.3">
      <c r="A1708" t="s">
        <v>5483</v>
      </c>
      <c r="B1708" t="s">
        <v>5484</v>
      </c>
      <c r="C1708" t="s">
        <v>2696</v>
      </c>
      <c r="D1708" t="s">
        <v>2696</v>
      </c>
      <c r="E1708" t="s">
        <v>5485</v>
      </c>
    </row>
    <row r="1709" spans="1:5" x14ac:dyDescent="0.3">
      <c r="A1709" t="s">
        <v>9666</v>
      </c>
      <c r="B1709" t="s">
        <v>4958</v>
      </c>
      <c r="C1709" t="s">
        <v>2696</v>
      </c>
      <c r="D1709" t="s">
        <v>2696</v>
      </c>
      <c r="E1709" t="s">
        <v>9667</v>
      </c>
    </row>
    <row r="1710" spans="1:5" x14ac:dyDescent="0.3">
      <c r="A1710" t="s">
        <v>9689</v>
      </c>
      <c r="B1710" t="s">
        <v>9690</v>
      </c>
      <c r="C1710" t="s">
        <v>2696</v>
      </c>
      <c r="D1710" t="s">
        <v>2696</v>
      </c>
      <c r="E1710" t="s">
        <v>9691</v>
      </c>
    </row>
    <row r="1711" spans="1:5" x14ac:dyDescent="0.3">
      <c r="A1711" t="s">
        <v>2650</v>
      </c>
      <c r="B1711" t="s">
        <v>2651</v>
      </c>
      <c r="C1711" t="s">
        <v>1209</v>
      </c>
      <c r="D1711" t="s">
        <v>1088</v>
      </c>
      <c r="E1711" t="s">
        <v>2652</v>
      </c>
    </row>
    <row r="1712" spans="1:5" x14ac:dyDescent="0.3">
      <c r="A1712" t="s">
        <v>10280</v>
      </c>
      <c r="B1712" t="s">
        <v>10281</v>
      </c>
      <c r="C1712" t="s">
        <v>4086</v>
      </c>
      <c r="D1712" t="s">
        <v>2704</v>
      </c>
      <c r="E1712" t="s">
        <v>10282</v>
      </c>
    </row>
    <row r="1713" spans="1:5" x14ac:dyDescent="0.3">
      <c r="A1713" t="s">
        <v>5795</v>
      </c>
      <c r="B1713" t="s">
        <v>5796</v>
      </c>
      <c r="C1713" t="s">
        <v>2696</v>
      </c>
      <c r="D1713" t="s">
        <v>2696</v>
      </c>
      <c r="E1713" t="s">
        <v>5797</v>
      </c>
    </row>
    <row r="1714" spans="1:5" x14ac:dyDescent="0.3">
      <c r="A1714" t="s">
        <v>5819</v>
      </c>
      <c r="B1714" t="s">
        <v>5820</v>
      </c>
      <c r="C1714" t="s">
        <v>2696</v>
      </c>
      <c r="D1714" t="s">
        <v>2696</v>
      </c>
      <c r="E1714" t="s">
        <v>5821</v>
      </c>
    </row>
    <row r="1715" spans="1:5" x14ac:dyDescent="0.3">
      <c r="A1715" t="s">
        <v>9243</v>
      </c>
      <c r="B1715" t="s">
        <v>4316</v>
      </c>
      <c r="C1715" t="s">
        <v>2696</v>
      </c>
      <c r="D1715" t="s">
        <v>2696</v>
      </c>
      <c r="E1715" t="s">
        <v>9244</v>
      </c>
    </row>
    <row r="1716" spans="1:5" x14ac:dyDescent="0.3">
      <c r="A1716" t="s">
        <v>9264</v>
      </c>
      <c r="B1716" t="s">
        <v>9265</v>
      </c>
      <c r="C1716" t="s">
        <v>2696</v>
      </c>
      <c r="D1716" t="s">
        <v>2696</v>
      </c>
      <c r="E1716" t="s">
        <v>9266</v>
      </c>
    </row>
    <row r="1717" spans="1:5" x14ac:dyDescent="0.3">
      <c r="A1717" t="s">
        <v>5507</v>
      </c>
      <c r="B1717" t="s">
        <v>3219</v>
      </c>
      <c r="C1717" t="s">
        <v>2696</v>
      </c>
      <c r="D1717" t="s">
        <v>2696</v>
      </c>
      <c r="E1717" t="s">
        <v>5508</v>
      </c>
    </row>
    <row r="1718" spans="1:5" x14ac:dyDescent="0.3">
      <c r="A1718" t="s">
        <v>5530</v>
      </c>
      <c r="B1718" t="s">
        <v>5531</v>
      </c>
      <c r="C1718" t="s">
        <v>2696</v>
      </c>
      <c r="D1718" t="s">
        <v>2696</v>
      </c>
      <c r="E1718" t="s">
        <v>5532</v>
      </c>
    </row>
    <row r="1719" spans="1:5" x14ac:dyDescent="0.3">
      <c r="A1719" t="s">
        <v>9713</v>
      </c>
      <c r="B1719" t="s">
        <v>9714</v>
      </c>
      <c r="C1719" t="s">
        <v>2696</v>
      </c>
      <c r="D1719" t="s">
        <v>2696</v>
      </c>
      <c r="E1719" t="s">
        <v>9715</v>
      </c>
    </row>
    <row r="1720" spans="1:5" x14ac:dyDescent="0.3">
      <c r="A1720" t="s">
        <v>9734</v>
      </c>
      <c r="B1720" t="s">
        <v>9735</v>
      </c>
      <c r="C1720" t="s">
        <v>2696</v>
      </c>
      <c r="D1720" t="s">
        <v>2696</v>
      </c>
      <c r="E1720" t="s">
        <v>9736</v>
      </c>
    </row>
    <row r="1721" spans="1:5" x14ac:dyDescent="0.3">
      <c r="A1721" t="s">
        <v>10300</v>
      </c>
      <c r="B1721" t="s">
        <v>3880</v>
      </c>
      <c r="C1721" t="s">
        <v>7397</v>
      </c>
      <c r="D1721" t="s">
        <v>2704</v>
      </c>
      <c r="E1721" t="s">
        <v>10301</v>
      </c>
    </row>
    <row r="1722" spans="1:5" x14ac:dyDescent="0.3">
      <c r="A1722" t="s">
        <v>10321</v>
      </c>
      <c r="B1722" t="s">
        <v>10322</v>
      </c>
      <c r="C1722" t="s">
        <v>2708</v>
      </c>
      <c r="D1722" t="s">
        <v>2709</v>
      </c>
      <c r="E1722" t="s">
        <v>10323</v>
      </c>
    </row>
    <row r="1723" spans="1:5" x14ac:dyDescent="0.3">
      <c r="A1723" t="s">
        <v>5843</v>
      </c>
      <c r="B1723" t="s">
        <v>5844</v>
      </c>
      <c r="C1723" t="s">
        <v>2696</v>
      </c>
      <c r="D1723" t="s">
        <v>2696</v>
      </c>
      <c r="E1723" t="s">
        <v>5845</v>
      </c>
    </row>
    <row r="1724" spans="1:5" x14ac:dyDescent="0.3">
      <c r="A1724" t="s">
        <v>5866</v>
      </c>
      <c r="B1724" t="s">
        <v>3001</v>
      </c>
      <c r="C1724" t="s">
        <v>2696</v>
      </c>
      <c r="D1724" t="s">
        <v>2696</v>
      </c>
      <c r="E1724" t="s">
        <v>5867</v>
      </c>
    </row>
    <row r="1725" spans="1:5" x14ac:dyDescent="0.3">
      <c r="A1725" t="s">
        <v>9288</v>
      </c>
      <c r="B1725" t="s">
        <v>9289</v>
      </c>
      <c r="C1725" t="s">
        <v>2696</v>
      </c>
      <c r="D1725" t="s">
        <v>2696</v>
      </c>
      <c r="E1725" t="s">
        <v>9290</v>
      </c>
    </row>
    <row r="1726" spans="1:5" x14ac:dyDescent="0.3">
      <c r="A1726" t="s">
        <v>9311</v>
      </c>
      <c r="B1726" t="s">
        <v>9312</v>
      </c>
      <c r="C1726" t="s">
        <v>2696</v>
      </c>
      <c r="D1726" t="s">
        <v>2696</v>
      </c>
      <c r="E1726" t="s">
        <v>9313</v>
      </c>
    </row>
    <row r="1727" spans="1:5" x14ac:dyDescent="0.3">
      <c r="A1727" t="s">
        <v>5554</v>
      </c>
      <c r="B1727" t="s">
        <v>5555</v>
      </c>
      <c r="C1727" t="s">
        <v>2696</v>
      </c>
      <c r="D1727" t="s">
        <v>2696</v>
      </c>
      <c r="E1727" t="s">
        <v>5556</v>
      </c>
    </row>
    <row r="1728" spans="1:5" x14ac:dyDescent="0.3">
      <c r="A1728" t="s">
        <v>5577</v>
      </c>
      <c r="B1728" t="s">
        <v>5578</v>
      </c>
      <c r="C1728" t="s">
        <v>2696</v>
      </c>
      <c r="D1728" t="s">
        <v>2696</v>
      </c>
      <c r="E1728" t="s">
        <v>5579</v>
      </c>
    </row>
    <row r="1729" spans="1:5" x14ac:dyDescent="0.3">
      <c r="A1729" t="s">
        <v>10338</v>
      </c>
      <c r="B1729" t="s">
        <v>10339</v>
      </c>
      <c r="C1729" t="s">
        <v>2708</v>
      </c>
      <c r="D1729" t="s">
        <v>2709</v>
      </c>
      <c r="E1729" t="s">
        <v>10340</v>
      </c>
    </row>
    <row r="1730" spans="1:5" x14ac:dyDescent="0.3">
      <c r="A1730" t="s">
        <v>5275</v>
      </c>
      <c r="B1730" t="s">
        <v>5276</v>
      </c>
      <c r="C1730" t="s">
        <v>2696</v>
      </c>
      <c r="D1730" t="s">
        <v>2696</v>
      </c>
      <c r="E1730" t="s">
        <v>5277</v>
      </c>
    </row>
    <row r="1731" spans="1:5" x14ac:dyDescent="0.3">
      <c r="A1731" t="s">
        <v>9758</v>
      </c>
      <c r="B1731" t="s">
        <v>9759</v>
      </c>
      <c r="C1731" t="s">
        <v>7682</v>
      </c>
      <c r="D1731" t="s">
        <v>3712</v>
      </c>
      <c r="E1731" t="s">
        <v>9760</v>
      </c>
    </row>
    <row r="1732" spans="1:5" x14ac:dyDescent="0.3">
      <c r="A1732" t="s">
        <v>9779</v>
      </c>
      <c r="B1732" t="s">
        <v>9780</v>
      </c>
      <c r="C1732" t="s">
        <v>6349</v>
      </c>
      <c r="D1732" t="s">
        <v>2841</v>
      </c>
      <c r="E1732" t="s">
        <v>9781</v>
      </c>
    </row>
    <row r="1733" spans="1:5" x14ac:dyDescent="0.3">
      <c r="A1733" t="s">
        <v>5889</v>
      </c>
      <c r="B1733" t="s">
        <v>5890</v>
      </c>
      <c r="C1733" t="s">
        <v>2696</v>
      </c>
      <c r="D1733" t="s">
        <v>2696</v>
      </c>
      <c r="E1733" t="s">
        <v>5891</v>
      </c>
    </row>
    <row r="1734" spans="1:5" x14ac:dyDescent="0.3">
      <c r="A1734" t="s">
        <v>5913</v>
      </c>
      <c r="B1734" t="s">
        <v>5914</v>
      </c>
      <c r="C1734" t="s">
        <v>2696</v>
      </c>
      <c r="D1734" t="s">
        <v>2696</v>
      </c>
      <c r="E1734" t="s">
        <v>5915</v>
      </c>
    </row>
    <row r="1735" spans="1:5" x14ac:dyDescent="0.3">
      <c r="A1735" t="s">
        <v>9335</v>
      </c>
      <c r="B1735" t="s">
        <v>9336</v>
      </c>
      <c r="C1735" t="s">
        <v>2696</v>
      </c>
      <c r="D1735" t="s">
        <v>2696</v>
      </c>
      <c r="E1735" t="s">
        <v>9337</v>
      </c>
    </row>
    <row r="1736" spans="1:5" x14ac:dyDescent="0.3">
      <c r="A1736" t="s">
        <v>9358</v>
      </c>
      <c r="B1736" t="s">
        <v>9359</v>
      </c>
      <c r="C1736" t="s">
        <v>2696</v>
      </c>
      <c r="D1736" t="s">
        <v>2696</v>
      </c>
      <c r="E1736" t="s">
        <v>9360</v>
      </c>
    </row>
    <row r="1737" spans="1:5" x14ac:dyDescent="0.3">
      <c r="A1737" t="s">
        <v>5600</v>
      </c>
      <c r="B1737" t="s">
        <v>5601</v>
      </c>
      <c r="C1737" t="s">
        <v>2696</v>
      </c>
      <c r="D1737" t="s">
        <v>2696</v>
      </c>
      <c r="E1737" t="s">
        <v>5602</v>
      </c>
    </row>
    <row r="1738" spans="1:5" x14ac:dyDescent="0.3">
      <c r="A1738" t="s">
        <v>5299</v>
      </c>
      <c r="B1738" t="s">
        <v>5300</v>
      </c>
      <c r="C1738" t="s">
        <v>3860</v>
      </c>
      <c r="D1738" t="s">
        <v>2704</v>
      </c>
      <c r="E1738" t="s">
        <v>5301</v>
      </c>
    </row>
    <row r="1739" spans="1:5" x14ac:dyDescent="0.3">
      <c r="A1739" t="s">
        <v>5322</v>
      </c>
      <c r="B1739" t="s">
        <v>5323</v>
      </c>
      <c r="C1739" t="s">
        <v>4207</v>
      </c>
      <c r="D1739" t="s">
        <v>133</v>
      </c>
      <c r="E1739" t="s">
        <v>5324</v>
      </c>
    </row>
    <row r="1740" spans="1:5" x14ac:dyDescent="0.3">
      <c r="A1740" t="s">
        <v>9470</v>
      </c>
      <c r="B1740" t="s">
        <v>3717</v>
      </c>
      <c r="C1740" t="s">
        <v>2696</v>
      </c>
      <c r="D1740" t="s">
        <v>2696</v>
      </c>
    </row>
    <row r="1741" spans="1:5" x14ac:dyDescent="0.3">
      <c r="A1741" t="s">
        <v>9492</v>
      </c>
      <c r="B1741" t="s">
        <v>7593</v>
      </c>
      <c r="C1741" t="s">
        <v>2696</v>
      </c>
      <c r="D1741" t="s">
        <v>2696</v>
      </c>
      <c r="E1741" t="s">
        <v>9493</v>
      </c>
    </row>
    <row r="1742" spans="1:5" x14ac:dyDescent="0.3">
      <c r="A1742" t="s">
        <v>5936</v>
      </c>
      <c r="B1742" t="s">
        <v>5937</v>
      </c>
      <c r="C1742" t="s">
        <v>2696</v>
      </c>
      <c r="D1742" t="s">
        <v>2696</v>
      </c>
      <c r="E1742" t="s">
        <v>5938</v>
      </c>
    </row>
    <row r="1743" spans="1:5" x14ac:dyDescent="0.3">
      <c r="A1743" t="s">
        <v>9380</v>
      </c>
      <c r="B1743" t="s">
        <v>9381</v>
      </c>
      <c r="C1743" t="s">
        <v>2696</v>
      </c>
      <c r="D1743" t="s">
        <v>2696</v>
      </c>
      <c r="E1743" t="s">
        <v>9382</v>
      </c>
    </row>
    <row r="1744" spans="1:5" x14ac:dyDescent="0.3">
      <c r="A1744" t="s">
        <v>9404</v>
      </c>
      <c r="B1744" t="s">
        <v>9405</v>
      </c>
      <c r="C1744" t="s">
        <v>2696</v>
      </c>
      <c r="D1744" t="s">
        <v>2696</v>
      </c>
      <c r="E1744" t="s">
        <v>9406</v>
      </c>
    </row>
    <row r="1745" spans="1:5" x14ac:dyDescent="0.3">
      <c r="A1745" t="s">
        <v>5623</v>
      </c>
      <c r="B1745" t="s">
        <v>5624</v>
      </c>
      <c r="C1745" t="s">
        <v>2696</v>
      </c>
      <c r="D1745" t="s">
        <v>2696</v>
      </c>
      <c r="E1745" t="s">
        <v>5625</v>
      </c>
    </row>
    <row r="1746" spans="1:5" x14ac:dyDescent="0.3">
      <c r="A1746" t="s">
        <v>5645</v>
      </c>
      <c r="B1746" t="s">
        <v>5646</v>
      </c>
      <c r="C1746" t="s">
        <v>2696</v>
      </c>
      <c r="D1746" t="s">
        <v>2696</v>
      </c>
      <c r="E1746" t="s">
        <v>5647</v>
      </c>
    </row>
    <row r="1747" spans="1:5" x14ac:dyDescent="0.3">
      <c r="A1747" t="s">
        <v>5336</v>
      </c>
      <c r="B1747" t="s">
        <v>5337</v>
      </c>
      <c r="C1747" t="s">
        <v>2696</v>
      </c>
      <c r="D1747" t="s">
        <v>2696</v>
      </c>
      <c r="E1747" t="s">
        <v>5338</v>
      </c>
    </row>
    <row r="1748" spans="1:5" x14ac:dyDescent="0.3">
      <c r="A1748" t="s">
        <v>5359</v>
      </c>
      <c r="B1748" t="s">
        <v>5360</v>
      </c>
      <c r="C1748" t="s">
        <v>2696</v>
      </c>
      <c r="D1748" t="s">
        <v>2696</v>
      </c>
      <c r="E1748" t="s">
        <v>5361</v>
      </c>
    </row>
    <row r="1749" spans="1:5" x14ac:dyDescent="0.3">
      <c r="A1749" t="s">
        <v>9802</v>
      </c>
      <c r="B1749" t="s">
        <v>9803</v>
      </c>
      <c r="C1749" t="s">
        <v>2840</v>
      </c>
      <c r="D1749" t="s">
        <v>2841</v>
      </c>
      <c r="E1749" t="s">
        <v>9804</v>
      </c>
    </row>
    <row r="1750" spans="1:5" x14ac:dyDescent="0.3">
      <c r="A1750" t="s">
        <v>9826</v>
      </c>
      <c r="B1750" t="s">
        <v>1685</v>
      </c>
      <c r="C1750" t="s">
        <v>2840</v>
      </c>
      <c r="D1750" t="s">
        <v>2841</v>
      </c>
      <c r="E1750" t="s">
        <v>9827</v>
      </c>
    </row>
    <row r="1751" spans="1:5" x14ac:dyDescent="0.3">
      <c r="A1751" t="s">
        <v>9515</v>
      </c>
      <c r="B1751" t="s">
        <v>1697</v>
      </c>
      <c r="C1751" t="s">
        <v>2696</v>
      </c>
      <c r="D1751" t="s">
        <v>2696</v>
      </c>
      <c r="E1751" t="s">
        <v>9516</v>
      </c>
    </row>
    <row r="1752" spans="1:5" x14ac:dyDescent="0.3">
      <c r="A1752" t="s">
        <v>9536</v>
      </c>
      <c r="B1752" t="s">
        <v>9537</v>
      </c>
      <c r="C1752" t="s">
        <v>2696</v>
      </c>
      <c r="D1752" t="s">
        <v>2696</v>
      </c>
      <c r="E1752" t="s">
        <v>9538</v>
      </c>
    </row>
    <row r="1753" spans="1:5" x14ac:dyDescent="0.3">
      <c r="A1753" t="s">
        <v>6738</v>
      </c>
      <c r="B1753" t="s">
        <v>6739</v>
      </c>
      <c r="C1753" t="s">
        <v>3906</v>
      </c>
      <c r="D1753" t="s">
        <v>133</v>
      </c>
      <c r="E1753" t="s">
        <v>6740</v>
      </c>
    </row>
    <row r="1754" spans="1:5" x14ac:dyDescent="0.3">
      <c r="A1754" t="s">
        <v>6763</v>
      </c>
      <c r="B1754" t="s">
        <v>1685</v>
      </c>
      <c r="C1754" t="s">
        <v>6747</v>
      </c>
      <c r="D1754" t="s">
        <v>133</v>
      </c>
      <c r="E1754" t="s">
        <v>6764</v>
      </c>
    </row>
    <row r="1755" spans="1:5" x14ac:dyDescent="0.3">
      <c r="A1755" t="s">
        <v>6785</v>
      </c>
      <c r="B1755" t="s">
        <v>6786</v>
      </c>
      <c r="C1755" t="s">
        <v>6747</v>
      </c>
      <c r="D1755" t="s">
        <v>133</v>
      </c>
      <c r="E1755" t="s">
        <v>6787</v>
      </c>
    </row>
    <row r="1756" spans="1:5" x14ac:dyDescent="0.3">
      <c r="A1756" t="s">
        <v>6809</v>
      </c>
      <c r="B1756" t="s">
        <v>6810</v>
      </c>
      <c r="C1756" t="s">
        <v>3936</v>
      </c>
      <c r="D1756" t="s">
        <v>3712</v>
      </c>
      <c r="E1756" t="s">
        <v>6811</v>
      </c>
    </row>
    <row r="1757" spans="1:5" x14ac:dyDescent="0.3">
      <c r="A1757" t="s">
        <v>5669</v>
      </c>
      <c r="B1757" t="s">
        <v>5670</v>
      </c>
      <c r="C1757" t="s">
        <v>2696</v>
      </c>
      <c r="D1757" t="s">
        <v>2696</v>
      </c>
      <c r="E1757" t="s">
        <v>5671</v>
      </c>
    </row>
    <row r="1758" spans="1:5" x14ac:dyDescent="0.3">
      <c r="A1758" t="s">
        <v>5691</v>
      </c>
      <c r="B1758" t="s">
        <v>5692</v>
      </c>
      <c r="C1758" t="s">
        <v>2696</v>
      </c>
      <c r="D1758" t="s">
        <v>2696</v>
      </c>
      <c r="E1758" t="s">
        <v>5693</v>
      </c>
    </row>
    <row r="1759" spans="1:5" x14ac:dyDescent="0.3">
      <c r="A1759" t="s">
        <v>9849</v>
      </c>
      <c r="B1759" t="s">
        <v>9850</v>
      </c>
      <c r="C1759" t="s">
        <v>4469</v>
      </c>
      <c r="D1759" t="s">
        <v>2709</v>
      </c>
      <c r="E1759" t="s">
        <v>9851</v>
      </c>
    </row>
    <row r="1760" spans="1:5" x14ac:dyDescent="0.3">
      <c r="A1760" t="s">
        <v>9560</v>
      </c>
      <c r="B1760" t="s">
        <v>9561</v>
      </c>
      <c r="C1760" t="s">
        <v>2696</v>
      </c>
      <c r="D1760" t="s">
        <v>2696</v>
      </c>
      <c r="E1760" t="s">
        <v>9562</v>
      </c>
    </row>
    <row r="1761" spans="1:5" x14ac:dyDescent="0.3">
      <c r="A1761" t="s">
        <v>9584</v>
      </c>
      <c r="B1761" t="s">
        <v>9585</v>
      </c>
      <c r="C1761" t="s">
        <v>2696</v>
      </c>
      <c r="D1761" t="s">
        <v>2696</v>
      </c>
      <c r="E1761" t="s">
        <v>9586</v>
      </c>
    </row>
    <row r="1762" spans="1:5" x14ac:dyDescent="0.3">
      <c r="A1762" t="s">
        <v>5383</v>
      </c>
      <c r="B1762" t="s">
        <v>5384</v>
      </c>
      <c r="C1762" t="s">
        <v>2696</v>
      </c>
      <c r="D1762" t="s">
        <v>2696</v>
      </c>
      <c r="E1762" t="s">
        <v>5385</v>
      </c>
    </row>
    <row r="1763" spans="1:5" x14ac:dyDescent="0.3">
      <c r="A1763" t="s">
        <v>5407</v>
      </c>
      <c r="B1763" t="s">
        <v>5408</v>
      </c>
      <c r="C1763" t="s">
        <v>2696</v>
      </c>
      <c r="D1763" t="s">
        <v>2696</v>
      </c>
      <c r="E1763" t="s">
        <v>5409</v>
      </c>
    </row>
    <row r="1764" spans="1:5" x14ac:dyDescent="0.3">
      <c r="A1764" t="s">
        <v>5713</v>
      </c>
      <c r="B1764" t="s">
        <v>5714</v>
      </c>
      <c r="C1764" t="s">
        <v>2696</v>
      </c>
      <c r="D1764" t="s">
        <v>2696</v>
      </c>
      <c r="E1764" t="s">
        <v>5715</v>
      </c>
    </row>
    <row r="1765" spans="1:5" x14ac:dyDescent="0.3">
      <c r="A1765" t="s">
        <v>5736</v>
      </c>
      <c r="B1765" t="s">
        <v>5737</v>
      </c>
      <c r="C1765" t="s">
        <v>2696</v>
      </c>
      <c r="D1765" t="s">
        <v>2696</v>
      </c>
      <c r="E1765" t="s">
        <v>5738</v>
      </c>
    </row>
    <row r="1766" spans="1:5" x14ac:dyDescent="0.3">
      <c r="A1766" t="s">
        <v>5960</v>
      </c>
      <c r="B1766" t="s">
        <v>5961</v>
      </c>
      <c r="C1766" t="s">
        <v>2696</v>
      </c>
      <c r="D1766" t="s">
        <v>2696</v>
      </c>
      <c r="E1766" t="s">
        <v>5962</v>
      </c>
    </row>
    <row r="1767" spans="1:5" x14ac:dyDescent="0.3">
      <c r="A1767" t="s">
        <v>5984</v>
      </c>
      <c r="B1767" t="s">
        <v>5985</v>
      </c>
      <c r="C1767" t="s">
        <v>2696</v>
      </c>
      <c r="D1767" t="s">
        <v>2696</v>
      </c>
      <c r="E1767" t="s">
        <v>5986</v>
      </c>
    </row>
    <row r="1768" spans="1:5" x14ac:dyDescent="0.3">
      <c r="A1768" t="s">
        <v>5429</v>
      </c>
      <c r="B1768" t="s">
        <v>5430</v>
      </c>
      <c r="C1768" t="s">
        <v>2696</v>
      </c>
      <c r="D1768" t="s">
        <v>2696</v>
      </c>
      <c r="E1768" t="s">
        <v>5431</v>
      </c>
    </row>
    <row r="1769" spans="1:5" x14ac:dyDescent="0.3">
      <c r="A1769" t="s">
        <v>5452</v>
      </c>
      <c r="B1769" t="s">
        <v>5453</v>
      </c>
      <c r="C1769" t="s">
        <v>2696</v>
      </c>
      <c r="D1769" t="s">
        <v>2696</v>
      </c>
      <c r="E1769" t="s">
        <v>5454</v>
      </c>
    </row>
    <row r="1770" spans="1:5" x14ac:dyDescent="0.3">
      <c r="A1770" t="s">
        <v>9606</v>
      </c>
      <c r="B1770" t="s">
        <v>9607</v>
      </c>
      <c r="C1770" t="s">
        <v>2696</v>
      </c>
      <c r="D1770" t="s">
        <v>2696</v>
      </c>
      <c r="E1770" t="s">
        <v>9608</v>
      </c>
    </row>
    <row r="1771" spans="1:5" x14ac:dyDescent="0.3">
      <c r="A1771" t="s">
        <v>9426</v>
      </c>
      <c r="B1771" t="s">
        <v>9427</v>
      </c>
      <c r="C1771" t="s">
        <v>2696</v>
      </c>
      <c r="D1771" t="s">
        <v>2696</v>
      </c>
      <c r="E1771" t="s">
        <v>9428</v>
      </c>
    </row>
    <row r="1772" spans="1:5" x14ac:dyDescent="0.3">
      <c r="A1772" t="s">
        <v>9449</v>
      </c>
      <c r="B1772" t="s">
        <v>9450</v>
      </c>
      <c r="C1772" t="s">
        <v>2696</v>
      </c>
      <c r="D1772" t="s">
        <v>2696</v>
      </c>
      <c r="E1772" t="s">
        <v>9451</v>
      </c>
    </row>
    <row r="1773" spans="1:5" x14ac:dyDescent="0.3">
      <c r="A1773" t="s">
        <v>6008</v>
      </c>
      <c r="B1773" t="s">
        <v>4913</v>
      </c>
      <c r="C1773" t="s">
        <v>2696</v>
      </c>
      <c r="D1773" t="s">
        <v>2696</v>
      </c>
      <c r="E1773" t="s">
        <v>6009</v>
      </c>
    </row>
    <row r="1774" spans="1:5" x14ac:dyDescent="0.3">
      <c r="A1774" t="s">
        <v>6030</v>
      </c>
      <c r="B1774" t="s">
        <v>6031</v>
      </c>
      <c r="C1774" t="s">
        <v>2696</v>
      </c>
      <c r="D1774" t="s">
        <v>2696</v>
      </c>
      <c r="E1774" t="s">
        <v>6032</v>
      </c>
    </row>
    <row r="1775" spans="1:5" x14ac:dyDescent="0.3">
      <c r="A1775" t="s">
        <v>5472</v>
      </c>
      <c r="B1775" t="s">
        <v>1340</v>
      </c>
      <c r="C1775" t="s">
        <v>2696</v>
      </c>
      <c r="D1775" t="s">
        <v>2696</v>
      </c>
      <c r="E1775" t="s">
        <v>5473</v>
      </c>
    </row>
    <row r="1776" spans="1:5" x14ac:dyDescent="0.3">
      <c r="A1776" t="s">
        <v>5495</v>
      </c>
      <c r="B1776" t="s">
        <v>5496</v>
      </c>
      <c r="C1776" t="s">
        <v>2696</v>
      </c>
      <c r="D1776" t="s">
        <v>2696</v>
      </c>
      <c r="E1776" t="s">
        <v>5497</v>
      </c>
    </row>
    <row r="1777" spans="1:5" x14ac:dyDescent="0.3">
      <c r="A1777" t="s">
        <v>9509</v>
      </c>
      <c r="B1777" t="s">
        <v>9510</v>
      </c>
      <c r="C1777" t="s">
        <v>2696</v>
      </c>
      <c r="D1777" t="s">
        <v>2696</v>
      </c>
      <c r="E1777" t="s">
        <v>9511</v>
      </c>
    </row>
    <row r="1778" spans="1:5" x14ac:dyDescent="0.3">
      <c r="A1778" t="s">
        <v>9629</v>
      </c>
      <c r="B1778" t="s">
        <v>9630</v>
      </c>
      <c r="C1778" t="s">
        <v>2696</v>
      </c>
      <c r="D1778" t="s">
        <v>2696</v>
      </c>
      <c r="E1778" t="s">
        <v>9631</v>
      </c>
    </row>
    <row r="1779" spans="1:5" x14ac:dyDescent="0.3">
      <c r="A1779" t="s">
        <v>9652</v>
      </c>
      <c r="B1779" t="s">
        <v>9653</v>
      </c>
      <c r="C1779" t="s">
        <v>2696</v>
      </c>
      <c r="D1779" t="s">
        <v>2696</v>
      </c>
      <c r="E1779" t="s">
        <v>9654</v>
      </c>
    </row>
    <row r="1780" spans="1:5" x14ac:dyDescent="0.3">
      <c r="A1780" t="s">
        <v>9471</v>
      </c>
      <c r="B1780" t="s">
        <v>9472</v>
      </c>
      <c r="C1780" t="s">
        <v>2696</v>
      </c>
      <c r="D1780" t="s">
        <v>2696</v>
      </c>
      <c r="E1780" t="s">
        <v>9473</v>
      </c>
    </row>
    <row r="1781" spans="1:5" x14ac:dyDescent="0.3">
      <c r="A1781" t="s">
        <v>9494</v>
      </c>
      <c r="B1781" t="s">
        <v>9495</v>
      </c>
      <c r="C1781" t="s">
        <v>2696</v>
      </c>
      <c r="D1781" t="s">
        <v>2696</v>
      </c>
      <c r="E1781" t="s">
        <v>9496</v>
      </c>
    </row>
    <row r="1782" spans="1:5" x14ac:dyDescent="0.3">
      <c r="A1782" t="s">
        <v>5758</v>
      </c>
      <c r="B1782" t="s">
        <v>5759</v>
      </c>
      <c r="C1782" t="s">
        <v>2696</v>
      </c>
      <c r="D1782" t="s">
        <v>2696</v>
      </c>
      <c r="E1782" t="s">
        <v>5760</v>
      </c>
    </row>
    <row r="1783" spans="1:5" x14ac:dyDescent="0.3">
      <c r="A1783" t="s">
        <v>5780</v>
      </c>
      <c r="B1783" t="s">
        <v>5781</v>
      </c>
      <c r="C1783" t="s">
        <v>2696</v>
      </c>
      <c r="D1783" t="s">
        <v>2696</v>
      </c>
      <c r="E1783" t="s">
        <v>5782</v>
      </c>
    </row>
    <row r="1784" spans="1:5" x14ac:dyDescent="0.3">
      <c r="A1784" t="s">
        <v>9872</v>
      </c>
      <c r="B1784" t="s">
        <v>9873</v>
      </c>
      <c r="C1784" t="s">
        <v>2696</v>
      </c>
      <c r="D1784" t="s">
        <v>2696</v>
      </c>
      <c r="E1784" t="s">
        <v>9874</v>
      </c>
    </row>
    <row r="1785" spans="1:5" x14ac:dyDescent="0.3">
      <c r="A1785" t="s">
        <v>9895</v>
      </c>
      <c r="B1785" t="s">
        <v>3472</v>
      </c>
      <c r="C1785" t="s">
        <v>4595</v>
      </c>
      <c r="D1785" t="s">
        <v>133</v>
      </c>
      <c r="E1785" t="s">
        <v>9896</v>
      </c>
    </row>
    <row r="1786" spans="1:5" x14ac:dyDescent="0.3">
      <c r="A1786" t="s">
        <v>2394</v>
      </c>
      <c r="B1786" t="s">
        <v>2395</v>
      </c>
      <c r="C1786" t="s">
        <v>1523</v>
      </c>
      <c r="D1786" t="s">
        <v>1111</v>
      </c>
      <c r="E1786" t="s">
        <v>2396</v>
      </c>
    </row>
    <row r="1787" spans="1:5" x14ac:dyDescent="0.3">
      <c r="A1787" t="s">
        <v>9530</v>
      </c>
      <c r="B1787" t="s">
        <v>9531</v>
      </c>
      <c r="C1787" t="s">
        <v>2696</v>
      </c>
      <c r="D1787" t="s">
        <v>2696</v>
      </c>
      <c r="E1787" t="s">
        <v>9532</v>
      </c>
    </row>
    <row r="1788" spans="1:5" x14ac:dyDescent="0.3">
      <c r="A1788" t="s">
        <v>9554</v>
      </c>
      <c r="B1788" t="s">
        <v>9555</v>
      </c>
      <c r="C1788" t="s">
        <v>2696</v>
      </c>
      <c r="D1788" t="s">
        <v>2696</v>
      </c>
      <c r="E1788" t="s">
        <v>9556</v>
      </c>
    </row>
    <row r="1789" spans="1:5" x14ac:dyDescent="0.3">
      <c r="A1789" t="s">
        <v>9674</v>
      </c>
      <c r="B1789" t="s">
        <v>9675</v>
      </c>
      <c r="C1789" t="s">
        <v>2696</v>
      </c>
      <c r="D1789" t="s">
        <v>2696</v>
      </c>
      <c r="E1789" t="s">
        <v>9676</v>
      </c>
    </row>
    <row r="1790" spans="1:5" x14ac:dyDescent="0.3">
      <c r="A1790" t="s">
        <v>9698</v>
      </c>
      <c r="B1790" t="s">
        <v>9699</v>
      </c>
      <c r="C1790" t="s">
        <v>2696</v>
      </c>
      <c r="D1790" t="s">
        <v>2696</v>
      </c>
      <c r="E1790" t="s">
        <v>9700</v>
      </c>
    </row>
    <row r="1791" spans="1:5" x14ac:dyDescent="0.3">
      <c r="A1791" t="s">
        <v>9517</v>
      </c>
      <c r="B1791" t="s">
        <v>9518</v>
      </c>
      <c r="C1791" t="s">
        <v>2696</v>
      </c>
      <c r="D1791" t="s">
        <v>2696</v>
      </c>
      <c r="E1791" t="s">
        <v>9519</v>
      </c>
    </row>
    <row r="1792" spans="1:5" x14ac:dyDescent="0.3">
      <c r="A1792" t="s">
        <v>9539</v>
      </c>
      <c r="B1792" t="s">
        <v>9540</v>
      </c>
      <c r="C1792" t="s">
        <v>2696</v>
      </c>
      <c r="D1792" t="s">
        <v>2696</v>
      </c>
      <c r="E1792" t="s">
        <v>9541</v>
      </c>
    </row>
    <row r="1793" spans="1:5" x14ac:dyDescent="0.3">
      <c r="A1793" t="s">
        <v>9917</v>
      </c>
      <c r="B1793" t="s">
        <v>9918</v>
      </c>
      <c r="C1793" t="s">
        <v>4595</v>
      </c>
      <c r="D1793" t="s">
        <v>133</v>
      </c>
      <c r="E1793" t="s">
        <v>9919</v>
      </c>
    </row>
    <row r="1794" spans="1:5" x14ac:dyDescent="0.3">
      <c r="A1794" t="s">
        <v>9940</v>
      </c>
      <c r="B1794" t="s">
        <v>9941</v>
      </c>
      <c r="C1794" t="s">
        <v>6349</v>
      </c>
      <c r="D1794" t="s">
        <v>2841</v>
      </c>
      <c r="E1794" t="s">
        <v>9942</v>
      </c>
    </row>
    <row r="1795" spans="1:5" x14ac:dyDescent="0.3">
      <c r="A1795" t="s">
        <v>9722</v>
      </c>
      <c r="B1795" t="s">
        <v>9051</v>
      </c>
      <c r="C1795" t="s">
        <v>2696</v>
      </c>
      <c r="D1795" t="s">
        <v>2696</v>
      </c>
      <c r="E1795" t="s">
        <v>9723</v>
      </c>
    </row>
    <row r="1796" spans="1:5" x14ac:dyDescent="0.3">
      <c r="A1796" t="s">
        <v>9743</v>
      </c>
      <c r="B1796" t="s">
        <v>9744</v>
      </c>
      <c r="C1796" t="s">
        <v>2696</v>
      </c>
      <c r="D1796" t="s">
        <v>2696</v>
      </c>
      <c r="E1796" t="s">
        <v>9745</v>
      </c>
    </row>
    <row r="1797" spans="1:5" x14ac:dyDescent="0.3">
      <c r="A1797" t="s">
        <v>9962</v>
      </c>
      <c r="B1797" t="s">
        <v>9963</v>
      </c>
      <c r="C1797" t="s">
        <v>6349</v>
      </c>
      <c r="D1797" t="s">
        <v>2841</v>
      </c>
      <c r="E1797" t="s">
        <v>9964</v>
      </c>
    </row>
    <row r="1798" spans="1:5" x14ac:dyDescent="0.3">
      <c r="A1798" t="s">
        <v>9986</v>
      </c>
      <c r="B1798" t="s">
        <v>9987</v>
      </c>
      <c r="C1798" t="s">
        <v>6349</v>
      </c>
      <c r="D1798" t="s">
        <v>2841</v>
      </c>
      <c r="E1798" t="s">
        <v>9988</v>
      </c>
    </row>
    <row r="1799" spans="1:5" x14ac:dyDescent="0.3">
      <c r="A1799" t="s">
        <v>6053</v>
      </c>
      <c r="B1799" t="s">
        <v>6054</v>
      </c>
      <c r="C1799" t="s">
        <v>2696</v>
      </c>
      <c r="D1799" t="s">
        <v>2696</v>
      </c>
      <c r="E1799" t="s">
        <v>6055</v>
      </c>
    </row>
    <row r="1800" spans="1:5" x14ac:dyDescent="0.3">
      <c r="A1800" t="s">
        <v>6076</v>
      </c>
      <c r="B1800" t="s">
        <v>2792</v>
      </c>
      <c r="C1800" t="s">
        <v>2696</v>
      </c>
      <c r="D1800" t="s">
        <v>2696</v>
      </c>
      <c r="E1800" t="s">
        <v>6077</v>
      </c>
    </row>
    <row r="1801" spans="1:5" x14ac:dyDescent="0.3">
      <c r="A1801" t="s">
        <v>9563</v>
      </c>
      <c r="B1801" t="s">
        <v>9564</v>
      </c>
      <c r="C1801" t="s">
        <v>2696</v>
      </c>
      <c r="D1801" t="s">
        <v>2696</v>
      </c>
      <c r="E1801" t="s">
        <v>9565</v>
      </c>
    </row>
    <row r="1802" spans="1:5" x14ac:dyDescent="0.3">
      <c r="A1802" t="s">
        <v>9587</v>
      </c>
      <c r="B1802" t="s">
        <v>2466</v>
      </c>
      <c r="C1802" t="s">
        <v>2696</v>
      </c>
      <c r="D1802" t="s">
        <v>2696</v>
      </c>
      <c r="E1802" t="s">
        <v>9588</v>
      </c>
    </row>
    <row r="1803" spans="1:5" x14ac:dyDescent="0.3">
      <c r="A1803" t="s">
        <v>2397</v>
      </c>
      <c r="B1803" t="s">
        <v>2398</v>
      </c>
      <c r="C1803" t="s">
        <v>1523</v>
      </c>
      <c r="D1803" t="s">
        <v>1111</v>
      </c>
      <c r="E1803" t="s">
        <v>2399</v>
      </c>
    </row>
    <row r="1804" spans="1:5" x14ac:dyDescent="0.3">
      <c r="A1804" t="s">
        <v>2409</v>
      </c>
      <c r="B1804" t="s">
        <v>2410</v>
      </c>
      <c r="C1804" t="s">
        <v>1115</v>
      </c>
      <c r="D1804" t="s">
        <v>1111</v>
      </c>
      <c r="E1804" t="s">
        <v>2411</v>
      </c>
    </row>
    <row r="1805" spans="1:5" x14ac:dyDescent="0.3">
      <c r="A1805" t="s">
        <v>9766</v>
      </c>
      <c r="B1805" t="s">
        <v>9573</v>
      </c>
      <c r="C1805" t="s">
        <v>6349</v>
      </c>
      <c r="D1805" t="s">
        <v>2841</v>
      </c>
      <c r="E1805" t="s">
        <v>9767</v>
      </c>
    </row>
    <row r="1806" spans="1:5" x14ac:dyDescent="0.3">
      <c r="A1806" t="s">
        <v>9788</v>
      </c>
      <c r="B1806" t="s">
        <v>3257</v>
      </c>
      <c r="C1806" t="s">
        <v>6349</v>
      </c>
      <c r="D1806" t="s">
        <v>2841</v>
      </c>
      <c r="E1806" t="s">
        <v>9789</v>
      </c>
    </row>
    <row r="1807" spans="1:5" x14ac:dyDescent="0.3">
      <c r="A1807" t="s">
        <v>6098</v>
      </c>
      <c r="B1807" t="s">
        <v>6099</v>
      </c>
      <c r="C1807" t="s">
        <v>2696</v>
      </c>
      <c r="D1807" t="s">
        <v>2696</v>
      </c>
      <c r="E1807" t="s">
        <v>6100</v>
      </c>
    </row>
    <row r="1808" spans="1:5" x14ac:dyDescent="0.3">
      <c r="A1808" t="s">
        <v>6121</v>
      </c>
      <c r="B1808" t="s">
        <v>6122</v>
      </c>
      <c r="C1808" t="s">
        <v>2696</v>
      </c>
      <c r="D1808" t="s">
        <v>2696</v>
      </c>
      <c r="E1808" t="s">
        <v>6123</v>
      </c>
    </row>
    <row r="1809" spans="1:5" x14ac:dyDescent="0.3">
      <c r="A1809" t="s">
        <v>10009</v>
      </c>
      <c r="B1809" t="s">
        <v>10010</v>
      </c>
      <c r="C1809" t="s">
        <v>6574</v>
      </c>
      <c r="D1809" t="s">
        <v>2852</v>
      </c>
      <c r="E1809" t="s">
        <v>10011</v>
      </c>
    </row>
    <row r="1810" spans="1:5" x14ac:dyDescent="0.3">
      <c r="A1810" t="s">
        <v>10032</v>
      </c>
      <c r="B1810" t="s">
        <v>10033</v>
      </c>
      <c r="C1810" t="s">
        <v>6574</v>
      </c>
      <c r="D1810" t="s">
        <v>2852</v>
      </c>
      <c r="E1810" t="s">
        <v>10034</v>
      </c>
    </row>
    <row r="1811" spans="1:5" x14ac:dyDescent="0.3">
      <c r="A1811" t="s">
        <v>5518</v>
      </c>
      <c r="B1811" t="s">
        <v>5519</v>
      </c>
      <c r="C1811" t="s">
        <v>2696</v>
      </c>
      <c r="D1811" t="s">
        <v>2696</v>
      </c>
      <c r="E1811" t="s">
        <v>5520</v>
      </c>
    </row>
    <row r="1812" spans="1:5" x14ac:dyDescent="0.3">
      <c r="A1812" t="s">
        <v>9811</v>
      </c>
      <c r="B1812" t="s">
        <v>9812</v>
      </c>
      <c r="C1812" t="s">
        <v>2840</v>
      </c>
      <c r="D1812" t="s">
        <v>2841</v>
      </c>
      <c r="E1812" t="s">
        <v>9813</v>
      </c>
    </row>
    <row r="1813" spans="1:5" x14ac:dyDescent="0.3">
      <c r="A1813" t="s">
        <v>9834</v>
      </c>
      <c r="B1813" t="s">
        <v>9835</v>
      </c>
      <c r="C1813" t="s">
        <v>2840</v>
      </c>
      <c r="D1813" t="s">
        <v>2841</v>
      </c>
      <c r="E1813" t="s">
        <v>9836</v>
      </c>
    </row>
    <row r="1814" spans="1:5" x14ac:dyDescent="0.3">
      <c r="A1814" t="s">
        <v>2111</v>
      </c>
      <c r="B1814" t="s">
        <v>2112</v>
      </c>
      <c r="C1814" t="s">
        <v>1196</v>
      </c>
      <c r="D1814" t="s">
        <v>1088</v>
      </c>
      <c r="E1814" t="s">
        <v>2113</v>
      </c>
    </row>
    <row r="1815" spans="1:5" x14ac:dyDescent="0.3">
      <c r="A1815" t="s">
        <v>6147</v>
      </c>
      <c r="B1815" t="s">
        <v>6148</v>
      </c>
      <c r="C1815" t="s">
        <v>4469</v>
      </c>
      <c r="D1815" t="s">
        <v>2709</v>
      </c>
      <c r="E1815" t="s">
        <v>6149</v>
      </c>
    </row>
    <row r="1816" spans="1:5" x14ac:dyDescent="0.3">
      <c r="A1816" t="s">
        <v>10054</v>
      </c>
      <c r="B1816" t="s">
        <v>10055</v>
      </c>
      <c r="C1816" t="s">
        <v>2696</v>
      </c>
      <c r="D1816" t="s">
        <v>2696</v>
      </c>
      <c r="E1816" t="s">
        <v>10056</v>
      </c>
    </row>
    <row r="1817" spans="1:5" x14ac:dyDescent="0.3">
      <c r="A1817" t="s">
        <v>10076</v>
      </c>
      <c r="B1817" t="s">
        <v>10077</v>
      </c>
      <c r="C1817" t="s">
        <v>6333</v>
      </c>
      <c r="D1817" t="s">
        <v>2709</v>
      </c>
      <c r="E1817" t="s">
        <v>10078</v>
      </c>
    </row>
    <row r="1818" spans="1:5" x14ac:dyDescent="0.3">
      <c r="A1818" t="s">
        <v>5804</v>
      </c>
      <c r="B1818" t="s">
        <v>5805</v>
      </c>
      <c r="C1818" t="s">
        <v>2696</v>
      </c>
      <c r="D1818" t="s">
        <v>2696</v>
      </c>
      <c r="E1818" t="s">
        <v>5806</v>
      </c>
    </row>
    <row r="1819" spans="1:5" x14ac:dyDescent="0.3">
      <c r="A1819" t="s">
        <v>5828</v>
      </c>
      <c r="B1819" t="s">
        <v>5829</v>
      </c>
      <c r="C1819" t="s">
        <v>2696</v>
      </c>
      <c r="D1819" t="s">
        <v>2696</v>
      </c>
      <c r="E1819" t="s">
        <v>5830</v>
      </c>
    </row>
    <row r="1820" spans="1:5" x14ac:dyDescent="0.3">
      <c r="A1820" t="s">
        <v>2418</v>
      </c>
      <c r="B1820" t="s">
        <v>2419</v>
      </c>
      <c r="C1820" t="s">
        <v>1115</v>
      </c>
      <c r="D1820" t="s">
        <v>1111</v>
      </c>
      <c r="E1820" t="s">
        <v>2420</v>
      </c>
    </row>
    <row r="1821" spans="1:5" x14ac:dyDescent="0.3">
      <c r="A1821" t="s">
        <v>2427</v>
      </c>
      <c r="B1821" t="s">
        <v>2428</v>
      </c>
      <c r="C1821" t="s">
        <v>1115</v>
      </c>
      <c r="D1821" t="s">
        <v>1111</v>
      </c>
      <c r="E1821" t="s">
        <v>2429</v>
      </c>
    </row>
    <row r="1822" spans="1:5" x14ac:dyDescent="0.3">
      <c r="A1822" t="s">
        <v>6171</v>
      </c>
      <c r="B1822" t="s">
        <v>6172</v>
      </c>
      <c r="C1822" t="s">
        <v>2840</v>
      </c>
      <c r="D1822" t="s">
        <v>2841</v>
      </c>
      <c r="E1822" t="s">
        <v>6173</v>
      </c>
    </row>
    <row r="1823" spans="1:5" x14ac:dyDescent="0.3">
      <c r="A1823" t="s">
        <v>2123</v>
      </c>
      <c r="B1823" t="s">
        <v>2124</v>
      </c>
      <c r="C1823" t="s">
        <v>1501</v>
      </c>
      <c r="D1823" t="s">
        <v>1088</v>
      </c>
      <c r="E1823" t="s">
        <v>2125</v>
      </c>
    </row>
    <row r="1824" spans="1:5" x14ac:dyDescent="0.3">
      <c r="A1824" t="s">
        <v>9858</v>
      </c>
      <c r="B1824" t="s">
        <v>9859</v>
      </c>
      <c r="C1824" t="s">
        <v>2696</v>
      </c>
      <c r="D1824" t="s">
        <v>2696</v>
      </c>
      <c r="E1824" t="s">
        <v>9860</v>
      </c>
    </row>
    <row r="1825" spans="1:5" x14ac:dyDescent="0.3">
      <c r="A1825" t="s">
        <v>9881</v>
      </c>
      <c r="B1825" t="s">
        <v>9882</v>
      </c>
      <c r="C1825" t="s">
        <v>2696</v>
      </c>
      <c r="D1825" t="s">
        <v>2696</v>
      </c>
      <c r="E1825" t="s">
        <v>9883</v>
      </c>
    </row>
    <row r="1826" spans="1:5" x14ac:dyDescent="0.3">
      <c r="A1826" t="s">
        <v>10098</v>
      </c>
      <c r="B1826" t="s">
        <v>10099</v>
      </c>
      <c r="C1826" t="s">
        <v>7344</v>
      </c>
      <c r="D1826" t="s">
        <v>2704</v>
      </c>
      <c r="E1826" t="s">
        <v>10100</v>
      </c>
    </row>
    <row r="1827" spans="1:5" x14ac:dyDescent="0.3">
      <c r="A1827" t="s">
        <v>10121</v>
      </c>
      <c r="B1827" t="s">
        <v>10122</v>
      </c>
      <c r="C1827" t="s">
        <v>2696</v>
      </c>
      <c r="D1827" t="s">
        <v>2696</v>
      </c>
      <c r="E1827" t="s">
        <v>10123</v>
      </c>
    </row>
    <row r="1828" spans="1:5" x14ac:dyDescent="0.3">
      <c r="A1828" t="s">
        <v>5852</v>
      </c>
      <c r="B1828" t="s">
        <v>5853</v>
      </c>
      <c r="C1828" t="s">
        <v>2696</v>
      </c>
      <c r="D1828" t="s">
        <v>2696</v>
      </c>
      <c r="E1828" t="s">
        <v>5854</v>
      </c>
    </row>
    <row r="1829" spans="1:5" x14ac:dyDescent="0.3">
      <c r="A1829" t="s">
        <v>5874</v>
      </c>
      <c r="B1829" t="s">
        <v>5875</v>
      </c>
      <c r="C1829" t="s">
        <v>2696</v>
      </c>
      <c r="D1829" t="s">
        <v>2696</v>
      </c>
      <c r="E1829" t="s">
        <v>5876</v>
      </c>
    </row>
    <row r="1830" spans="1:5" x14ac:dyDescent="0.3">
      <c r="A1830" t="s">
        <v>9903</v>
      </c>
      <c r="B1830" t="s">
        <v>9904</v>
      </c>
      <c r="C1830" t="s">
        <v>4595</v>
      </c>
      <c r="D1830" t="s">
        <v>133</v>
      </c>
      <c r="E1830" t="s">
        <v>9905</v>
      </c>
    </row>
    <row r="1831" spans="1:5" x14ac:dyDescent="0.3">
      <c r="A1831" t="s">
        <v>9926</v>
      </c>
      <c r="B1831" t="s">
        <v>9927</v>
      </c>
      <c r="C1831" t="s">
        <v>4595</v>
      </c>
      <c r="D1831" t="s">
        <v>133</v>
      </c>
      <c r="E1831" t="s">
        <v>9928</v>
      </c>
    </row>
    <row r="1832" spans="1:5" x14ac:dyDescent="0.3">
      <c r="A1832" t="s">
        <v>9609</v>
      </c>
      <c r="B1832" t="s">
        <v>9610</v>
      </c>
      <c r="C1832" t="s">
        <v>2696</v>
      </c>
      <c r="D1832" t="s">
        <v>2696</v>
      </c>
      <c r="E1832" t="s">
        <v>9611</v>
      </c>
    </row>
    <row r="1833" spans="1:5" x14ac:dyDescent="0.3">
      <c r="A1833" t="s">
        <v>9632</v>
      </c>
      <c r="B1833" t="s">
        <v>9633</v>
      </c>
      <c r="C1833" t="s">
        <v>2696</v>
      </c>
      <c r="D1833" t="s">
        <v>2696</v>
      </c>
      <c r="E1833" t="s">
        <v>9634</v>
      </c>
    </row>
    <row r="1834" spans="1:5" x14ac:dyDescent="0.3">
      <c r="A1834" t="s">
        <v>2126</v>
      </c>
      <c r="B1834" t="s">
        <v>2127</v>
      </c>
      <c r="C1834" t="s">
        <v>1501</v>
      </c>
      <c r="D1834" t="s">
        <v>1088</v>
      </c>
      <c r="E1834" t="s">
        <v>2128</v>
      </c>
    </row>
    <row r="1835" spans="1:5" x14ac:dyDescent="0.3">
      <c r="A1835" t="s">
        <v>9949</v>
      </c>
      <c r="B1835" t="s">
        <v>9950</v>
      </c>
      <c r="C1835" t="s">
        <v>3768</v>
      </c>
      <c r="D1835" t="s">
        <v>2852</v>
      </c>
      <c r="E1835" t="s">
        <v>9951</v>
      </c>
    </row>
    <row r="1836" spans="1:5" x14ac:dyDescent="0.3">
      <c r="A1836" t="s">
        <v>9971</v>
      </c>
      <c r="B1836" t="s">
        <v>9972</v>
      </c>
      <c r="C1836" t="s">
        <v>6349</v>
      </c>
      <c r="D1836" t="s">
        <v>2841</v>
      </c>
      <c r="E1836" t="s">
        <v>9973</v>
      </c>
    </row>
    <row r="1837" spans="1:5" x14ac:dyDescent="0.3">
      <c r="A1837" t="s">
        <v>9578</v>
      </c>
      <c r="B1837" t="s">
        <v>9579</v>
      </c>
      <c r="C1837" t="s">
        <v>2696</v>
      </c>
      <c r="D1837" t="s">
        <v>2696</v>
      </c>
      <c r="E1837" t="s">
        <v>9580</v>
      </c>
    </row>
    <row r="1838" spans="1:5" x14ac:dyDescent="0.3">
      <c r="A1838" t="s">
        <v>9600</v>
      </c>
      <c r="B1838" t="s">
        <v>9601</v>
      </c>
      <c r="C1838" t="s">
        <v>2696</v>
      </c>
      <c r="D1838" t="s">
        <v>2696</v>
      </c>
      <c r="E1838" t="s">
        <v>9602</v>
      </c>
    </row>
    <row r="1839" spans="1:5" x14ac:dyDescent="0.3">
      <c r="A1839" t="s">
        <v>9655</v>
      </c>
      <c r="B1839" t="s">
        <v>9656</v>
      </c>
      <c r="C1839" t="s">
        <v>2696</v>
      </c>
      <c r="D1839" t="s">
        <v>2696</v>
      </c>
      <c r="E1839" t="s">
        <v>9657</v>
      </c>
    </row>
    <row r="1840" spans="1:5" x14ac:dyDescent="0.3">
      <c r="A1840" t="s">
        <v>9677</v>
      </c>
      <c r="B1840" t="s">
        <v>9678</v>
      </c>
      <c r="C1840" t="s">
        <v>2696</v>
      </c>
      <c r="D1840" t="s">
        <v>2696</v>
      </c>
      <c r="E1840" t="s">
        <v>9679</v>
      </c>
    </row>
    <row r="1841" spans="1:5" x14ac:dyDescent="0.3">
      <c r="A1841" t="s">
        <v>10144</v>
      </c>
      <c r="B1841" t="s">
        <v>1990</v>
      </c>
      <c r="C1841" t="s">
        <v>2696</v>
      </c>
      <c r="D1841" t="s">
        <v>2696</v>
      </c>
      <c r="E1841" t="s">
        <v>10145</v>
      </c>
    </row>
    <row r="1842" spans="1:5" x14ac:dyDescent="0.3">
      <c r="A1842" t="s">
        <v>10167</v>
      </c>
      <c r="B1842" t="s">
        <v>10168</v>
      </c>
      <c r="C1842" t="s">
        <v>4229</v>
      </c>
      <c r="D1842" t="s">
        <v>2841</v>
      </c>
      <c r="E1842" t="s">
        <v>10169</v>
      </c>
    </row>
    <row r="1843" spans="1:5" x14ac:dyDescent="0.3">
      <c r="A1843" t="s">
        <v>9995</v>
      </c>
      <c r="B1843" t="s">
        <v>9996</v>
      </c>
      <c r="C1843" t="s">
        <v>4625</v>
      </c>
      <c r="D1843" t="s">
        <v>133</v>
      </c>
      <c r="E1843" t="s">
        <v>9997</v>
      </c>
    </row>
    <row r="1844" spans="1:5" x14ac:dyDescent="0.3">
      <c r="A1844" t="s">
        <v>10017</v>
      </c>
      <c r="B1844" t="s">
        <v>10018</v>
      </c>
      <c r="C1844" t="s">
        <v>6574</v>
      </c>
      <c r="D1844" t="s">
        <v>2852</v>
      </c>
      <c r="E1844" t="s">
        <v>10019</v>
      </c>
    </row>
    <row r="1845" spans="1:5" x14ac:dyDescent="0.3">
      <c r="A1845" t="s">
        <v>9623</v>
      </c>
      <c r="B1845" t="s">
        <v>9624</v>
      </c>
      <c r="C1845" t="s">
        <v>2696</v>
      </c>
      <c r="D1845" t="s">
        <v>2696</v>
      </c>
      <c r="E1845" t="s">
        <v>9625</v>
      </c>
    </row>
    <row r="1846" spans="1:5" x14ac:dyDescent="0.3">
      <c r="A1846" t="s">
        <v>9646</v>
      </c>
      <c r="B1846" t="s">
        <v>9647</v>
      </c>
      <c r="C1846" t="s">
        <v>2696</v>
      </c>
      <c r="D1846" t="s">
        <v>2696</v>
      </c>
      <c r="E1846" t="s">
        <v>9648</v>
      </c>
    </row>
    <row r="1847" spans="1:5" x14ac:dyDescent="0.3">
      <c r="A1847" t="s">
        <v>5542</v>
      </c>
      <c r="B1847" t="s">
        <v>5543</v>
      </c>
      <c r="C1847" t="s">
        <v>2696</v>
      </c>
      <c r="D1847" t="s">
        <v>2696</v>
      </c>
      <c r="E1847" t="s">
        <v>5544</v>
      </c>
    </row>
    <row r="1848" spans="1:5" x14ac:dyDescent="0.3">
      <c r="A1848" t="s">
        <v>5566</v>
      </c>
      <c r="B1848" t="s">
        <v>5567</v>
      </c>
      <c r="C1848" t="s">
        <v>2696</v>
      </c>
      <c r="D1848" t="s">
        <v>2696</v>
      </c>
      <c r="E1848" t="s">
        <v>5568</v>
      </c>
    </row>
    <row r="1849" spans="1:5" x14ac:dyDescent="0.3">
      <c r="A1849" t="s">
        <v>9701</v>
      </c>
      <c r="B1849" t="s">
        <v>9702</v>
      </c>
      <c r="C1849" t="s">
        <v>2696</v>
      </c>
      <c r="D1849" t="s">
        <v>2696</v>
      </c>
      <c r="E1849" t="s">
        <v>9703</v>
      </c>
    </row>
    <row r="1850" spans="1:5" x14ac:dyDescent="0.3">
      <c r="A1850" t="s">
        <v>9724</v>
      </c>
      <c r="B1850" t="s">
        <v>9725</v>
      </c>
      <c r="C1850" t="s">
        <v>2696</v>
      </c>
      <c r="D1850" t="s">
        <v>2696</v>
      </c>
      <c r="E1850" t="s">
        <v>9726</v>
      </c>
    </row>
    <row r="1851" spans="1:5" x14ac:dyDescent="0.3">
      <c r="A1851" t="s">
        <v>10041</v>
      </c>
      <c r="B1851" t="s">
        <v>10042</v>
      </c>
      <c r="C1851" t="s">
        <v>2696</v>
      </c>
      <c r="D1851" t="s">
        <v>2696</v>
      </c>
      <c r="E1851" t="s">
        <v>10043</v>
      </c>
    </row>
    <row r="1852" spans="1:5" x14ac:dyDescent="0.3">
      <c r="A1852" t="s">
        <v>10063</v>
      </c>
      <c r="B1852" t="s">
        <v>10064</v>
      </c>
      <c r="C1852" t="s">
        <v>2696</v>
      </c>
      <c r="D1852" t="s">
        <v>2696</v>
      </c>
      <c r="E1852" t="s">
        <v>10065</v>
      </c>
    </row>
    <row r="1853" spans="1:5" x14ac:dyDescent="0.3">
      <c r="A1853" t="s">
        <v>10188</v>
      </c>
      <c r="B1853" t="s">
        <v>10189</v>
      </c>
      <c r="C1853" t="s">
        <v>4229</v>
      </c>
      <c r="D1853" t="s">
        <v>2841</v>
      </c>
      <c r="E1853" t="s">
        <v>10190</v>
      </c>
    </row>
    <row r="1854" spans="1:5" x14ac:dyDescent="0.3">
      <c r="A1854" t="s">
        <v>10211</v>
      </c>
      <c r="B1854" t="s">
        <v>1601</v>
      </c>
      <c r="C1854" t="s">
        <v>3768</v>
      </c>
      <c r="D1854" t="s">
        <v>2852</v>
      </c>
      <c r="E1854" t="s">
        <v>10212</v>
      </c>
    </row>
    <row r="1855" spans="1:5" x14ac:dyDescent="0.3">
      <c r="A1855" t="s">
        <v>2135</v>
      </c>
      <c r="B1855" t="s">
        <v>2136</v>
      </c>
      <c r="C1855" t="s">
        <v>1209</v>
      </c>
      <c r="D1855" t="s">
        <v>1088</v>
      </c>
      <c r="E1855" t="s">
        <v>2137</v>
      </c>
    </row>
    <row r="1856" spans="1:5" x14ac:dyDescent="0.3">
      <c r="A1856" t="s">
        <v>6211</v>
      </c>
      <c r="B1856" t="s">
        <v>6212</v>
      </c>
      <c r="C1856" t="s">
        <v>4625</v>
      </c>
      <c r="D1856" t="s">
        <v>133</v>
      </c>
      <c r="E1856" t="s">
        <v>6213</v>
      </c>
    </row>
    <row r="1857" spans="1:5" x14ac:dyDescent="0.3">
      <c r="A1857" t="s">
        <v>5588</v>
      </c>
      <c r="B1857" t="s">
        <v>5589</v>
      </c>
      <c r="C1857" t="s">
        <v>2696</v>
      </c>
      <c r="D1857" t="s">
        <v>2696</v>
      </c>
      <c r="E1857" t="s">
        <v>5590</v>
      </c>
    </row>
    <row r="1858" spans="1:5" x14ac:dyDescent="0.3">
      <c r="A1858" t="s">
        <v>5612</v>
      </c>
      <c r="B1858" t="s">
        <v>5613</v>
      </c>
      <c r="C1858" t="s">
        <v>2696</v>
      </c>
      <c r="D1858" t="s">
        <v>2696</v>
      </c>
      <c r="E1858" t="s">
        <v>5614</v>
      </c>
    </row>
    <row r="1859" spans="1:5" x14ac:dyDescent="0.3">
      <c r="A1859" t="s">
        <v>9746</v>
      </c>
      <c r="B1859" t="s">
        <v>9747</v>
      </c>
      <c r="C1859" t="s">
        <v>2696</v>
      </c>
      <c r="D1859" t="s">
        <v>2696</v>
      </c>
      <c r="E1859" t="s">
        <v>9748</v>
      </c>
    </row>
    <row r="1860" spans="1:5" x14ac:dyDescent="0.3">
      <c r="A1860" t="s">
        <v>9768</v>
      </c>
      <c r="B1860" t="s">
        <v>2761</v>
      </c>
      <c r="C1860" t="s">
        <v>6349</v>
      </c>
      <c r="D1860" t="s">
        <v>2841</v>
      </c>
      <c r="E1860" t="s">
        <v>9769</v>
      </c>
    </row>
    <row r="1861" spans="1:5" x14ac:dyDescent="0.3">
      <c r="A1861" t="s">
        <v>10085</v>
      </c>
      <c r="B1861" t="s">
        <v>5151</v>
      </c>
      <c r="C1861" t="s">
        <v>7344</v>
      </c>
      <c r="D1861" t="s">
        <v>2704</v>
      </c>
      <c r="E1861" t="s">
        <v>10086</v>
      </c>
    </row>
    <row r="1862" spans="1:5" x14ac:dyDescent="0.3">
      <c r="A1862" t="s">
        <v>2623</v>
      </c>
      <c r="B1862" t="s">
        <v>2624</v>
      </c>
      <c r="C1862" t="s">
        <v>1543</v>
      </c>
      <c r="D1862" t="s">
        <v>1088</v>
      </c>
      <c r="E1862" t="s">
        <v>2625</v>
      </c>
    </row>
    <row r="1863" spans="1:5" x14ac:dyDescent="0.3">
      <c r="A1863" t="s">
        <v>10230</v>
      </c>
      <c r="B1863" t="s">
        <v>10231</v>
      </c>
      <c r="C1863" t="s">
        <v>2696</v>
      </c>
      <c r="D1863" t="s">
        <v>2696</v>
      </c>
      <c r="E1863" t="s">
        <v>10232</v>
      </c>
    </row>
    <row r="1864" spans="1:5" x14ac:dyDescent="0.3">
      <c r="A1864" t="s">
        <v>6234</v>
      </c>
      <c r="B1864" t="s">
        <v>6235</v>
      </c>
      <c r="C1864" t="s">
        <v>4733</v>
      </c>
      <c r="D1864" t="s">
        <v>2704</v>
      </c>
      <c r="E1864" t="s">
        <v>6236</v>
      </c>
    </row>
    <row r="1865" spans="1:5" x14ac:dyDescent="0.3">
      <c r="A1865" t="s">
        <v>6258</v>
      </c>
      <c r="B1865" t="s">
        <v>6259</v>
      </c>
      <c r="C1865" t="s">
        <v>134</v>
      </c>
      <c r="D1865" t="s">
        <v>133</v>
      </c>
      <c r="E1865" t="s">
        <v>6260</v>
      </c>
    </row>
    <row r="1866" spans="1:5" x14ac:dyDescent="0.3">
      <c r="A1866" t="s">
        <v>10107</v>
      </c>
      <c r="B1866" t="s">
        <v>10108</v>
      </c>
      <c r="C1866" t="s">
        <v>7344</v>
      </c>
      <c r="D1866" t="s">
        <v>2704</v>
      </c>
      <c r="E1866" t="s">
        <v>10109</v>
      </c>
    </row>
    <row r="1867" spans="1:5" x14ac:dyDescent="0.3">
      <c r="A1867" t="s">
        <v>10130</v>
      </c>
      <c r="B1867" t="s">
        <v>1179</v>
      </c>
      <c r="C1867" t="s">
        <v>2696</v>
      </c>
      <c r="D1867" t="s">
        <v>2696</v>
      </c>
      <c r="E1867" t="s">
        <v>10131</v>
      </c>
    </row>
    <row r="1868" spans="1:5" x14ac:dyDescent="0.3">
      <c r="A1868" t="s">
        <v>9790</v>
      </c>
      <c r="B1868" t="s">
        <v>9791</v>
      </c>
      <c r="C1868" t="s">
        <v>6349</v>
      </c>
      <c r="D1868" t="s">
        <v>2841</v>
      </c>
      <c r="E1868" t="s">
        <v>9792</v>
      </c>
    </row>
    <row r="1869" spans="1:5" x14ac:dyDescent="0.3">
      <c r="A1869" t="s">
        <v>10254</v>
      </c>
      <c r="B1869" t="s">
        <v>10255</v>
      </c>
      <c r="C1869" t="s">
        <v>2696</v>
      </c>
      <c r="D1869" t="s">
        <v>2696</v>
      </c>
      <c r="E1869" t="s">
        <v>10256</v>
      </c>
    </row>
    <row r="1870" spans="1:5" x14ac:dyDescent="0.3">
      <c r="A1870" t="s">
        <v>2629</v>
      </c>
      <c r="B1870" t="s">
        <v>2630</v>
      </c>
      <c r="C1870" t="s">
        <v>1209</v>
      </c>
      <c r="D1870" t="s">
        <v>1088</v>
      </c>
      <c r="E1870" t="s">
        <v>2631</v>
      </c>
    </row>
    <row r="1871" spans="1:5" x14ac:dyDescent="0.3">
      <c r="A1871" t="s">
        <v>6281</v>
      </c>
      <c r="B1871" t="s">
        <v>5917</v>
      </c>
      <c r="C1871" t="s">
        <v>3906</v>
      </c>
      <c r="D1871" t="s">
        <v>133</v>
      </c>
      <c r="E1871" t="s">
        <v>6282</v>
      </c>
    </row>
    <row r="1872" spans="1:5" x14ac:dyDescent="0.3">
      <c r="A1872" t="s">
        <v>2153</v>
      </c>
      <c r="B1872" t="s">
        <v>2154</v>
      </c>
      <c r="C1872" t="s">
        <v>1153</v>
      </c>
      <c r="D1872" t="s">
        <v>1088</v>
      </c>
      <c r="E1872" t="s">
        <v>2155</v>
      </c>
    </row>
    <row r="1873" spans="1:5" x14ac:dyDescent="0.3">
      <c r="A1873" t="s">
        <v>10152</v>
      </c>
      <c r="B1873" t="s">
        <v>10153</v>
      </c>
      <c r="C1873" t="s">
        <v>2696</v>
      </c>
      <c r="D1873" t="s">
        <v>2696</v>
      </c>
      <c r="E1873" t="s">
        <v>10154</v>
      </c>
    </row>
    <row r="1874" spans="1:5" x14ac:dyDescent="0.3">
      <c r="A1874" t="s">
        <v>10176</v>
      </c>
      <c r="B1874" t="s">
        <v>10177</v>
      </c>
      <c r="C1874" t="s">
        <v>4229</v>
      </c>
      <c r="D1874" t="s">
        <v>2841</v>
      </c>
      <c r="E1874" t="s">
        <v>10178</v>
      </c>
    </row>
    <row r="1875" spans="1:5" x14ac:dyDescent="0.3">
      <c r="A1875" t="s">
        <v>10285</v>
      </c>
      <c r="B1875" t="s">
        <v>3141</v>
      </c>
      <c r="C1875" t="s">
        <v>4086</v>
      </c>
      <c r="D1875" t="s">
        <v>2704</v>
      </c>
      <c r="E1875" t="s">
        <v>10286</v>
      </c>
    </row>
    <row r="1876" spans="1:5" x14ac:dyDescent="0.3">
      <c r="A1876" t="s">
        <v>9814</v>
      </c>
      <c r="B1876" t="s">
        <v>9815</v>
      </c>
      <c r="C1876" t="s">
        <v>2840</v>
      </c>
      <c r="D1876" t="s">
        <v>2841</v>
      </c>
      <c r="E1876" t="s">
        <v>9816</v>
      </c>
    </row>
    <row r="1877" spans="1:5" x14ac:dyDescent="0.3">
      <c r="A1877" t="s">
        <v>9837</v>
      </c>
      <c r="B1877" t="s">
        <v>9838</v>
      </c>
      <c r="C1877" t="s">
        <v>2840</v>
      </c>
      <c r="D1877" t="s">
        <v>2841</v>
      </c>
      <c r="E1877" t="s">
        <v>9839</v>
      </c>
    </row>
    <row r="1878" spans="1:5" x14ac:dyDescent="0.3">
      <c r="A1878" t="s">
        <v>2171</v>
      </c>
      <c r="B1878" t="s">
        <v>2172</v>
      </c>
      <c r="C1878" t="s">
        <v>1501</v>
      </c>
      <c r="D1878" t="s">
        <v>1088</v>
      </c>
      <c r="E1878" t="s">
        <v>2173</v>
      </c>
    </row>
    <row r="1879" spans="1:5" x14ac:dyDescent="0.3">
      <c r="A1879" t="s">
        <v>6310</v>
      </c>
      <c r="B1879" t="s">
        <v>6311</v>
      </c>
      <c r="C1879" t="s">
        <v>4229</v>
      </c>
      <c r="D1879" t="s">
        <v>2841</v>
      </c>
      <c r="E1879" t="s">
        <v>6312</v>
      </c>
    </row>
    <row r="1880" spans="1:5" x14ac:dyDescent="0.3">
      <c r="A1880" t="s">
        <v>10304</v>
      </c>
      <c r="B1880" t="s">
        <v>3901</v>
      </c>
      <c r="C1880" t="s">
        <v>7397</v>
      </c>
      <c r="D1880" t="s">
        <v>2704</v>
      </c>
      <c r="E1880" t="s">
        <v>10305</v>
      </c>
    </row>
    <row r="1881" spans="1:5" x14ac:dyDescent="0.3">
      <c r="A1881" t="s">
        <v>10326</v>
      </c>
      <c r="B1881" t="s">
        <v>10327</v>
      </c>
      <c r="C1881" t="s">
        <v>2708</v>
      </c>
      <c r="D1881" t="s">
        <v>2709</v>
      </c>
      <c r="E1881" t="s">
        <v>10328</v>
      </c>
    </row>
    <row r="1882" spans="1:5" x14ac:dyDescent="0.3">
      <c r="A1882" t="s">
        <v>10197</v>
      </c>
      <c r="B1882" t="s">
        <v>10198</v>
      </c>
      <c r="C1882" t="s">
        <v>4229</v>
      </c>
      <c r="D1882" t="s">
        <v>2841</v>
      </c>
      <c r="E1882" t="s">
        <v>10199</v>
      </c>
    </row>
    <row r="1883" spans="1:5" x14ac:dyDescent="0.3">
      <c r="A1883" t="s">
        <v>10219</v>
      </c>
      <c r="B1883" t="s">
        <v>10220</v>
      </c>
      <c r="C1883" t="s">
        <v>3768</v>
      </c>
      <c r="D1883" t="s">
        <v>2852</v>
      </c>
      <c r="E1883" t="s">
        <v>10221</v>
      </c>
    </row>
    <row r="1884" spans="1:5" x14ac:dyDescent="0.3">
      <c r="A1884" t="s">
        <v>9861</v>
      </c>
      <c r="B1884" t="s">
        <v>8316</v>
      </c>
      <c r="C1884" t="s">
        <v>2696</v>
      </c>
      <c r="D1884" t="s">
        <v>2696</v>
      </c>
      <c r="E1884" t="s">
        <v>9862</v>
      </c>
    </row>
    <row r="1885" spans="1:5" x14ac:dyDescent="0.3">
      <c r="A1885" t="s">
        <v>9884</v>
      </c>
      <c r="B1885" t="s">
        <v>1637</v>
      </c>
      <c r="C1885" t="s">
        <v>2696</v>
      </c>
      <c r="D1885" t="s">
        <v>2696</v>
      </c>
      <c r="E1885" t="s">
        <v>9885</v>
      </c>
    </row>
    <row r="1886" spans="1:5" x14ac:dyDescent="0.3">
      <c r="A1886" t="s">
        <v>2180</v>
      </c>
      <c r="B1886" t="s">
        <v>2181</v>
      </c>
      <c r="C1886" t="s">
        <v>1087</v>
      </c>
      <c r="D1886" t="s">
        <v>1088</v>
      </c>
      <c r="E1886" t="s">
        <v>2182</v>
      </c>
    </row>
    <row r="1887" spans="1:5" x14ac:dyDescent="0.3">
      <c r="A1887" t="s">
        <v>6343</v>
      </c>
      <c r="B1887" t="s">
        <v>6344</v>
      </c>
      <c r="C1887" t="s">
        <v>6333</v>
      </c>
      <c r="D1887" t="s">
        <v>2709</v>
      </c>
      <c r="E1887" t="s">
        <v>6345</v>
      </c>
    </row>
    <row r="1888" spans="1:5" x14ac:dyDescent="0.3">
      <c r="A1888" t="s">
        <v>5257</v>
      </c>
      <c r="B1888" t="s">
        <v>5258</v>
      </c>
      <c r="C1888" t="s">
        <v>2696</v>
      </c>
      <c r="D1888" t="s">
        <v>2696</v>
      </c>
      <c r="E1888" t="s">
        <v>5259</v>
      </c>
    </row>
    <row r="1889" spans="1:5" x14ac:dyDescent="0.3">
      <c r="A1889" t="s">
        <v>5281</v>
      </c>
      <c r="B1889" t="s">
        <v>5282</v>
      </c>
      <c r="C1889" t="s">
        <v>2696</v>
      </c>
      <c r="D1889" t="s">
        <v>2696</v>
      </c>
      <c r="E1889" t="s">
        <v>5283</v>
      </c>
    </row>
    <row r="1890" spans="1:5" x14ac:dyDescent="0.3">
      <c r="A1890" t="s">
        <v>9668</v>
      </c>
      <c r="B1890" t="s">
        <v>9669</v>
      </c>
      <c r="C1890" t="s">
        <v>2696</v>
      </c>
      <c r="D1890" t="s">
        <v>2696</v>
      </c>
      <c r="E1890" t="s">
        <v>9670</v>
      </c>
    </row>
    <row r="1891" spans="1:5" x14ac:dyDescent="0.3">
      <c r="A1891" t="s">
        <v>9692</v>
      </c>
      <c r="B1891" t="s">
        <v>9693</v>
      </c>
      <c r="C1891" t="s">
        <v>2696</v>
      </c>
      <c r="D1891" t="s">
        <v>2696</v>
      </c>
      <c r="E1891" t="s">
        <v>9694</v>
      </c>
    </row>
    <row r="1892" spans="1:5" x14ac:dyDescent="0.3">
      <c r="A1892" t="s">
        <v>2677</v>
      </c>
      <c r="B1892" t="s">
        <v>2678</v>
      </c>
      <c r="C1892" t="s">
        <v>1543</v>
      </c>
      <c r="D1892" t="s">
        <v>1088</v>
      </c>
      <c r="E1892" t="s">
        <v>2679</v>
      </c>
    </row>
    <row r="1893" spans="1:5" x14ac:dyDescent="0.3">
      <c r="A1893" t="s">
        <v>10239</v>
      </c>
      <c r="B1893" t="s">
        <v>10240</v>
      </c>
      <c r="C1893" t="s">
        <v>2696</v>
      </c>
      <c r="D1893" t="s">
        <v>2696</v>
      </c>
      <c r="E1893" t="s">
        <v>10241</v>
      </c>
    </row>
    <row r="1894" spans="1:5" x14ac:dyDescent="0.3">
      <c r="A1894" t="s">
        <v>9906</v>
      </c>
      <c r="B1894" t="s">
        <v>9907</v>
      </c>
      <c r="C1894" t="s">
        <v>4595</v>
      </c>
      <c r="D1894" t="s">
        <v>133</v>
      </c>
      <c r="E1894" t="s">
        <v>9908</v>
      </c>
    </row>
    <row r="1895" spans="1:5" x14ac:dyDescent="0.3">
      <c r="A1895" t="s">
        <v>9929</v>
      </c>
      <c r="B1895" t="s">
        <v>9930</v>
      </c>
      <c r="C1895" t="s">
        <v>4595</v>
      </c>
      <c r="D1895" t="s">
        <v>133</v>
      </c>
      <c r="E1895" t="s">
        <v>9931</v>
      </c>
    </row>
    <row r="1896" spans="1:5" x14ac:dyDescent="0.3">
      <c r="A1896" t="s">
        <v>9716</v>
      </c>
      <c r="B1896" t="s">
        <v>9717</v>
      </c>
      <c r="C1896" t="s">
        <v>2696</v>
      </c>
      <c r="D1896" t="s">
        <v>2696</v>
      </c>
      <c r="E1896" t="s">
        <v>9718</v>
      </c>
    </row>
    <row r="1897" spans="1:5" x14ac:dyDescent="0.3">
      <c r="A1897" t="s">
        <v>9737</v>
      </c>
      <c r="B1897" t="s">
        <v>9738</v>
      </c>
      <c r="C1897" t="s">
        <v>2696</v>
      </c>
      <c r="D1897" t="s">
        <v>2696</v>
      </c>
      <c r="E1897" t="s">
        <v>9739</v>
      </c>
    </row>
    <row r="1898" spans="1:5" x14ac:dyDescent="0.3">
      <c r="A1898" t="s">
        <v>6851</v>
      </c>
      <c r="B1898" t="s">
        <v>6852</v>
      </c>
      <c r="C1898" t="s">
        <v>4207</v>
      </c>
      <c r="D1898" t="s">
        <v>133</v>
      </c>
      <c r="E1898" t="s">
        <v>6853</v>
      </c>
    </row>
    <row r="1899" spans="1:5" x14ac:dyDescent="0.3">
      <c r="A1899" t="s">
        <v>2430</v>
      </c>
      <c r="B1899" t="s">
        <v>2431</v>
      </c>
      <c r="C1899" t="s">
        <v>1523</v>
      </c>
      <c r="D1899" t="s">
        <v>1111</v>
      </c>
      <c r="E1899" t="s">
        <v>2432</v>
      </c>
    </row>
    <row r="1900" spans="1:5" x14ac:dyDescent="0.3">
      <c r="A1900" t="s">
        <v>6353</v>
      </c>
      <c r="B1900" t="s">
        <v>6354</v>
      </c>
      <c r="C1900" t="s">
        <v>6349</v>
      </c>
      <c r="D1900" t="s">
        <v>2841</v>
      </c>
      <c r="E1900" t="s">
        <v>6355</v>
      </c>
    </row>
    <row r="1901" spans="1:5" x14ac:dyDescent="0.3">
      <c r="A1901" t="s">
        <v>2204</v>
      </c>
      <c r="B1901" t="s">
        <v>2205</v>
      </c>
      <c r="C1901" t="s">
        <v>1209</v>
      </c>
      <c r="D1901" t="s">
        <v>1088</v>
      </c>
      <c r="E1901" t="s">
        <v>2206</v>
      </c>
    </row>
    <row r="1902" spans="1:5" x14ac:dyDescent="0.3">
      <c r="A1902" t="s">
        <v>9761</v>
      </c>
      <c r="B1902" t="s">
        <v>9762</v>
      </c>
      <c r="C1902" t="s">
        <v>7682</v>
      </c>
      <c r="D1902" t="s">
        <v>3712</v>
      </c>
      <c r="E1902" t="s">
        <v>9763</v>
      </c>
    </row>
    <row r="1903" spans="1:5" x14ac:dyDescent="0.3">
      <c r="A1903" t="s">
        <v>9782</v>
      </c>
      <c r="B1903" t="s">
        <v>9783</v>
      </c>
      <c r="C1903" t="s">
        <v>6349</v>
      </c>
      <c r="D1903" t="s">
        <v>2841</v>
      </c>
      <c r="E1903" t="s">
        <v>9784</v>
      </c>
    </row>
    <row r="1904" spans="1:5" x14ac:dyDescent="0.3">
      <c r="A1904" t="s">
        <v>9952</v>
      </c>
      <c r="B1904" t="s">
        <v>9953</v>
      </c>
      <c r="C1904" t="s">
        <v>3768</v>
      </c>
      <c r="D1904" t="s">
        <v>2852</v>
      </c>
      <c r="E1904" t="s">
        <v>9954</v>
      </c>
    </row>
    <row r="1905" spans="1:5" x14ac:dyDescent="0.3">
      <c r="A1905" t="s">
        <v>9974</v>
      </c>
      <c r="B1905" t="s">
        <v>9975</v>
      </c>
      <c r="C1905" t="s">
        <v>6349</v>
      </c>
      <c r="D1905" t="s">
        <v>2841</v>
      </c>
      <c r="E1905" t="s">
        <v>9976</v>
      </c>
    </row>
    <row r="1906" spans="1:5" x14ac:dyDescent="0.3">
      <c r="A1906" t="s">
        <v>9998</v>
      </c>
      <c r="B1906" t="s">
        <v>9999</v>
      </c>
      <c r="C1906" t="s">
        <v>4625</v>
      </c>
      <c r="D1906" t="s">
        <v>133</v>
      </c>
      <c r="E1906" t="s">
        <v>10000</v>
      </c>
    </row>
    <row r="1907" spans="1:5" x14ac:dyDescent="0.3">
      <c r="A1907" t="s">
        <v>10020</v>
      </c>
      <c r="B1907" t="s">
        <v>10021</v>
      </c>
      <c r="C1907" t="s">
        <v>6574</v>
      </c>
      <c r="D1907" t="s">
        <v>2852</v>
      </c>
      <c r="E1907" t="s">
        <v>10022</v>
      </c>
    </row>
    <row r="1908" spans="1:5" x14ac:dyDescent="0.3">
      <c r="A1908" t="s">
        <v>10263</v>
      </c>
      <c r="B1908" t="s">
        <v>10264</v>
      </c>
      <c r="C1908" t="s">
        <v>2696</v>
      </c>
      <c r="D1908" t="s">
        <v>2696</v>
      </c>
      <c r="E1908" t="s">
        <v>10265</v>
      </c>
    </row>
    <row r="1909" spans="1:5" x14ac:dyDescent="0.3">
      <c r="A1909" t="s">
        <v>10272</v>
      </c>
      <c r="B1909" t="s">
        <v>1685</v>
      </c>
      <c r="C1909" t="s">
        <v>4086</v>
      </c>
      <c r="D1909" t="s">
        <v>2704</v>
      </c>
      <c r="E1909" t="s">
        <v>10273</v>
      </c>
    </row>
    <row r="1910" spans="1:5" x14ac:dyDescent="0.3">
      <c r="A1910" t="s">
        <v>9805</v>
      </c>
      <c r="B1910" t="s">
        <v>9806</v>
      </c>
      <c r="C1910" t="s">
        <v>2840</v>
      </c>
      <c r="D1910" t="s">
        <v>2841</v>
      </c>
      <c r="E1910" t="s">
        <v>9807</v>
      </c>
    </row>
    <row r="1911" spans="1:5" x14ac:dyDescent="0.3">
      <c r="A1911" t="s">
        <v>9828</v>
      </c>
      <c r="B1911" t="s">
        <v>9829</v>
      </c>
      <c r="C1911" t="s">
        <v>2840</v>
      </c>
      <c r="D1911" t="s">
        <v>2841</v>
      </c>
      <c r="E1911" t="s">
        <v>9830</v>
      </c>
    </row>
    <row r="1912" spans="1:5" x14ac:dyDescent="0.3">
      <c r="A1912" t="s">
        <v>5305</v>
      </c>
      <c r="B1912" t="s">
        <v>5306</v>
      </c>
      <c r="C1912" t="s">
        <v>3860</v>
      </c>
      <c r="D1912" t="s">
        <v>2704</v>
      </c>
      <c r="E1912" t="s">
        <v>5307</v>
      </c>
    </row>
    <row r="1913" spans="1:5" x14ac:dyDescent="0.3">
      <c r="A1913" t="s">
        <v>2680</v>
      </c>
      <c r="B1913" t="s">
        <v>2681</v>
      </c>
      <c r="C1913" t="s">
        <v>1523</v>
      </c>
      <c r="D1913" t="s">
        <v>1111</v>
      </c>
      <c r="E1913" t="s">
        <v>2682</v>
      </c>
    </row>
    <row r="1914" spans="1:5" x14ac:dyDescent="0.3">
      <c r="A1914" t="s">
        <v>6872</v>
      </c>
      <c r="B1914" t="s">
        <v>6873</v>
      </c>
      <c r="C1914" t="s">
        <v>2851</v>
      </c>
      <c r="D1914" t="s">
        <v>2852</v>
      </c>
      <c r="E1914" t="s">
        <v>6874</v>
      </c>
    </row>
    <row r="1915" spans="1:5" x14ac:dyDescent="0.3">
      <c r="A1915" t="s">
        <v>6896</v>
      </c>
      <c r="B1915" t="s">
        <v>6897</v>
      </c>
      <c r="C1915" t="s">
        <v>2851</v>
      </c>
      <c r="D1915" t="s">
        <v>2852</v>
      </c>
      <c r="E1915" t="s">
        <v>6898</v>
      </c>
    </row>
    <row r="1916" spans="1:5" x14ac:dyDescent="0.3">
      <c r="A1916" t="s">
        <v>2240</v>
      </c>
      <c r="B1916" t="s">
        <v>2241</v>
      </c>
      <c r="C1916" t="s">
        <v>1209</v>
      </c>
      <c r="D1916" t="s">
        <v>1088</v>
      </c>
      <c r="E1916" t="s">
        <v>2242</v>
      </c>
    </row>
    <row r="1917" spans="1:5" x14ac:dyDescent="0.3">
      <c r="A1917" t="s">
        <v>6376</v>
      </c>
      <c r="B1917" t="s">
        <v>6377</v>
      </c>
      <c r="C1917" t="s">
        <v>4086</v>
      </c>
      <c r="D1917" t="s">
        <v>2704</v>
      </c>
      <c r="E1917" t="s">
        <v>6378</v>
      </c>
    </row>
    <row r="1918" spans="1:5" x14ac:dyDescent="0.3">
      <c r="A1918" t="s">
        <v>10291</v>
      </c>
      <c r="B1918" t="s">
        <v>10292</v>
      </c>
      <c r="C1918" t="s">
        <v>4086</v>
      </c>
      <c r="D1918" t="s">
        <v>2704</v>
      </c>
      <c r="E1918" t="s">
        <v>10293</v>
      </c>
    </row>
    <row r="1919" spans="1:5" x14ac:dyDescent="0.3">
      <c r="A1919" t="s">
        <v>10312</v>
      </c>
      <c r="B1919" t="s">
        <v>10313</v>
      </c>
      <c r="C1919" t="s">
        <v>2708</v>
      </c>
      <c r="D1919" t="s">
        <v>2709</v>
      </c>
      <c r="E1919" t="s">
        <v>10314</v>
      </c>
    </row>
    <row r="1920" spans="1:5" x14ac:dyDescent="0.3">
      <c r="A1920" t="s">
        <v>10044</v>
      </c>
      <c r="B1920" t="s">
        <v>3115</v>
      </c>
      <c r="C1920" t="s">
        <v>2696</v>
      </c>
      <c r="D1920" t="s">
        <v>2696</v>
      </c>
      <c r="E1920" t="s">
        <v>10045</v>
      </c>
    </row>
    <row r="1921" spans="1:5" x14ac:dyDescent="0.3">
      <c r="A1921" t="s">
        <v>10066</v>
      </c>
      <c r="B1921" t="s">
        <v>7880</v>
      </c>
      <c r="C1921" t="s">
        <v>2696</v>
      </c>
      <c r="D1921" t="s">
        <v>2696</v>
      </c>
      <c r="E1921" t="s">
        <v>10067</v>
      </c>
    </row>
    <row r="1922" spans="1:5" x14ac:dyDescent="0.3">
      <c r="A1922" t="s">
        <v>5342</v>
      </c>
      <c r="B1922" t="s">
        <v>5343</v>
      </c>
      <c r="C1922" t="s">
        <v>2696</v>
      </c>
      <c r="D1922" t="s">
        <v>2696</v>
      </c>
      <c r="E1922" t="s">
        <v>5344</v>
      </c>
    </row>
    <row r="1923" spans="1:5" x14ac:dyDescent="0.3">
      <c r="A1923" t="s">
        <v>5365</v>
      </c>
      <c r="B1923" t="s">
        <v>5366</v>
      </c>
      <c r="C1923" t="s">
        <v>2696</v>
      </c>
      <c r="D1923" t="s">
        <v>2696</v>
      </c>
      <c r="E1923" t="s">
        <v>5367</v>
      </c>
    </row>
    <row r="1924" spans="1:5" x14ac:dyDescent="0.3">
      <c r="A1924" t="s">
        <v>2683</v>
      </c>
      <c r="B1924" t="s">
        <v>2684</v>
      </c>
      <c r="C1924" t="s">
        <v>1087</v>
      </c>
      <c r="D1924" t="s">
        <v>1088</v>
      </c>
      <c r="E1924" t="s">
        <v>2685</v>
      </c>
    </row>
    <row r="1925" spans="1:5" x14ac:dyDescent="0.3">
      <c r="A1925" t="s">
        <v>5266</v>
      </c>
      <c r="B1925" t="s">
        <v>5267</v>
      </c>
      <c r="C1925" t="s">
        <v>2696</v>
      </c>
      <c r="D1925" t="s">
        <v>2696</v>
      </c>
      <c r="E1925" t="s">
        <v>5268</v>
      </c>
    </row>
    <row r="1926" spans="1:5" x14ac:dyDescent="0.3">
      <c r="A1926" t="s">
        <v>5898</v>
      </c>
      <c r="B1926" t="s">
        <v>5899</v>
      </c>
      <c r="C1926" t="s">
        <v>2696</v>
      </c>
      <c r="D1926" t="s">
        <v>2696</v>
      </c>
      <c r="E1926" t="s">
        <v>5900</v>
      </c>
    </row>
    <row r="1927" spans="1:5" x14ac:dyDescent="0.3">
      <c r="A1927" t="s">
        <v>5922</v>
      </c>
      <c r="B1927" t="s">
        <v>5923</v>
      </c>
      <c r="C1927" t="s">
        <v>2696</v>
      </c>
      <c r="D1927" t="s">
        <v>2696</v>
      </c>
      <c r="E1927" t="s">
        <v>5924</v>
      </c>
    </row>
    <row r="1928" spans="1:5" x14ac:dyDescent="0.3">
      <c r="A1928" t="s">
        <v>6399</v>
      </c>
      <c r="B1928" t="s">
        <v>6400</v>
      </c>
      <c r="C1928" t="s">
        <v>4086</v>
      </c>
      <c r="D1928" t="s">
        <v>2704</v>
      </c>
      <c r="E1928" t="s">
        <v>6401</v>
      </c>
    </row>
    <row r="1929" spans="1:5" x14ac:dyDescent="0.3">
      <c r="A1929" t="s">
        <v>6423</v>
      </c>
      <c r="B1929" t="s">
        <v>6424</v>
      </c>
      <c r="C1929" t="s">
        <v>2708</v>
      </c>
      <c r="D1929" t="s">
        <v>2709</v>
      </c>
      <c r="E1929" t="s">
        <v>6425</v>
      </c>
    </row>
    <row r="1930" spans="1:5" x14ac:dyDescent="0.3">
      <c r="A1930" t="s">
        <v>10087</v>
      </c>
      <c r="B1930" t="s">
        <v>10088</v>
      </c>
      <c r="C1930" t="s">
        <v>7344</v>
      </c>
      <c r="D1930" t="s">
        <v>2704</v>
      </c>
      <c r="E1930" t="s">
        <v>10089</v>
      </c>
    </row>
    <row r="1931" spans="1:5" x14ac:dyDescent="0.3">
      <c r="A1931" t="s">
        <v>10110</v>
      </c>
      <c r="B1931" t="s">
        <v>1325</v>
      </c>
      <c r="C1931" t="s">
        <v>7344</v>
      </c>
      <c r="D1931" t="s">
        <v>2704</v>
      </c>
      <c r="E1931" t="s">
        <v>10111</v>
      </c>
    </row>
    <row r="1932" spans="1:5" x14ac:dyDescent="0.3">
      <c r="A1932" t="s">
        <v>5389</v>
      </c>
      <c r="B1932" t="s">
        <v>5390</v>
      </c>
      <c r="C1932" t="s">
        <v>2696</v>
      </c>
      <c r="D1932" t="s">
        <v>2696</v>
      </c>
      <c r="E1932" t="s">
        <v>5391</v>
      </c>
    </row>
    <row r="1933" spans="1:5" x14ac:dyDescent="0.3">
      <c r="A1933" t="s">
        <v>5412</v>
      </c>
      <c r="B1933" t="s">
        <v>5413</v>
      </c>
      <c r="C1933" t="s">
        <v>2696</v>
      </c>
      <c r="D1933" t="s">
        <v>2696</v>
      </c>
      <c r="E1933" t="s">
        <v>5414</v>
      </c>
    </row>
    <row r="1934" spans="1:5" x14ac:dyDescent="0.3">
      <c r="A1934" t="s">
        <v>5945</v>
      </c>
      <c r="B1934" t="s">
        <v>5946</v>
      </c>
      <c r="C1934" t="s">
        <v>2696</v>
      </c>
      <c r="D1934" t="s">
        <v>2696</v>
      </c>
      <c r="E1934" t="s">
        <v>5947</v>
      </c>
    </row>
    <row r="1935" spans="1:5" x14ac:dyDescent="0.3">
      <c r="A1935" t="s">
        <v>5969</v>
      </c>
      <c r="B1935" t="s">
        <v>5970</v>
      </c>
      <c r="C1935" t="s">
        <v>2696</v>
      </c>
      <c r="D1935" t="s">
        <v>2696</v>
      </c>
      <c r="E1935" t="s">
        <v>5971</v>
      </c>
    </row>
    <row r="1936" spans="1:5" x14ac:dyDescent="0.3">
      <c r="A1936" t="s">
        <v>9852</v>
      </c>
      <c r="B1936" t="s">
        <v>9853</v>
      </c>
      <c r="C1936" t="s">
        <v>2696</v>
      </c>
      <c r="D1936" t="s">
        <v>2696</v>
      </c>
      <c r="E1936" t="s">
        <v>9854</v>
      </c>
    </row>
    <row r="1937" spans="1:5" x14ac:dyDescent="0.3">
      <c r="A1937" t="s">
        <v>9875</v>
      </c>
      <c r="B1937" t="s">
        <v>9876</v>
      </c>
      <c r="C1937" t="s">
        <v>2696</v>
      </c>
      <c r="D1937" t="s">
        <v>2696</v>
      </c>
      <c r="E1937" t="s">
        <v>9877</v>
      </c>
    </row>
    <row r="1938" spans="1:5" x14ac:dyDescent="0.3">
      <c r="A1938" t="s">
        <v>6446</v>
      </c>
      <c r="B1938" t="s">
        <v>6447</v>
      </c>
      <c r="C1938" t="s">
        <v>2708</v>
      </c>
      <c r="D1938" t="s">
        <v>2709</v>
      </c>
      <c r="E1938" t="s">
        <v>6448</v>
      </c>
    </row>
    <row r="1939" spans="1:5" x14ac:dyDescent="0.3">
      <c r="A1939" t="s">
        <v>6469</v>
      </c>
      <c r="B1939" t="s">
        <v>6470</v>
      </c>
      <c r="C1939" t="s">
        <v>2840</v>
      </c>
      <c r="D1939" t="s">
        <v>2841</v>
      </c>
      <c r="E1939" t="s">
        <v>6471</v>
      </c>
    </row>
    <row r="1940" spans="1:5" x14ac:dyDescent="0.3">
      <c r="A1940" t="s">
        <v>5435</v>
      </c>
      <c r="B1940" t="s">
        <v>5436</v>
      </c>
      <c r="C1940" t="s">
        <v>2696</v>
      </c>
      <c r="D1940" t="s">
        <v>2696</v>
      </c>
      <c r="E1940" t="s">
        <v>5437</v>
      </c>
    </row>
    <row r="1941" spans="1:5" x14ac:dyDescent="0.3">
      <c r="A1941" t="s">
        <v>5458</v>
      </c>
      <c r="B1941" t="s">
        <v>5459</v>
      </c>
      <c r="C1941" t="s">
        <v>2696</v>
      </c>
      <c r="D1941" t="s">
        <v>2696</v>
      </c>
      <c r="E1941" t="s">
        <v>5460</v>
      </c>
    </row>
    <row r="1942" spans="1:5" x14ac:dyDescent="0.3">
      <c r="A1942" t="s">
        <v>10132</v>
      </c>
      <c r="B1942" t="s">
        <v>10133</v>
      </c>
      <c r="C1942" t="s">
        <v>2696</v>
      </c>
      <c r="D1942" t="s">
        <v>2696</v>
      </c>
      <c r="E1942" t="s">
        <v>10134</v>
      </c>
    </row>
    <row r="1943" spans="1:5" x14ac:dyDescent="0.3">
      <c r="A1943" t="s">
        <v>10155</v>
      </c>
      <c r="B1943" t="s">
        <v>10156</v>
      </c>
      <c r="C1943" t="s">
        <v>4229</v>
      </c>
      <c r="D1943" t="s">
        <v>2841</v>
      </c>
      <c r="E1943" t="s">
        <v>10157</v>
      </c>
    </row>
    <row r="1944" spans="1:5" x14ac:dyDescent="0.3">
      <c r="A1944" t="s">
        <v>9897</v>
      </c>
      <c r="B1944" t="s">
        <v>9898</v>
      </c>
      <c r="C1944" t="s">
        <v>4595</v>
      </c>
      <c r="D1944" t="s">
        <v>133</v>
      </c>
      <c r="E1944" t="s">
        <v>9899</v>
      </c>
    </row>
    <row r="1945" spans="1:5" x14ac:dyDescent="0.3">
      <c r="A1945" t="s">
        <v>9920</v>
      </c>
      <c r="B1945" t="s">
        <v>9921</v>
      </c>
      <c r="C1945" t="s">
        <v>4595</v>
      </c>
      <c r="D1945" t="s">
        <v>133</v>
      </c>
      <c r="E1945" t="s">
        <v>9922</v>
      </c>
    </row>
    <row r="1946" spans="1:5" x14ac:dyDescent="0.3">
      <c r="A1946" t="s">
        <v>5993</v>
      </c>
      <c r="B1946" t="s">
        <v>5994</v>
      </c>
      <c r="C1946" t="s">
        <v>2696</v>
      </c>
      <c r="D1946" t="s">
        <v>2696</v>
      </c>
      <c r="E1946" t="s">
        <v>5995</v>
      </c>
    </row>
    <row r="1947" spans="1:5" x14ac:dyDescent="0.3">
      <c r="A1947" t="s">
        <v>6015</v>
      </c>
      <c r="B1947" t="s">
        <v>6016</v>
      </c>
      <c r="C1947" t="s">
        <v>2696</v>
      </c>
      <c r="D1947" t="s">
        <v>2696</v>
      </c>
      <c r="E1947" t="s">
        <v>6017</v>
      </c>
    </row>
    <row r="1948" spans="1:5" x14ac:dyDescent="0.3">
      <c r="A1948" t="s">
        <v>9943</v>
      </c>
      <c r="B1948" t="s">
        <v>9944</v>
      </c>
      <c r="C1948" t="s">
        <v>3768</v>
      </c>
      <c r="D1948" t="s">
        <v>2852</v>
      </c>
      <c r="E1948" t="s">
        <v>9945</v>
      </c>
    </row>
    <row r="1949" spans="1:5" x14ac:dyDescent="0.3">
      <c r="A1949" t="s">
        <v>9965</v>
      </c>
      <c r="B1949" t="s">
        <v>9966</v>
      </c>
      <c r="C1949" t="s">
        <v>6349</v>
      </c>
      <c r="D1949" t="s">
        <v>2841</v>
      </c>
      <c r="E1949" t="s">
        <v>9967</v>
      </c>
    </row>
    <row r="1950" spans="1:5" x14ac:dyDescent="0.3">
      <c r="A1950" t="s">
        <v>5290</v>
      </c>
      <c r="B1950" t="s">
        <v>5291</v>
      </c>
      <c r="C1950" t="s">
        <v>3860</v>
      </c>
      <c r="D1950" t="s">
        <v>2704</v>
      </c>
      <c r="E1950" t="s">
        <v>5292</v>
      </c>
    </row>
    <row r="1951" spans="1:5" x14ac:dyDescent="0.3">
      <c r="A1951" t="s">
        <v>5634</v>
      </c>
      <c r="B1951" t="s">
        <v>5635</v>
      </c>
      <c r="C1951" t="s">
        <v>2696</v>
      </c>
      <c r="D1951" t="s">
        <v>2696</v>
      </c>
      <c r="E1951" t="s">
        <v>5636</v>
      </c>
    </row>
    <row r="1952" spans="1:5" x14ac:dyDescent="0.3">
      <c r="A1952" t="s">
        <v>5657</v>
      </c>
      <c r="B1952" t="s">
        <v>5658</v>
      </c>
      <c r="C1952" t="s">
        <v>2696</v>
      </c>
      <c r="D1952" t="s">
        <v>2696</v>
      </c>
      <c r="E1952" t="s">
        <v>5659</v>
      </c>
    </row>
    <row r="1953" spans="1:5" x14ac:dyDescent="0.3">
      <c r="A1953" t="s">
        <v>6919</v>
      </c>
      <c r="B1953" t="s">
        <v>6920</v>
      </c>
      <c r="C1953" t="s">
        <v>4301</v>
      </c>
      <c r="D1953" t="s">
        <v>2841</v>
      </c>
      <c r="E1953" t="s">
        <v>6921</v>
      </c>
    </row>
    <row r="1954" spans="1:5" x14ac:dyDescent="0.3">
      <c r="A1954" t="s">
        <v>6942</v>
      </c>
      <c r="B1954" t="s">
        <v>6943</v>
      </c>
      <c r="C1954" t="s">
        <v>4301</v>
      </c>
      <c r="D1954" t="s">
        <v>2841</v>
      </c>
      <c r="E1954" t="s">
        <v>6944</v>
      </c>
    </row>
    <row r="1955" spans="1:5" x14ac:dyDescent="0.3">
      <c r="A1955" t="s">
        <v>2303</v>
      </c>
      <c r="B1955" t="s">
        <v>2304</v>
      </c>
      <c r="C1955" t="s">
        <v>1110</v>
      </c>
      <c r="D1955" t="s">
        <v>1111</v>
      </c>
      <c r="E1955" t="s">
        <v>2305</v>
      </c>
    </row>
    <row r="1956" spans="1:5" x14ac:dyDescent="0.3">
      <c r="A1956" t="s">
        <v>2309</v>
      </c>
      <c r="B1956" t="s">
        <v>2310</v>
      </c>
      <c r="C1956" t="s">
        <v>1110</v>
      </c>
      <c r="D1956" t="s">
        <v>1111</v>
      </c>
      <c r="E1956" t="s">
        <v>2311</v>
      </c>
    </row>
    <row r="1957" spans="1:5" x14ac:dyDescent="0.3">
      <c r="A1957" t="s">
        <v>9989</v>
      </c>
      <c r="B1957" t="s">
        <v>9990</v>
      </c>
      <c r="C1957" t="s">
        <v>4625</v>
      </c>
      <c r="D1957" t="s">
        <v>133</v>
      </c>
      <c r="E1957" t="s">
        <v>9991</v>
      </c>
    </row>
    <row r="1958" spans="1:5" x14ac:dyDescent="0.3">
      <c r="A1958" t="s">
        <v>10179</v>
      </c>
      <c r="B1958" t="s">
        <v>10180</v>
      </c>
      <c r="C1958" t="s">
        <v>4229</v>
      </c>
      <c r="D1958" t="s">
        <v>2841</v>
      </c>
      <c r="E1958" t="s">
        <v>10181</v>
      </c>
    </row>
    <row r="1959" spans="1:5" x14ac:dyDescent="0.3">
      <c r="A1959" t="s">
        <v>10200</v>
      </c>
      <c r="B1959" t="s">
        <v>5658</v>
      </c>
      <c r="C1959" t="s">
        <v>6349</v>
      </c>
      <c r="D1959" t="s">
        <v>2841</v>
      </c>
      <c r="E1959" t="s">
        <v>10201</v>
      </c>
    </row>
    <row r="1960" spans="1:5" x14ac:dyDescent="0.3">
      <c r="A1960" t="s">
        <v>6489</v>
      </c>
      <c r="B1960" t="s">
        <v>6490</v>
      </c>
      <c r="C1960" t="s">
        <v>3850</v>
      </c>
      <c r="D1960" t="s">
        <v>3712</v>
      </c>
      <c r="E1960" t="s">
        <v>6491</v>
      </c>
    </row>
    <row r="1961" spans="1:5" x14ac:dyDescent="0.3">
      <c r="A1961" t="s">
        <v>6513</v>
      </c>
      <c r="B1961" t="s">
        <v>5905</v>
      </c>
      <c r="C1961" t="s">
        <v>2840</v>
      </c>
      <c r="D1961" t="s">
        <v>2841</v>
      </c>
      <c r="E1961" t="s">
        <v>6514</v>
      </c>
    </row>
    <row r="1962" spans="1:5" x14ac:dyDescent="0.3">
      <c r="A1962" t="s">
        <v>5314</v>
      </c>
      <c r="B1962" t="s">
        <v>3504</v>
      </c>
      <c r="C1962" t="s">
        <v>3860</v>
      </c>
      <c r="D1962" t="s">
        <v>2704</v>
      </c>
      <c r="E1962" t="s">
        <v>5315</v>
      </c>
    </row>
    <row r="1963" spans="1:5" x14ac:dyDescent="0.3">
      <c r="A1963" t="s">
        <v>5328</v>
      </c>
      <c r="B1963" t="s">
        <v>5329</v>
      </c>
      <c r="C1963" t="s">
        <v>2696</v>
      </c>
      <c r="D1963" t="s">
        <v>2696</v>
      </c>
      <c r="E1963" t="s">
        <v>5330</v>
      </c>
    </row>
    <row r="1964" spans="1:5" x14ac:dyDescent="0.3">
      <c r="A1964" t="s">
        <v>5680</v>
      </c>
      <c r="B1964" t="s">
        <v>5681</v>
      </c>
      <c r="C1964" t="s">
        <v>2696</v>
      </c>
      <c r="D1964" t="s">
        <v>2696</v>
      </c>
      <c r="E1964" t="s">
        <v>5682</v>
      </c>
    </row>
    <row r="1965" spans="1:5" x14ac:dyDescent="0.3">
      <c r="A1965" t="s">
        <v>5702</v>
      </c>
      <c r="B1965" t="s">
        <v>5703</v>
      </c>
      <c r="C1965" t="s">
        <v>2696</v>
      </c>
      <c r="D1965" t="s">
        <v>2696</v>
      </c>
      <c r="E1965" t="s">
        <v>5704</v>
      </c>
    </row>
    <row r="1966" spans="1:5" x14ac:dyDescent="0.3">
      <c r="A1966" t="s">
        <v>5477</v>
      </c>
      <c r="B1966" t="s">
        <v>5478</v>
      </c>
      <c r="C1966" t="s">
        <v>2696</v>
      </c>
      <c r="D1966" t="s">
        <v>2696</v>
      </c>
      <c r="E1966" t="s">
        <v>5479</v>
      </c>
    </row>
    <row r="1967" spans="1:5" x14ac:dyDescent="0.3">
      <c r="A1967" t="s">
        <v>5501</v>
      </c>
      <c r="B1967" t="s">
        <v>5502</v>
      </c>
      <c r="C1967" t="s">
        <v>2696</v>
      </c>
      <c r="D1967" t="s">
        <v>2696</v>
      </c>
      <c r="E1967" t="s">
        <v>5503</v>
      </c>
    </row>
    <row r="1968" spans="1:5" x14ac:dyDescent="0.3">
      <c r="A1968" t="s">
        <v>6536</v>
      </c>
      <c r="B1968" t="s">
        <v>6537</v>
      </c>
      <c r="C1968" t="s">
        <v>2840</v>
      </c>
      <c r="D1968" t="s">
        <v>2841</v>
      </c>
      <c r="E1968" t="s">
        <v>6538</v>
      </c>
    </row>
    <row r="1969" spans="1:5" x14ac:dyDescent="0.3">
      <c r="A1969" t="s">
        <v>6559</v>
      </c>
      <c r="B1969" t="s">
        <v>6560</v>
      </c>
      <c r="C1969" t="s">
        <v>4469</v>
      </c>
      <c r="D1969" t="s">
        <v>2709</v>
      </c>
      <c r="E1969" t="s">
        <v>6561</v>
      </c>
    </row>
    <row r="1970" spans="1:5" x14ac:dyDescent="0.3">
      <c r="A1970" t="s">
        <v>5724</v>
      </c>
      <c r="B1970" t="s">
        <v>5725</v>
      </c>
      <c r="C1970" t="s">
        <v>2696</v>
      </c>
      <c r="D1970" t="s">
        <v>2696</v>
      </c>
      <c r="E1970" t="s">
        <v>5726</v>
      </c>
    </row>
    <row r="1971" spans="1:5" x14ac:dyDescent="0.3">
      <c r="A1971" t="s">
        <v>5747</v>
      </c>
      <c r="B1971" t="s">
        <v>5748</v>
      </c>
      <c r="C1971" t="s">
        <v>2696</v>
      </c>
      <c r="D1971" t="s">
        <v>2696</v>
      </c>
      <c r="E1971" t="s">
        <v>5749</v>
      </c>
    </row>
    <row r="1972" spans="1:5" x14ac:dyDescent="0.3">
      <c r="A1972" t="s">
        <v>6965</v>
      </c>
      <c r="B1972" t="s">
        <v>6966</v>
      </c>
      <c r="C1972" t="s">
        <v>3093</v>
      </c>
      <c r="D1972" t="s">
        <v>2852</v>
      </c>
      <c r="E1972" t="s">
        <v>6967</v>
      </c>
    </row>
    <row r="1973" spans="1:5" x14ac:dyDescent="0.3">
      <c r="A1973" t="s">
        <v>6988</v>
      </c>
      <c r="B1973" t="s">
        <v>6989</v>
      </c>
      <c r="C1973" t="s">
        <v>3093</v>
      </c>
      <c r="D1973" t="s">
        <v>2852</v>
      </c>
      <c r="E1973" t="s">
        <v>6990</v>
      </c>
    </row>
    <row r="1974" spans="1:5" x14ac:dyDescent="0.3">
      <c r="A1974" t="s">
        <v>2656</v>
      </c>
      <c r="B1974" t="s">
        <v>2657</v>
      </c>
      <c r="C1974" t="s">
        <v>1543</v>
      </c>
      <c r="D1974" t="s">
        <v>1088</v>
      </c>
      <c r="E1974" t="s">
        <v>2658</v>
      </c>
    </row>
    <row r="1975" spans="1:5" x14ac:dyDescent="0.3">
      <c r="A1975" t="s">
        <v>5524</v>
      </c>
      <c r="B1975" t="s">
        <v>5525</v>
      </c>
      <c r="C1975" t="s">
        <v>2696</v>
      </c>
      <c r="D1975" t="s">
        <v>2696</v>
      </c>
      <c r="E1975" t="s">
        <v>5526</v>
      </c>
    </row>
    <row r="1976" spans="1:5" x14ac:dyDescent="0.3">
      <c r="A1976" t="s">
        <v>5548</v>
      </c>
      <c r="B1976" t="s">
        <v>5549</v>
      </c>
      <c r="C1976" t="s">
        <v>2696</v>
      </c>
      <c r="D1976" t="s">
        <v>2696</v>
      </c>
      <c r="E1976" t="s">
        <v>5550</v>
      </c>
    </row>
    <row r="1977" spans="1:5" x14ac:dyDescent="0.3">
      <c r="A1977" t="s">
        <v>6584</v>
      </c>
      <c r="B1977" t="s">
        <v>6585</v>
      </c>
      <c r="C1977" t="s">
        <v>6574</v>
      </c>
      <c r="D1977" t="s">
        <v>2852</v>
      </c>
      <c r="E1977" t="s">
        <v>6586</v>
      </c>
    </row>
    <row r="1978" spans="1:5" x14ac:dyDescent="0.3">
      <c r="A1978" t="s">
        <v>6607</v>
      </c>
      <c r="B1978" t="s">
        <v>6608</v>
      </c>
      <c r="C1978" t="s">
        <v>6333</v>
      </c>
      <c r="D1978" t="s">
        <v>2709</v>
      </c>
      <c r="E1978" t="s">
        <v>6609</v>
      </c>
    </row>
    <row r="1979" spans="1:5" x14ac:dyDescent="0.3">
      <c r="A1979" t="s">
        <v>6039</v>
      </c>
      <c r="B1979" t="s">
        <v>5008</v>
      </c>
      <c r="C1979" t="s">
        <v>2696</v>
      </c>
      <c r="D1979" t="s">
        <v>2696</v>
      </c>
      <c r="E1979" t="s">
        <v>6040</v>
      </c>
    </row>
    <row r="1980" spans="1:5" x14ac:dyDescent="0.3">
      <c r="A1980" t="s">
        <v>10012</v>
      </c>
      <c r="B1980" t="s">
        <v>4486</v>
      </c>
      <c r="C1980" t="s">
        <v>6574</v>
      </c>
      <c r="D1980" t="s">
        <v>2852</v>
      </c>
      <c r="E1980" t="s">
        <v>10013</v>
      </c>
    </row>
    <row r="1981" spans="1:5" x14ac:dyDescent="0.3">
      <c r="A1981" t="s">
        <v>10035</v>
      </c>
      <c r="B1981" t="s">
        <v>10036</v>
      </c>
      <c r="C1981" t="s">
        <v>6574</v>
      </c>
      <c r="D1981" t="s">
        <v>2852</v>
      </c>
      <c r="E1981" t="s">
        <v>10037</v>
      </c>
    </row>
    <row r="1982" spans="1:5" x14ac:dyDescent="0.3">
      <c r="A1982" t="s">
        <v>5769</v>
      </c>
      <c r="B1982" t="s">
        <v>5770</v>
      </c>
      <c r="C1982" t="s">
        <v>2696</v>
      </c>
      <c r="D1982" t="s">
        <v>2696</v>
      </c>
      <c r="E1982" t="s">
        <v>5771</v>
      </c>
    </row>
    <row r="1983" spans="1:5" x14ac:dyDescent="0.3">
      <c r="A1983" t="s">
        <v>5792</v>
      </c>
      <c r="B1983" t="s">
        <v>5793</v>
      </c>
      <c r="C1983" t="s">
        <v>2696</v>
      </c>
      <c r="D1983" t="s">
        <v>2696</v>
      </c>
      <c r="E1983" t="s">
        <v>5794</v>
      </c>
    </row>
    <row r="1984" spans="1:5" x14ac:dyDescent="0.3">
      <c r="A1984" t="s">
        <v>5571</v>
      </c>
      <c r="B1984" t="s">
        <v>5572</v>
      </c>
      <c r="C1984" t="s">
        <v>2696</v>
      </c>
      <c r="D1984" t="s">
        <v>2696</v>
      </c>
      <c r="E1984" t="s">
        <v>5573</v>
      </c>
    </row>
    <row r="1985" spans="1:5" x14ac:dyDescent="0.3">
      <c r="A1985" t="s">
        <v>5594</v>
      </c>
      <c r="B1985" t="s">
        <v>5595</v>
      </c>
      <c r="C1985" t="s">
        <v>2696</v>
      </c>
      <c r="D1985" t="s">
        <v>2696</v>
      </c>
      <c r="E1985" t="s">
        <v>5596</v>
      </c>
    </row>
    <row r="1986" spans="1:5" x14ac:dyDescent="0.3">
      <c r="A1986" t="s">
        <v>6615</v>
      </c>
      <c r="B1986" t="s">
        <v>6616</v>
      </c>
      <c r="C1986" t="s">
        <v>4246</v>
      </c>
      <c r="D1986" t="s">
        <v>2709</v>
      </c>
      <c r="E1986" t="s">
        <v>6617</v>
      </c>
    </row>
    <row r="1987" spans="1:5" x14ac:dyDescent="0.3">
      <c r="A1987" t="s">
        <v>5351</v>
      </c>
      <c r="B1987" t="s">
        <v>5352</v>
      </c>
      <c r="C1987" t="s">
        <v>2696</v>
      </c>
      <c r="D1987" t="s">
        <v>2696</v>
      </c>
      <c r="E1987" t="s">
        <v>5353</v>
      </c>
    </row>
    <row r="1988" spans="1:5" x14ac:dyDescent="0.3">
      <c r="A1988" t="s">
        <v>5374</v>
      </c>
      <c r="B1988" t="s">
        <v>5375</v>
      </c>
      <c r="C1988" t="s">
        <v>2696</v>
      </c>
      <c r="D1988" t="s">
        <v>2696</v>
      </c>
      <c r="E1988" t="s">
        <v>5376</v>
      </c>
    </row>
    <row r="1989" spans="1:5" x14ac:dyDescent="0.3">
      <c r="A1989" t="s">
        <v>5816</v>
      </c>
      <c r="B1989" t="s">
        <v>5817</v>
      </c>
      <c r="C1989" t="s">
        <v>2696</v>
      </c>
      <c r="D1989" t="s">
        <v>2696</v>
      </c>
      <c r="E1989" t="s">
        <v>5818</v>
      </c>
    </row>
    <row r="1990" spans="1:5" x14ac:dyDescent="0.3">
      <c r="A1990" t="s">
        <v>5840</v>
      </c>
      <c r="B1990" t="s">
        <v>5841</v>
      </c>
      <c r="C1990" t="s">
        <v>2696</v>
      </c>
      <c r="D1990" t="s">
        <v>2696</v>
      </c>
      <c r="E1990" t="s">
        <v>5842</v>
      </c>
    </row>
    <row r="1991" spans="1:5" x14ac:dyDescent="0.3">
      <c r="A1991" t="s">
        <v>10057</v>
      </c>
      <c r="B1991" t="s">
        <v>10058</v>
      </c>
      <c r="C1991" t="s">
        <v>2696</v>
      </c>
      <c r="D1991" t="s">
        <v>2696</v>
      </c>
      <c r="E1991" t="s">
        <v>10059</v>
      </c>
    </row>
    <row r="1992" spans="1:5" x14ac:dyDescent="0.3">
      <c r="A1992" t="s">
        <v>10079</v>
      </c>
      <c r="B1992" t="s">
        <v>10080</v>
      </c>
      <c r="C1992" t="s">
        <v>7344</v>
      </c>
      <c r="D1992" t="s">
        <v>2704</v>
      </c>
      <c r="E1992" t="s">
        <v>10081</v>
      </c>
    </row>
    <row r="1993" spans="1:5" x14ac:dyDescent="0.3">
      <c r="A1993" t="s">
        <v>5618</v>
      </c>
      <c r="B1993" t="s">
        <v>4111</v>
      </c>
      <c r="C1993" t="s">
        <v>2696</v>
      </c>
      <c r="D1993" t="s">
        <v>2696</v>
      </c>
      <c r="E1993" t="s">
        <v>5619</v>
      </c>
    </row>
    <row r="1994" spans="1:5" x14ac:dyDescent="0.3">
      <c r="A1994" t="s">
        <v>5640</v>
      </c>
      <c r="B1994" t="s">
        <v>5641</v>
      </c>
      <c r="C1994" t="s">
        <v>2696</v>
      </c>
      <c r="D1994" t="s">
        <v>2696</v>
      </c>
      <c r="E1994" t="s">
        <v>5642</v>
      </c>
    </row>
    <row r="1995" spans="1:5" x14ac:dyDescent="0.3">
      <c r="A1995" t="s">
        <v>6061</v>
      </c>
      <c r="B1995" t="s">
        <v>6062</v>
      </c>
      <c r="C1995" t="s">
        <v>2696</v>
      </c>
      <c r="D1995" t="s">
        <v>2696</v>
      </c>
      <c r="E1995" t="s">
        <v>6063</v>
      </c>
    </row>
    <row r="1996" spans="1:5" x14ac:dyDescent="0.3">
      <c r="A1996" t="s">
        <v>6084</v>
      </c>
      <c r="B1996" t="s">
        <v>6085</v>
      </c>
      <c r="C1996" t="s">
        <v>2696</v>
      </c>
      <c r="D1996" t="s">
        <v>2696</v>
      </c>
      <c r="E1996" t="s">
        <v>6086</v>
      </c>
    </row>
    <row r="1997" spans="1:5" x14ac:dyDescent="0.3">
      <c r="A1997" t="s">
        <v>10101</v>
      </c>
      <c r="B1997" t="s">
        <v>10102</v>
      </c>
      <c r="C1997" t="s">
        <v>7344</v>
      </c>
      <c r="D1997" t="s">
        <v>2704</v>
      </c>
      <c r="E1997" t="s">
        <v>10103</v>
      </c>
    </row>
    <row r="1998" spans="1:5" x14ac:dyDescent="0.3">
      <c r="A1998" t="s">
        <v>10124</v>
      </c>
      <c r="B1998" t="s">
        <v>10125</v>
      </c>
      <c r="C1998" t="s">
        <v>2696</v>
      </c>
      <c r="D1998" t="s">
        <v>2696</v>
      </c>
      <c r="E1998" t="s">
        <v>10126</v>
      </c>
    </row>
    <row r="1999" spans="1:5" x14ac:dyDescent="0.3">
      <c r="A1999" t="s">
        <v>5398</v>
      </c>
      <c r="B1999" t="s">
        <v>5399</v>
      </c>
      <c r="C1999" t="s">
        <v>2696</v>
      </c>
      <c r="D1999" t="s">
        <v>2696</v>
      </c>
      <c r="E1999" t="s">
        <v>5400</v>
      </c>
    </row>
    <row r="2000" spans="1:5" x14ac:dyDescent="0.3">
      <c r="A2000" t="s">
        <v>5421</v>
      </c>
      <c r="B2000" t="s">
        <v>5043</v>
      </c>
      <c r="C2000" t="s">
        <v>2696</v>
      </c>
      <c r="D2000" t="s">
        <v>2696</v>
      </c>
      <c r="E2000" t="s">
        <v>5422</v>
      </c>
    </row>
    <row r="2001" spans="1:5" x14ac:dyDescent="0.3">
      <c r="A2001" t="s">
        <v>6106</v>
      </c>
      <c r="B2001" t="s">
        <v>6107</v>
      </c>
      <c r="C2001" t="s">
        <v>2696</v>
      </c>
      <c r="D2001" t="s">
        <v>2696</v>
      </c>
      <c r="E2001" t="s">
        <v>6108</v>
      </c>
    </row>
    <row r="2002" spans="1:5" x14ac:dyDescent="0.3">
      <c r="A2002" t="s">
        <v>1920</v>
      </c>
      <c r="B2002" t="s">
        <v>1921</v>
      </c>
      <c r="C2002" t="s">
        <v>1196</v>
      </c>
      <c r="D2002" t="s">
        <v>1088</v>
      </c>
      <c r="E2002" t="s">
        <v>1922</v>
      </c>
    </row>
    <row r="2003" spans="1:5" x14ac:dyDescent="0.3">
      <c r="A2003" t="s">
        <v>10146</v>
      </c>
      <c r="B2003" t="s">
        <v>10147</v>
      </c>
      <c r="C2003" t="s">
        <v>2696</v>
      </c>
      <c r="D2003" t="s">
        <v>2696</v>
      </c>
      <c r="E2003" t="s">
        <v>10148</v>
      </c>
    </row>
    <row r="2004" spans="1:5" x14ac:dyDescent="0.3">
      <c r="A2004" t="s">
        <v>10170</v>
      </c>
      <c r="B2004" t="s">
        <v>10171</v>
      </c>
      <c r="C2004" t="s">
        <v>4229</v>
      </c>
      <c r="D2004" t="s">
        <v>2841</v>
      </c>
      <c r="E2004" t="s">
        <v>10172</v>
      </c>
    </row>
    <row r="2005" spans="1:5" x14ac:dyDescent="0.3">
      <c r="A2005" t="s">
        <v>7012</v>
      </c>
      <c r="B2005" t="s">
        <v>7013</v>
      </c>
      <c r="C2005" t="s">
        <v>6747</v>
      </c>
      <c r="D2005" t="s">
        <v>133</v>
      </c>
      <c r="E2005" t="s">
        <v>7014</v>
      </c>
    </row>
    <row r="2006" spans="1:5" x14ac:dyDescent="0.3">
      <c r="A2006" t="s">
        <v>2465</v>
      </c>
      <c r="B2006" t="s">
        <v>2466</v>
      </c>
      <c r="C2006" t="s">
        <v>1501</v>
      </c>
      <c r="D2006" t="s">
        <v>1088</v>
      </c>
      <c r="E2006" t="s">
        <v>2467</v>
      </c>
    </row>
    <row r="2007" spans="1:5" x14ac:dyDescent="0.3">
      <c r="A2007" t="s">
        <v>5443</v>
      </c>
      <c r="B2007" t="s">
        <v>5444</v>
      </c>
      <c r="C2007" t="s">
        <v>2696</v>
      </c>
      <c r="D2007" t="s">
        <v>2696</v>
      </c>
      <c r="E2007" t="s">
        <v>5445</v>
      </c>
    </row>
    <row r="2008" spans="1:5" x14ac:dyDescent="0.3">
      <c r="A2008" t="s">
        <v>5464</v>
      </c>
      <c r="B2008" t="s">
        <v>5465</v>
      </c>
      <c r="C2008" t="s">
        <v>2696</v>
      </c>
      <c r="D2008" t="s">
        <v>2696</v>
      </c>
      <c r="E2008" t="s">
        <v>5466</v>
      </c>
    </row>
    <row r="2009" spans="1:5" x14ac:dyDescent="0.3">
      <c r="A2009" t="s">
        <v>6133</v>
      </c>
      <c r="B2009" t="s">
        <v>3883</v>
      </c>
      <c r="C2009" t="s">
        <v>4308</v>
      </c>
      <c r="D2009" t="s">
        <v>133</v>
      </c>
      <c r="E2009" t="s">
        <v>6134</v>
      </c>
    </row>
    <row r="2010" spans="1:5" x14ac:dyDescent="0.3">
      <c r="A2010" t="s">
        <v>6156</v>
      </c>
      <c r="B2010" t="s">
        <v>6157</v>
      </c>
      <c r="C2010" t="s">
        <v>2840</v>
      </c>
      <c r="D2010" t="s">
        <v>2841</v>
      </c>
      <c r="E2010" t="s">
        <v>6158</v>
      </c>
    </row>
    <row r="2011" spans="1:5" x14ac:dyDescent="0.3">
      <c r="A2011" t="s">
        <v>5864</v>
      </c>
      <c r="B2011" t="s">
        <v>1844</v>
      </c>
      <c r="C2011" t="s">
        <v>2696</v>
      </c>
      <c r="D2011" t="s">
        <v>2696</v>
      </c>
      <c r="E2011" t="s">
        <v>5865</v>
      </c>
    </row>
    <row r="2012" spans="1:5" x14ac:dyDescent="0.3">
      <c r="A2012" t="s">
        <v>5886</v>
      </c>
      <c r="B2012" t="s">
        <v>5887</v>
      </c>
      <c r="C2012" t="s">
        <v>2696</v>
      </c>
      <c r="D2012" t="s">
        <v>2696</v>
      </c>
      <c r="E2012" t="s">
        <v>5888</v>
      </c>
    </row>
    <row r="2013" spans="1:5" x14ac:dyDescent="0.3">
      <c r="A2013" t="s">
        <v>10191</v>
      </c>
      <c r="B2013" t="s">
        <v>10192</v>
      </c>
      <c r="C2013" t="s">
        <v>4229</v>
      </c>
      <c r="D2013" t="s">
        <v>2841</v>
      </c>
      <c r="E2013" t="s">
        <v>10193</v>
      </c>
    </row>
    <row r="2014" spans="1:5" x14ac:dyDescent="0.3">
      <c r="A2014" t="s">
        <v>10213</v>
      </c>
      <c r="B2014" t="s">
        <v>10214</v>
      </c>
      <c r="C2014" t="s">
        <v>3768</v>
      </c>
      <c r="D2014" t="s">
        <v>2852</v>
      </c>
      <c r="E2014" t="s">
        <v>10215</v>
      </c>
    </row>
    <row r="2015" spans="1:5" x14ac:dyDescent="0.3">
      <c r="A2015" t="s">
        <v>2659</v>
      </c>
      <c r="B2015" t="s">
        <v>2660</v>
      </c>
      <c r="C2015" t="s">
        <v>1543</v>
      </c>
      <c r="D2015" t="s">
        <v>1088</v>
      </c>
      <c r="E2015" t="s">
        <v>2661</v>
      </c>
    </row>
    <row r="2016" spans="1:5" x14ac:dyDescent="0.3">
      <c r="A2016" t="s">
        <v>10242</v>
      </c>
      <c r="B2016" t="s">
        <v>10243</v>
      </c>
      <c r="C2016" t="s">
        <v>2696</v>
      </c>
      <c r="D2016" t="s">
        <v>2696</v>
      </c>
      <c r="E2016" t="s">
        <v>10244</v>
      </c>
    </row>
    <row r="2017" spans="1:5" x14ac:dyDescent="0.3">
      <c r="A2017" t="s">
        <v>2471</v>
      </c>
      <c r="B2017" t="s">
        <v>2472</v>
      </c>
      <c r="C2017" t="s">
        <v>1140</v>
      </c>
      <c r="D2017" t="s">
        <v>1088</v>
      </c>
      <c r="E2017" t="s">
        <v>2473</v>
      </c>
    </row>
    <row r="2018" spans="1:5" x14ac:dyDescent="0.3">
      <c r="A2018" t="s">
        <v>2474</v>
      </c>
      <c r="B2018" t="s">
        <v>2475</v>
      </c>
      <c r="C2018" t="s">
        <v>1140</v>
      </c>
      <c r="D2018" t="s">
        <v>1088</v>
      </c>
      <c r="E2018" t="s">
        <v>2476</v>
      </c>
    </row>
    <row r="2019" spans="1:5" x14ac:dyDescent="0.3">
      <c r="A2019" t="s">
        <v>5663</v>
      </c>
      <c r="B2019" t="s">
        <v>5664</v>
      </c>
      <c r="C2019" t="s">
        <v>2696</v>
      </c>
      <c r="D2019" t="s">
        <v>2696</v>
      </c>
      <c r="E2019" t="s">
        <v>5665</v>
      </c>
    </row>
    <row r="2020" spans="1:5" x14ac:dyDescent="0.3">
      <c r="A2020" t="s">
        <v>5685</v>
      </c>
      <c r="B2020" t="s">
        <v>5686</v>
      </c>
      <c r="C2020" t="s">
        <v>2696</v>
      </c>
      <c r="D2020" t="s">
        <v>2696</v>
      </c>
      <c r="E2020" t="s">
        <v>5687</v>
      </c>
    </row>
    <row r="2021" spans="1:5" x14ac:dyDescent="0.3">
      <c r="A2021" t="s">
        <v>6180</v>
      </c>
      <c r="B2021" t="s">
        <v>6181</v>
      </c>
      <c r="C2021" t="s">
        <v>4086</v>
      </c>
      <c r="D2021" t="s">
        <v>2704</v>
      </c>
      <c r="E2021" t="s">
        <v>6182</v>
      </c>
    </row>
    <row r="2022" spans="1:5" x14ac:dyDescent="0.3">
      <c r="A2022" t="s">
        <v>1929</v>
      </c>
      <c r="B2022" t="s">
        <v>1930</v>
      </c>
      <c r="C2022" t="s">
        <v>1501</v>
      </c>
      <c r="D2022" t="s">
        <v>1088</v>
      </c>
      <c r="E2022" t="s">
        <v>1931</v>
      </c>
    </row>
    <row r="2023" spans="1:5" x14ac:dyDescent="0.3">
      <c r="A2023" t="s">
        <v>5910</v>
      </c>
      <c r="B2023" t="s">
        <v>5911</v>
      </c>
      <c r="C2023" t="s">
        <v>2696</v>
      </c>
      <c r="D2023" t="s">
        <v>2696</v>
      </c>
      <c r="E2023" t="s">
        <v>5912</v>
      </c>
    </row>
    <row r="2024" spans="1:5" x14ac:dyDescent="0.3">
      <c r="A2024" t="s">
        <v>5933</v>
      </c>
      <c r="B2024" t="s">
        <v>5934</v>
      </c>
      <c r="C2024" t="s">
        <v>2696</v>
      </c>
      <c r="D2024" t="s">
        <v>2696</v>
      </c>
      <c r="E2024" t="s">
        <v>5935</v>
      </c>
    </row>
    <row r="2025" spans="1:5" x14ac:dyDescent="0.3">
      <c r="A2025" t="s">
        <v>2668</v>
      </c>
      <c r="B2025" t="s">
        <v>2669</v>
      </c>
      <c r="C2025" t="s">
        <v>1543</v>
      </c>
      <c r="D2025" t="s">
        <v>1088</v>
      </c>
      <c r="E2025" t="s">
        <v>2670</v>
      </c>
    </row>
    <row r="2026" spans="1:5" x14ac:dyDescent="0.3">
      <c r="A2026" t="s">
        <v>10233</v>
      </c>
      <c r="B2026" t="s">
        <v>10234</v>
      </c>
      <c r="C2026" t="s">
        <v>2696</v>
      </c>
      <c r="D2026" t="s">
        <v>2696</v>
      </c>
      <c r="E2026" t="s">
        <v>10235</v>
      </c>
    </row>
    <row r="2027" spans="1:5" x14ac:dyDescent="0.3">
      <c r="A2027" t="s">
        <v>2665</v>
      </c>
      <c r="B2027" t="s">
        <v>2666</v>
      </c>
      <c r="C2027" t="s">
        <v>1209</v>
      </c>
      <c r="D2027" t="s">
        <v>1088</v>
      </c>
      <c r="E2027" t="s">
        <v>2667</v>
      </c>
    </row>
    <row r="2028" spans="1:5" x14ac:dyDescent="0.3">
      <c r="A2028" t="s">
        <v>10274</v>
      </c>
      <c r="B2028" t="s">
        <v>10275</v>
      </c>
      <c r="C2028" t="s">
        <v>4086</v>
      </c>
      <c r="D2028" t="s">
        <v>2704</v>
      </c>
      <c r="E2028" t="s">
        <v>10276</v>
      </c>
    </row>
    <row r="2029" spans="1:5" x14ac:dyDescent="0.3">
      <c r="A2029" t="s">
        <v>7048</v>
      </c>
      <c r="B2029" t="s">
        <v>1859</v>
      </c>
      <c r="C2029" t="s">
        <v>4308</v>
      </c>
      <c r="D2029" t="s">
        <v>133</v>
      </c>
      <c r="E2029" t="s">
        <v>7049</v>
      </c>
    </row>
    <row r="2030" spans="1:5" x14ac:dyDescent="0.3">
      <c r="A2030" t="s">
        <v>7068</v>
      </c>
      <c r="B2030" t="s">
        <v>7069</v>
      </c>
      <c r="C2030" t="s">
        <v>4308</v>
      </c>
      <c r="D2030" t="s">
        <v>133</v>
      </c>
      <c r="E2030" t="s">
        <v>7070</v>
      </c>
    </row>
    <row r="2031" spans="1:5" x14ac:dyDescent="0.3">
      <c r="A2031" t="s">
        <v>10257</v>
      </c>
      <c r="B2031" t="s">
        <v>10258</v>
      </c>
      <c r="C2031" t="s">
        <v>2696</v>
      </c>
      <c r="D2031" t="s">
        <v>2696</v>
      </c>
      <c r="E2031" t="s">
        <v>10259</v>
      </c>
    </row>
    <row r="2032" spans="1:5" x14ac:dyDescent="0.3">
      <c r="A2032" t="s">
        <v>10266</v>
      </c>
      <c r="B2032" t="s">
        <v>10267</v>
      </c>
      <c r="C2032" t="s">
        <v>4086</v>
      </c>
      <c r="D2032" t="s">
        <v>2704</v>
      </c>
      <c r="E2032" t="s">
        <v>10268</v>
      </c>
    </row>
    <row r="2033" spans="1:5" x14ac:dyDescent="0.3">
      <c r="A2033" t="s">
        <v>5708</v>
      </c>
      <c r="B2033" t="s">
        <v>1081</v>
      </c>
      <c r="C2033" t="s">
        <v>2696</v>
      </c>
      <c r="D2033" t="s">
        <v>2696</v>
      </c>
      <c r="E2033" t="s">
        <v>5709</v>
      </c>
    </row>
    <row r="2034" spans="1:5" x14ac:dyDescent="0.3">
      <c r="A2034" t="s">
        <v>1935</v>
      </c>
      <c r="B2034" t="s">
        <v>1936</v>
      </c>
      <c r="C2034" t="s">
        <v>1209</v>
      </c>
      <c r="D2034" t="s">
        <v>1088</v>
      </c>
      <c r="E2034" t="s">
        <v>1937</v>
      </c>
    </row>
    <row r="2035" spans="1:5" x14ac:dyDescent="0.3">
      <c r="A2035" t="s">
        <v>6197</v>
      </c>
      <c r="B2035" t="s">
        <v>6198</v>
      </c>
      <c r="C2035" t="s">
        <v>4625</v>
      </c>
      <c r="D2035" t="s">
        <v>133</v>
      </c>
      <c r="E2035" t="s">
        <v>6199</v>
      </c>
    </row>
    <row r="2036" spans="1:5" x14ac:dyDescent="0.3">
      <c r="A2036" t="s">
        <v>5957</v>
      </c>
      <c r="B2036" t="s">
        <v>5958</v>
      </c>
      <c r="C2036" t="s">
        <v>2696</v>
      </c>
      <c r="D2036" t="s">
        <v>2696</v>
      </c>
      <c r="E2036" t="s">
        <v>5959</v>
      </c>
    </row>
    <row r="2037" spans="1:5" x14ac:dyDescent="0.3">
      <c r="A2037" t="s">
        <v>5981</v>
      </c>
      <c r="B2037" t="s">
        <v>5982</v>
      </c>
      <c r="C2037" t="s">
        <v>2696</v>
      </c>
      <c r="D2037" t="s">
        <v>2696</v>
      </c>
      <c r="E2037" t="s">
        <v>5983</v>
      </c>
    </row>
    <row r="2038" spans="1:5" x14ac:dyDescent="0.3">
      <c r="A2038" t="s">
        <v>10287</v>
      </c>
      <c r="B2038" t="s">
        <v>3566</v>
      </c>
      <c r="C2038" t="s">
        <v>4086</v>
      </c>
      <c r="D2038" t="s">
        <v>2704</v>
      </c>
      <c r="E2038" t="s">
        <v>10288</v>
      </c>
    </row>
    <row r="2039" spans="1:5" x14ac:dyDescent="0.3">
      <c r="A2039" t="s">
        <v>5486</v>
      </c>
      <c r="B2039" t="s">
        <v>5487</v>
      </c>
      <c r="C2039" t="s">
        <v>2696</v>
      </c>
      <c r="D2039" t="s">
        <v>2696</v>
      </c>
      <c r="E2039" t="s">
        <v>5488</v>
      </c>
    </row>
    <row r="2040" spans="1:5" x14ac:dyDescent="0.3">
      <c r="A2040" t="s">
        <v>5509</v>
      </c>
      <c r="B2040" t="s">
        <v>5510</v>
      </c>
      <c r="C2040" t="s">
        <v>2696</v>
      </c>
      <c r="D2040" t="s">
        <v>2696</v>
      </c>
      <c r="E2040" t="s">
        <v>5511</v>
      </c>
    </row>
    <row r="2041" spans="1:5" x14ac:dyDescent="0.3">
      <c r="A2041" t="s">
        <v>10294</v>
      </c>
      <c r="B2041" t="s">
        <v>10295</v>
      </c>
      <c r="C2041" t="s">
        <v>7397</v>
      </c>
      <c r="D2041" t="s">
        <v>2704</v>
      </c>
      <c r="E2041" t="s">
        <v>10296</v>
      </c>
    </row>
    <row r="2042" spans="1:5" x14ac:dyDescent="0.3">
      <c r="A2042" t="s">
        <v>10315</v>
      </c>
      <c r="B2042" t="s">
        <v>10316</v>
      </c>
      <c r="C2042" t="s">
        <v>2708</v>
      </c>
      <c r="D2042" t="s">
        <v>2709</v>
      </c>
      <c r="E2042" t="s">
        <v>10317</v>
      </c>
    </row>
    <row r="2043" spans="1:5" x14ac:dyDescent="0.3">
      <c r="A2043" t="s">
        <v>6639</v>
      </c>
      <c r="B2043" t="s">
        <v>6640</v>
      </c>
      <c r="C2043" t="s">
        <v>4595</v>
      </c>
      <c r="D2043" t="s">
        <v>133</v>
      </c>
      <c r="E2043" t="s">
        <v>6641</v>
      </c>
    </row>
    <row r="2044" spans="1:5" x14ac:dyDescent="0.3">
      <c r="A2044" t="s">
        <v>6662</v>
      </c>
      <c r="B2044" t="s">
        <v>6663</v>
      </c>
      <c r="C2044" t="s">
        <v>4595</v>
      </c>
      <c r="D2044" t="s">
        <v>133</v>
      </c>
      <c r="E2044" t="s">
        <v>6664</v>
      </c>
    </row>
    <row r="2045" spans="1:5" x14ac:dyDescent="0.3">
      <c r="A2045" t="s">
        <v>6005</v>
      </c>
      <c r="B2045" t="s">
        <v>6006</v>
      </c>
      <c r="C2045" t="s">
        <v>2696</v>
      </c>
      <c r="D2045" t="s">
        <v>2696</v>
      </c>
      <c r="E2045" t="s">
        <v>6007</v>
      </c>
    </row>
    <row r="2046" spans="1:5" x14ac:dyDescent="0.3">
      <c r="A2046" t="s">
        <v>6027</v>
      </c>
      <c r="B2046" t="s">
        <v>6028</v>
      </c>
      <c r="C2046" t="s">
        <v>2696</v>
      </c>
      <c r="D2046" t="s">
        <v>2696</v>
      </c>
      <c r="E2046" t="s">
        <v>6029</v>
      </c>
    </row>
    <row r="2047" spans="1:5" x14ac:dyDescent="0.3">
      <c r="A2047" t="s">
        <v>10306</v>
      </c>
      <c r="B2047" t="s">
        <v>10307</v>
      </c>
      <c r="C2047" t="s">
        <v>7397</v>
      </c>
      <c r="D2047" t="s">
        <v>2704</v>
      </c>
      <c r="E2047" t="s">
        <v>10308</v>
      </c>
    </row>
    <row r="2048" spans="1:5" x14ac:dyDescent="0.3">
      <c r="A2048" t="s">
        <v>10329</v>
      </c>
      <c r="B2048" t="s">
        <v>10330</v>
      </c>
      <c r="C2048" t="s">
        <v>2708</v>
      </c>
      <c r="D2048" t="s">
        <v>2709</v>
      </c>
      <c r="E2048" t="s">
        <v>10331</v>
      </c>
    </row>
    <row r="2049" spans="1:5" x14ac:dyDescent="0.3">
      <c r="A2049" t="s">
        <v>5533</v>
      </c>
      <c r="B2049" t="s">
        <v>5534</v>
      </c>
      <c r="C2049" t="s">
        <v>2696</v>
      </c>
      <c r="D2049" t="s">
        <v>2696</v>
      </c>
      <c r="E2049" t="s">
        <v>5535</v>
      </c>
    </row>
    <row r="2050" spans="1:5" x14ac:dyDescent="0.3">
      <c r="A2050" t="s">
        <v>5557</v>
      </c>
      <c r="B2050" t="s">
        <v>5558</v>
      </c>
      <c r="C2050" t="s">
        <v>2696</v>
      </c>
      <c r="D2050" t="s">
        <v>2696</v>
      </c>
      <c r="E2050" t="s">
        <v>5559</v>
      </c>
    </row>
    <row r="2051" spans="1:5" x14ac:dyDescent="0.3">
      <c r="A2051" t="s">
        <v>6686</v>
      </c>
      <c r="B2051" t="s">
        <v>5000</v>
      </c>
      <c r="C2051" t="s">
        <v>4595</v>
      </c>
      <c r="D2051" t="s">
        <v>133</v>
      </c>
      <c r="E2051" t="s">
        <v>6687</v>
      </c>
    </row>
    <row r="2052" spans="1:5" x14ac:dyDescent="0.3">
      <c r="A2052" t="s">
        <v>6708</v>
      </c>
      <c r="B2052" t="s">
        <v>6709</v>
      </c>
      <c r="C2052" t="s">
        <v>6574</v>
      </c>
      <c r="D2052" t="s">
        <v>2852</v>
      </c>
      <c r="E2052" t="s">
        <v>6710</v>
      </c>
    </row>
    <row r="2053" spans="1:5" x14ac:dyDescent="0.3">
      <c r="A2053" t="s">
        <v>6050</v>
      </c>
      <c r="B2053" t="s">
        <v>6051</v>
      </c>
      <c r="C2053" t="s">
        <v>2696</v>
      </c>
      <c r="D2053" t="s">
        <v>2696</v>
      </c>
      <c r="E2053" t="s">
        <v>6052</v>
      </c>
    </row>
    <row r="2054" spans="1:5" x14ac:dyDescent="0.3">
      <c r="A2054" t="s">
        <v>6073</v>
      </c>
      <c r="B2054" t="s">
        <v>6074</v>
      </c>
      <c r="C2054" t="s">
        <v>2696</v>
      </c>
      <c r="D2054" t="s">
        <v>2696</v>
      </c>
      <c r="E2054" t="s">
        <v>6075</v>
      </c>
    </row>
    <row r="2055" spans="1:5" x14ac:dyDescent="0.3">
      <c r="A2055" t="s">
        <v>5260</v>
      </c>
      <c r="B2055" t="s">
        <v>5261</v>
      </c>
      <c r="C2055" t="s">
        <v>2696</v>
      </c>
      <c r="D2055" t="s">
        <v>2696</v>
      </c>
      <c r="E2055" t="s">
        <v>5262</v>
      </c>
    </row>
    <row r="2056" spans="1:5" x14ac:dyDescent="0.3">
      <c r="A2056" t="s">
        <v>5284</v>
      </c>
      <c r="B2056" t="s">
        <v>5285</v>
      </c>
      <c r="C2056" t="s">
        <v>2696</v>
      </c>
      <c r="D2056" t="s">
        <v>2696</v>
      </c>
      <c r="E2056" t="s">
        <v>5286</v>
      </c>
    </row>
    <row r="2057" spans="1:5" x14ac:dyDescent="0.3">
      <c r="A2057" t="s">
        <v>6220</v>
      </c>
      <c r="B2057" t="s">
        <v>6221</v>
      </c>
      <c r="C2057" t="s">
        <v>4733</v>
      </c>
      <c r="D2057" t="s">
        <v>2704</v>
      </c>
      <c r="E2057" t="s">
        <v>6222</v>
      </c>
    </row>
    <row r="2058" spans="1:5" x14ac:dyDescent="0.3">
      <c r="A2058" t="s">
        <v>6243</v>
      </c>
      <c r="B2058" t="s">
        <v>6244</v>
      </c>
      <c r="C2058" t="s">
        <v>134</v>
      </c>
      <c r="D2058" t="s">
        <v>133</v>
      </c>
      <c r="E2058" t="s">
        <v>6245</v>
      </c>
    </row>
    <row r="2059" spans="1:5" x14ac:dyDescent="0.3">
      <c r="A2059" t="s">
        <v>5580</v>
      </c>
      <c r="B2059" t="s">
        <v>3551</v>
      </c>
      <c r="C2059" t="s">
        <v>2696</v>
      </c>
      <c r="D2059" t="s">
        <v>2696</v>
      </c>
      <c r="E2059" t="s">
        <v>5581</v>
      </c>
    </row>
    <row r="2060" spans="1:5" x14ac:dyDescent="0.3">
      <c r="A2060" t="s">
        <v>5603</v>
      </c>
      <c r="B2060" t="s">
        <v>5604</v>
      </c>
      <c r="C2060" t="s">
        <v>2696</v>
      </c>
      <c r="D2060" t="s">
        <v>2696</v>
      </c>
      <c r="E2060" t="s">
        <v>5605</v>
      </c>
    </row>
    <row r="2061" spans="1:5" x14ac:dyDescent="0.3">
      <c r="A2061" t="s">
        <v>6726</v>
      </c>
      <c r="B2061" t="s">
        <v>4677</v>
      </c>
      <c r="C2061" t="s">
        <v>3860</v>
      </c>
      <c r="D2061" t="s">
        <v>2704</v>
      </c>
      <c r="E2061" t="s">
        <v>6727</v>
      </c>
    </row>
    <row r="2062" spans="1:5" x14ac:dyDescent="0.3">
      <c r="A2062" t="s">
        <v>2344</v>
      </c>
      <c r="B2062" t="s">
        <v>2345</v>
      </c>
      <c r="C2062" t="s">
        <v>1533</v>
      </c>
      <c r="D2062" t="s">
        <v>1111</v>
      </c>
      <c r="E2062" t="s">
        <v>2346</v>
      </c>
    </row>
    <row r="2063" spans="1:5" x14ac:dyDescent="0.3">
      <c r="A2063" t="s">
        <v>6096</v>
      </c>
      <c r="B2063" t="s">
        <v>3726</v>
      </c>
      <c r="C2063" t="s">
        <v>2696</v>
      </c>
      <c r="D2063" t="s">
        <v>2696</v>
      </c>
      <c r="E2063" t="s">
        <v>6097</v>
      </c>
    </row>
    <row r="2064" spans="1:5" x14ac:dyDescent="0.3">
      <c r="A2064" t="s">
        <v>5626</v>
      </c>
      <c r="B2064" t="s">
        <v>2995</v>
      </c>
      <c r="C2064" t="s">
        <v>2696</v>
      </c>
      <c r="D2064" t="s">
        <v>2696</v>
      </c>
      <c r="E2064" t="s">
        <v>5627</v>
      </c>
    </row>
    <row r="2065" spans="1:5" x14ac:dyDescent="0.3">
      <c r="A2065" t="s">
        <v>6744</v>
      </c>
      <c r="B2065" t="s">
        <v>6745</v>
      </c>
      <c r="C2065" t="s">
        <v>6747</v>
      </c>
      <c r="D2065" t="s">
        <v>133</v>
      </c>
      <c r="E2065" t="s">
        <v>6746</v>
      </c>
    </row>
    <row r="2066" spans="1:5" x14ac:dyDescent="0.3">
      <c r="A2066" t="s">
        <v>6767</v>
      </c>
      <c r="B2066" t="s">
        <v>6768</v>
      </c>
      <c r="C2066" t="s">
        <v>6747</v>
      </c>
      <c r="D2066" t="s">
        <v>133</v>
      </c>
      <c r="E2066" t="s">
        <v>6769</v>
      </c>
    </row>
    <row r="2067" spans="1:5" x14ac:dyDescent="0.3">
      <c r="A2067" t="s">
        <v>5308</v>
      </c>
      <c r="B2067" t="s">
        <v>5309</v>
      </c>
      <c r="C2067" t="s">
        <v>3860</v>
      </c>
      <c r="D2067" t="s">
        <v>2704</v>
      </c>
      <c r="E2067" t="s">
        <v>5310</v>
      </c>
    </row>
    <row r="2068" spans="1:5" x14ac:dyDescent="0.3">
      <c r="A2068" t="s">
        <v>2647</v>
      </c>
      <c r="B2068" t="s">
        <v>2648</v>
      </c>
      <c r="C2068" t="s">
        <v>1523</v>
      </c>
      <c r="D2068" t="s">
        <v>1111</v>
      </c>
      <c r="E2068" t="s">
        <v>2649</v>
      </c>
    </row>
    <row r="2069" spans="1:5" x14ac:dyDescent="0.3">
      <c r="A2069" t="s">
        <v>2671</v>
      </c>
      <c r="B2069" t="s">
        <v>2672</v>
      </c>
      <c r="C2069" t="s">
        <v>1087</v>
      </c>
      <c r="D2069" t="s">
        <v>1088</v>
      </c>
      <c r="E2069" t="s">
        <v>2673</v>
      </c>
    </row>
    <row r="2070" spans="1:5" x14ac:dyDescent="0.3">
      <c r="A2070" t="s">
        <v>5269</v>
      </c>
      <c r="B2070" t="s">
        <v>5270</v>
      </c>
      <c r="C2070" t="s">
        <v>2696</v>
      </c>
      <c r="D2070" t="s">
        <v>2696</v>
      </c>
      <c r="E2070" t="s">
        <v>5271</v>
      </c>
    </row>
    <row r="2071" spans="1:5" x14ac:dyDescent="0.3">
      <c r="A2071" t="s">
        <v>6791</v>
      </c>
      <c r="B2071" t="s">
        <v>6792</v>
      </c>
      <c r="C2071" t="s">
        <v>3936</v>
      </c>
      <c r="D2071" t="s">
        <v>3712</v>
      </c>
      <c r="E2071" t="s">
        <v>6793</v>
      </c>
    </row>
    <row r="2072" spans="1:5" x14ac:dyDescent="0.3">
      <c r="A2072" t="s">
        <v>2362</v>
      </c>
      <c r="B2072" t="s">
        <v>2363</v>
      </c>
      <c r="C2072" t="s">
        <v>1523</v>
      </c>
      <c r="D2072" t="s">
        <v>1111</v>
      </c>
      <c r="E2072" t="s">
        <v>2364</v>
      </c>
    </row>
    <row r="2073" spans="1:5" x14ac:dyDescent="0.3">
      <c r="A2073" t="s">
        <v>5648</v>
      </c>
      <c r="B2073" t="s">
        <v>5649</v>
      </c>
      <c r="C2073" t="s">
        <v>2696</v>
      </c>
      <c r="D2073" t="s">
        <v>2696</v>
      </c>
      <c r="E2073" t="s">
        <v>5650</v>
      </c>
    </row>
    <row r="2074" spans="1:5" x14ac:dyDescent="0.3">
      <c r="A2074" t="s">
        <v>5672</v>
      </c>
      <c r="B2074" t="s">
        <v>5673</v>
      </c>
      <c r="C2074" t="s">
        <v>2696</v>
      </c>
      <c r="D2074" t="s">
        <v>2696</v>
      </c>
      <c r="E2074" t="s">
        <v>5674</v>
      </c>
    </row>
    <row r="2075" spans="1:5" x14ac:dyDescent="0.3">
      <c r="A2075" t="s">
        <v>5345</v>
      </c>
      <c r="B2075" t="s">
        <v>5346</v>
      </c>
      <c r="C2075" t="s">
        <v>2696</v>
      </c>
      <c r="D2075" t="s">
        <v>2696</v>
      </c>
      <c r="E2075" t="s">
        <v>5347</v>
      </c>
    </row>
    <row r="2076" spans="1:5" x14ac:dyDescent="0.3">
      <c r="A2076" t="s">
        <v>5368</v>
      </c>
      <c r="B2076" t="s">
        <v>5369</v>
      </c>
      <c r="C2076" t="s">
        <v>2696</v>
      </c>
      <c r="D2076" t="s">
        <v>2696</v>
      </c>
      <c r="E2076" t="s">
        <v>5370</v>
      </c>
    </row>
    <row r="2077" spans="1:5" x14ac:dyDescent="0.3">
      <c r="A2077" t="s">
        <v>6267</v>
      </c>
      <c r="B2077" t="s">
        <v>6268</v>
      </c>
      <c r="C2077" t="s">
        <v>134</v>
      </c>
      <c r="D2077" t="s">
        <v>133</v>
      </c>
      <c r="E2077" t="s">
        <v>6269</v>
      </c>
    </row>
    <row r="2078" spans="1:5" x14ac:dyDescent="0.3">
      <c r="A2078" t="s">
        <v>6289</v>
      </c>
      <c r="B2078" t="s">
        <v>6290</v>
      </c>
      <c r="C2078" t="s">
        <v>3906</v>
      </c>
      <c r="D2078" t="s">
        <v>133</v>
      </c>
      <c r="E2078" t="s">
        <v>6291</v>
      </c>
    </row>
    <row r="2079" spans="1:5" x14ac:dyDescent="0.3">
      <c r="A2079" t="s">
        <v>7092</v>
      </c>
      <c r="B2079" t="s">
        <v>7093</v>
      </c>
      <c r="C2079" t="s">
        <v>3758</v>
      </c>
      <c r="D2079" t="s">
        <v>3712</v>
      </c>
      <c r="E2079" t="s">
        <v>7094</v>
      </c>
    </row>
    <row r="2080" spans="1:5" x14ac:dyDescent="0.3">
      <c r="A2080" t="s">
        <v>7114</v>
      </c>
      <c r="B2080" t="s">
        <v>7115</v>
      </c>
      <c r="C2080" t="s">
        <v>3758</v>
      </c>
      <c r="D2080" t="s">
        <v>3712</v>
      </c>
      <c r="E2080" t="s">
        <v>7116</v>
      </c>
    </row>
    <row r="2081" spans="1:5" x14ac:dyDescent="0.3">
      <c r="A2081" t="s">
        <v>6815</v>
      </c>
      <c r="B2081" t="s">
        <v>6816</v>
      </c>
      <c r="C2081" t="s">
        <v>4246</v>
      </c>
      <c r="D2081" t="s">
        <v>2709</v>
      </c>
      <c r="E2081" t="s">
        <v>6817</v>
      </c>
    </row>
    <row r="2082" spans="1:5" x14ac:dyDescent="0.3">
      <c r="A2082" t="s">
        <v>2377</v>
      </c>
      <c r="B2082" t="s">
        <v>2378</v>
      </c>
      <c r="C2082" t="s">
        <v>1523</v>
      </c>
      <c r="D2082" t="s">
        <v>1111</v>
      </c>
      <c r="E2082" t="s">
        <v>2379</v>
      </c>
    </row>
    <row r="2083" spans="1:5" x14ac:dyDescent="0.3">
      <c r="A2083" t="s">
        <v>5694</v>
      </c>
      <c r="B2083" t="s">
        <v>1090</v>
      </c>
      <c r="C2083" t="s">
        <v>2696</v>
      </c>
      <c r="D2083" t="s">
        <v>2696</v>
      </c>
      <c r="E2083" t="s">
        <v>5695</v>
      </c>
    </row>
    <row r="2084" spans="1:5" x14ac:dyDescent="0.3">
      <c r="A2084" t="s">
        <v>5716</v>
      </c>
      <c r="B2084" t="s">
        <v>5717</v>
      </c>
      <c r="C2084" t="s">
        <v>2696</v>
      </c>
      <c r="D2084" t="s">
        <v>2696</v>
      </c>
      <c r="E2084" t="s">
        <v>5718</v>
      </c>
    </row>
    <row r="2085" spans="1:5" x14ac:dyDescent="0.3">
      <c r="A2085" t="s">
        <v>1953</v>
      </c>
      <c r="B2085" t="s">
        <v>1954</v>
      </c>
      <c r="C2085" t="s">
        <v>1153</v>
      </c>
      <c r="D2085" t="s">
        <v>1088</v>
      </c>
      <c r="E2085" t="s">
        <v>1955</v>
      </c>
    </row>
    <row r="2086" spans="1:5" x14ac:dyDescent="0.3">
      <c r="A2086" t="s">
        <v>6296</v>
      </c>
      <c r="B2086" t="s">
        <v>6297</v>
      </c>
      <c r="C2086" t="s">
        <v>4308</v>
      </c>
      <c r="D2086" t="s">
        <v>133</v>
      </c>
      <c r="E2086" t="s">
        <v>6298</v>
      </c>
    </row>
    <row r="2087" spans="1:5" x14ac:dyDescent="0.3">
      <c r="A2087" t="s">
        <v>6118</v>
      </c>
      <c r="B2087" t="s">
        <v>6119</v>
      </c>
      <c r="C2087" t="s">
        <v>2696</v>
      </c>
      <c r="D2087" t="s">
        <v>2696</v>
      </c>
      <c r="E2087" t="s">
        <v>6120</v>
      </c>
    </row>
    <row r="2088" spans="1:5" x14ac:dyDescent="0.3">
      <c r="A2088" t="s">
        <v>1980</v>
      </c>
      <c r="B2088" t="s">
        <v>1981</v>
      </c>
      <c r="C2088" t="s">
        <v>1196</v>
      </c>
      <c r="D2088" t="s">
        <v>1088</v>
      </c>
      <c r="E2088" t="s">
        <v>1982</v>
      </c>
    </row>
    <row r="2089" spans="1:5" x14ac:dyDescent="0.3">
      <c r="A2089" t="s">
        <v>5392</v>
      </c>
      <c r="B2089" t="s">
        <v>5393</v>
      </c>
      <c r="C2089" t="s">
        <v>2696</v>
      </c>
      <c r="D2089" t="s">
        <v>2696</v>
      </c>
      <c r="E2089" t="s">
        <v>5394</v>
      </c>
    </row>
    <row r="2090" spans="1:5" x14ac:dyDescent="0.3">
      <c r="A2090" t="s">
        <v>5415</v>
      </c>
      <c r="B2090" t="s">
        <v>5416</v>
      </c>
      <c r="C2090" t="s">
        <v>2696</v>
      </c>
      <c r="D2090" t="s">
        <v>2696</v>
      </c>
      <c r="E2090" t="s">
        <v>5417</v>
      </c>
    </row>
    <row r="2091" spans="1:5" x14ac:dyDescent="0.3">
      <c r="A2091" t="s">
        <v>2382</v>
      </c>
      <c r="B2091" t="s">
        <v>2383</v>
      </c>
      <c r="C2091" t="s">
        <v>1115</v>
      </c>
      <c r="D2091" t="s">
        <v>1111</v>
      </c>
      <c r="E2091" t="s">
        <v>2384</v>
      </c>
    </row>
    <row r="2092" spans="1:5" x14ac:dyDescent="0.3">
      <c r="A2092" t="s">
        <v>2385</v>
      </c>
      <c r="B2092" t="s">
        <v>2386</v>
      </c>
      <c r="C2092" t="s">
        <v>1115</v>
      </c>
      <c r="D2092" t="s">
        <v>1111</v>
      </c>
      <c r="E2092" t="s">
        <v>2387</v>
      </c>
    </row>
    <row r="2093" spans="1:5" x14ac:dyDescent="0.3">
      <c r="A2093" t="s">
        <v>7136</v>
      </c>
      <c r="B2093" t="s">
        <v>7137</v>
      </c>
      <c r="C2093" t="s">
        <v>3711</v>
      </c>
      <c r="D2093" t="s">
        <v>3712</v>
      </c>
      <c r="E2093" t="s">
        <v>7138</v>
      </c>
    </row>
    <row r="2094" spans="1:5" x14ac:dyDescent="0.3">
      <c r="A2094" t="s">
        <v>7159</v>
      </c>
      <c r="B2094" t="s">
        <v>7160</v>
      </c>
      <c r="C2094" t="s">
        <v>4595</v>
      </c>
      <c r="D2094" t="s">
        <v>133</v>
      </c>
      <c r="E2094" t="s">
        <v>7161</v>
      </c>
    </row>
    <row r="2095" spans="1:5" x14ac:dyDescent="0.3">
      <c r="A2095" t="s">
        <v>6318</v>
      </c>
      <c r="B2095" t="s">
        <v>6319</v>
      </c>
      <c r="C2095" t="s">
        <v>4229</v>
      </c>
      <c r="D2095" t="s">
        <v>2841</v>
      </c>
      <c r="E2095" t="s">
        <v>6320</v>
      </c>
    </row>
    <row r="2096" spans="1:5" x14ac:dyDescent="0.3">
      <c r="A2096" t="s">
        <v>1962</v>
      </c>
      <c r="B2096" t="s">
        <v>1963</v>
      </c>
      <c r="C2096" t="s">
        <v>1087</v>
      </c>
      <c r="D2096" t="s">
        <v>1088</v>
      </c>
      <c r="E2096" t="s">
        <v>1964</v>
      </c>
    </row>
    <row r="2097" spans="1:5" x14ac:dyDescent="0.3">
      <c r="A2097" t="s">
        <v>6144</v>
      </c>
      <c r="B2097" t="s">
        <v>6145</v>
      </c>
      <c r="C2097" t="s">
        <v>4469</v>
      </c>
      <c r="D2097" t="s">
        <v>2709</v>
      </c>
      <c r="E2097" t="s">
        <v>6146</v>
      </c>
    </row>
    <row r="2098" spans="1:5" x14ac:dyDescent="0.3">
      <c r="A2098" t="s">
        <v>6168</v>
      </c>
      <c r="B2098" t="s">
        <v>6169</v>
      </c>
      <c r="C2098" t="s">
        <v>2840</v>
      </c>
      <c r="D2098" t="s">
        <v>2841</v>
      </c>
      <c r="E2098" t="s">
        <v>6170</v>
      </c>
    </row>
    <row r="2099" spans="1:5" x14ac:dyDescent="0.3">
      <c r="A2099" t="s">
        <v>6833</v>
      </c>
      <c r="B2099" t="s">
        <v>6834</v>
      </c>
      <c r="C2099" t="s">
        <v>4207</v>
      </c>
      <c r="D2099" t="s">
        <v>133</v>
      </c>
      <c r="E2099" t="s">
        <v>6835</v>
      </c>
    </row>
    <row r="2100" spans="1:5" x14ac:dyDescent="0.3">
      <c r="A2100" t="s">
        <v>2391</v>
      </c>
      <c r="B2100" t="s">
        <v>2392</v>
      </c>
      <c r="C2100" t="s">
        <v>1523</v>
      </c>
      <c r="D2100" t="s">
        <v>1111</v>
      </c>
      <c r="E2100" t="s">
        <v>2393</v>
      </c>
    </row>
    <row r="2101" spans="1:5" x14ac:dyDescent="0.3">
      <c r="A2101" t="s">
        <v>7181</v>
      </c>
      <c r="B2101" t="s">
        <v>7182</v>
      </c>
      <c r="C2101" t="s">
        <v>3758</v>
      </c>
      <c r="D2101" t="s">
        <v>3712</v>
      </c>
      <c r="E2101" t="s">
        <v>7183</v>
      </c>
    </row>
    <row r="2102" spans="1:5" x14ac:dyDescent="0.3">
      <c r="A2102" t="s">
        <v>5438</v>
      </c>
      <c r="B2102" t="s">
        <v>5439</v>
      </c>
      <c r="C2102" t="s">
        <v>2696</v>
      </c>
      <c r="D2102" t="s">
        <v>2696</v>
      </c>
      <c r="E2102" t="s">
        <v>5440</v>
      </c>
    </row>
    <row r="2103" spans="1:5" x14ac:dyDescent="0.3">
      <c r="A2103" t="s">
        <v>5461</v>
      </c>
      <c r="B2103" t="s">
        <v>5462</v>
      </c>
      <c r="C2103" t="s">
        <v>2696</v>
      </c>
      <c r="D2103" t="s">
        <v>2696</v>
      </c>
      <c r="E2103" t="s">
        <v>5463</v>
      </c>
    </row>
    <row r="2104" spans="1:5" x14ac:dyDescent="0.3">
      <c r="A2104" t="s">
        <v>1965</v>
      </c>
      <c r="B2104" t="s">
        <v>1966</v>
      </c>
      <c r="C2104" t="s">
        <v>1533</v>
      </c>
      <c r="D2104" t="s">
        <v>1111</v>
      </c>
      <c r="E2104" t="s">
        <v>1967</v>
      </c>
    </row>
    <row r="2105" spans="1:5" x14ac:dyDescent="0.3">
      <c r="A2105" t="s">
        <v>1992</v>
      </c>
      <c r="B2105" t="s">
        <v>1993</v>
      </c>
      <c r="C2105" t="s">
        <v>1501</v>
      </c>
      <c r="D2105" t="s">
        <v>1088</v>
      </c>
      <c r="E2105" t="s">
        <v>1994</v>
      </c>
    </row>
    <row r="2106" spans="1:5" x14ac:dyDescent="0.3">
      <c r="A2106" t="s">
        <v>1995</v>
      </c>
      <c r="B2106" t="s">
        <v>1996</v>
      </c>
      <c r="C2106" t="s">
        <v>1501</v>
      </c>
      <c r="D2106" t="s">
        <v>1088</v>
      </c>
      <c r="E2106" t="s">
        <v>1997</v>
      </c>
    </row>
    <row r="2107" spans="1:5" x14ac:dyDescent="0.3">
      <c r="A2107" t="s">
        <v>6854</v>
      </c>
      <c r="B2107" t="s">
        <v>6855</v>
      </c>
      <c r="C2107" t="s">
        <v>2851</v>
      </c>
      <c r="D2107" t="s">
        <v>2852</v>
      </c>
      <c r="E2107" t="s">
        <v>6856</v>
      </c>
    </row>
    <row r="2108" spans="1:5" x14ac:dyDescent="0.3">
      <c r="A2108" t="s">
        <v>6878</v>
      </c>
      <c r="B2108" t="s">
        <v>6879</v>
      </c>
      <c r="C2108" t="s">
        <v>2851</v>
      </c>
      <c r="D2108" t="s">
        <v>2852</v>
      </c>
      <c r="E2108" t="s">
        <v>6880</v>
      </c>
    </row>
    <row r="2109" spans="1:5" x14ac:dyDescent="0.3">
      <c r="A2109" t="s">
        <v>7204</v>
      </c>
      <c r="B2109" t="s">
        <v>5513</v>
      </c>
      <c r="C2109" t="s">
        <v>2851</v>
      </c>
      <c r="D2109" t="s">
        <v>2852</v>
      </c>
      <c r="E2109" t="s">
        <v>7205</v>
      </c>
    </row>
    <row r="2110" spans="1:5" x14ac:dyDescent="0.3">
      <c r="A2110" t="s">
        <v>2483</v>
      </c>
      <c r="B2110" t="s">
        <v>2484</v>
      </c>
      <c r="C2110" t="s">
        <v>1140</v>
      </c>
      <c r="D2110" t="s">
        <v>1088</v>
      </c>
      <c r="E2110" t="s">
        <v>2485</v>
      </c>
    </row>
    <row r="2111" spans="1:5" x14ac:dyDescent="0.3">
      <c r="A2111" t="s">
        <v>5480</v>
      </c>
      <c r="B2111" t="s">
        <v>5481</v>
      </c>
      <c r="C2111" t="s">
        <v>2696</v>
      </c>
      <c r="D2111" t="s">
        <v>2696</v>
      </c>
      <c r="E2111" t="s">
        <v>5482</v>
      </c>
    </row>
    <row r="2112" spans="1:5" x14ac:dyDescent="0.3">
      <c r="A2112" t="s">
        <v>5504</v>
      </c>
      <c r="B2112" t="s">
        <v>5505</v>
      </c>
      <c r="C2112" t="s">
        <v>2696</v>
      </c>
      <c r="D2112" t="s">
        <v>2696</v>
      </c>
      <c r="E2112" t="s">
        <v>5506</v>
      </c>
    </row>
    <row r="2113" spans="1:5" x14ac:dyDescent="0.3">
      <c r="A2113" t="s">
        <v>6361</v>
      </c>
      <c r="B2113" t="s">
        <v>6362</v>
      </c>
      <c r="C2113" t="s">
        <v>6349</v>
      </c>
      <c r="D2113" t="s">
        <v>2841</v>
      </c>
      <c r="E2113" t="s">
        <v>6363</v>
      </c>
    </row>
    <row r="2114" spans="1:5" x14ac:dyDescent="0.3">
      <c r="A2114" t="s">
        <v>1968</v>
      </c>
      <c r="B2114" t="s">
        <v>1969</v>
      </c>
      <c r="C2114" t="s">
        <v>1209</v>
      </c>
      <c r="D2114" t="s">
        <v>1088</v>
      </c>
      <c r="E2114" t="s">
        <v>1970</v>
      </c>
    </row>
    <row r="2115" spans="1:5" x14ac:dyDescent="0.3">
      <c r="A2115" t="s">
        <v>6902</v>
      </c>
      <c r="B2115" t="s">
        <v>6903</v>
      </c>
      <c r="C2115" t="s">
        <v>2851</v>
      </c>
      <c r="D2115" t="s">
        <v>2852</v>
      </c>
      <c r="E2115" t="s">
        <v>6904</v>
      </c>
    </row>
    <row r="2116" spans="1:5" x14ac:dyDescent="0.3">
      <c r="A2116" t="s">
        <v>6925</v>
      </c>
      <c r="B2116" t="s">
        <v>6926</v>
      </c>
      <c r="C2116" t="s">
        <v>4301</v>
      </c>
      <c r="D2116" t="s">
        <v>2841</v>
      </c>
      <c r="E2116" t="s">
        <v>6927</v>
      </c>
    </row>
    <row r="2117" spans="1:5" x14ac:dyDescent="0.3">
      <c r="A2117" t="s">
        <v>5739</v>
      </c>
      <c r="B2117" t="s">
        <v>5740</v>
      </c>
      <c r="C2117" t="s">
        <v>2696</v>
      </c>
      <c r="D2117" t="s">
        <v>2696</v>
      </c>
      <c r="E2117" t="s">
        <v>5741</v>
      </c>
    </row>
    <row r="2118" spans="1:5" x14ac:dyDescent="0.3">
      <c r="A2118" t="s">
        <v>5761</v>
      </c>
      <c r="B2118" t="s">
        <v>5762</v>
      </c>
      <c r="C2118" t="s">
        <v>2696</v>
      </c>
      <c r="D2118" t="s">
        <v>2696</v>
      </c>
      <c r="E2118" t="s">
        <v>5763</v>
      </c>
    </row>
    <row r="2119" spans="1:5" x14ac:dyDescent="0.3">
      <c r="A2119" t="s">
        <v>5527</v>
      </c>
      <c r="B2119" t="s">
        <v>5528</v>
      </c>
      <c r="C2119" t="s">
        <v>2696</v>
      </c>
      <c r="D2119" t="s">
        <v>2696</v>
      </c>
      <c r="E2119" t="s">
        <v>5529</v>
      </c>
    </row>
    <row r="2120" spans="1:5" x14ac:dyDescent="0.3">
      <c r="A2120" t="s">
        <v>5551</v>
      </c>
      <c r="B2120" t="s">
        <v>5552</v>
      </c>
      <c r="C2120" t="s">
        <v>2696</v>
      </c>
      <c r="D2120" t="s">
        <v>2696</v>
      </c>
      <c r="E2120" t="s">
        <v>5553</v>
      </c>
    </row>
    <row r="2121" spans="1:5" x14ac:dyDescent="0.3">
      <c r="A2121" t="s">
        <v>1971</v>
      </c>
      <c r="B2121" t="s">
        <v>1972</v>
      </c>
      <c r="C2121" t="s">
        <v>1209</v>
      </c>
      <c r="D2121" t="s">
        <v>1088</v>
      </c>
      <c r="E2121" t="s">
        <v>1973</v>
      </c>
    </row>
    <row r="2122" spans="1:5" x14ac:dyDescent="0.3">
      <c r="A2122" t="s">
        <v>6385</v>
      </c>
      <c r="B2122" t="s">
        <v>6386</v>
      </c>
      <c r="C2122" t="s">
        <v>4086</v>
      </c>
      <c r="D2122" t="s">
        <v>2704</v>
      </c>
      <c r="E2122" t="s">
        <v>6387</v>
      </c>
    </row>
    <row r="2123" spans="1:5" x14ac:dyDescent="0.3">
      <c r="A2123" t="s">
        <v>7234</v>
      </c>
      <c r="B2123" t="s">
        <v>7235</v>
      </c>
      <c r="C2123" t="s">
        <v>3768</v>
      </c>
      <c r="D2123" t="s">
        <v>2852</v>
      </c>
      <c r="E2123" t="s">
        <v>7236</v>
      </c>
    </row>
    <row r="2124" spans="1:5" x14ac:dyDescent="0.3">
      <c r="A2124" t="s">
        <v>7256</v>
      </c>
      <c r="B2124" t="s">
        <v>7257</v>
      </c>
      <c r="C2124" t="s">
        <v>3768</v>
      </c>
      <c r="D2124" t="s">
        <v>2852</v>
      </c>
      <c r="E2124" t="s">
        <v>7258</v>
      </c>
    </row>
    <row r="2125" spans="1:5" x14ac:dyDescent="0.3">
      <c r="A2125" t="s">
        <v>6948</v>
      </c>
      <c r="B2125" t="s">
        <v>5151</v>
      </c>
      <c r="C2125" t="s">
        <v>4301</v>
      </c>
      <c r="D2125" t="s">
        <v>2841</v>
      </c>
      <c r="E2125" t="s">
        <v>6949</v>
      </c>
    </row>
    <row r="2126" spans="1:5" x14ac:dyDescent="0.3">
      <c r="A2126" t="s">
        <v>5783</v>
      </c>
      <c r="B2126" t="s">
        <v>5784</v>
      </c>
      <c r="C2126" t="s">
        <v>2696</v>
      </c>
      <c r="D2126" t="s">
        <v>2696</v>
      </c>
      <c r="E2126" t="s">
        <v>5785</v>
      </c>
    </row>
    <row r="2127" spans="1:5" x14ac:dyDescent="0.3">
      <c r="A2127" t="s">
        <v>5807</v>
      </c>
      <c r="B2127" t="s">
        <v>5808</v>
      </c>
      <c r="C2127" t="s">
        <v>2696</v>
      </c>
      <c r="D2127" t="s">
        <v>2696</v>
      </c>
      <c r="E2127" t="s">
        <v>5809</v>
      </c>
    </row>
    <row r="2128" spans="1:5" x14ac:dyDescent="0.3">
      <c r="A2128" t="s">
        <v>5574</v>
      </c>
      <c r="B2128" t="s">
        <v>5575</v>
      </c>
      <c r="C2128" t="s">
        <v>2696</v>
      </c>
      <c r="D2128" t="s">
        <v>2696</v>
      </c>
      <c r="E2128" t="s">
        <v>5576</v>
      </c>
    </row>
    <row r="2129" spans="1:5" x14ac:dyDescent="0.3">
      <c r="A2129" t="s">
        <v>5597</v>
      </c>
      <c r="B2129" t="s">
        <v>5598</v>
      </c>
      <c r="C2129" t="s">
        <v>2696</v>
      </c>
      <c r="D2129" t="s">
        <v>2696</v>
      </c>
      <c r="E2129" t="s">
        <v>5599</v>
      </c>
    </row>
    <row r="2130" spans="1:5" x14ac:dyDescent="0.3">
      <c r="A2130" t="s">
        <v>6408</v>
      </c>
      <c r="B2130" t="s">
        <v>6409</v>
      </c>
      <c r="C2130" t="s">
        <v>2708</v>
      </c>
      <c r="D2130" t="s">
        <v>2709</v>
      </c>
      <c r="E2130" t="s">
        <v>6410</v>
      </c>
    </row>
    <row r="2131" spans="1:5" x14ac:dyDescent="0.3">
      <c r="A2131" t="s">
        <v>6431</v>
      </c>
      <c r="B2131" t="s">
        <v>6432</v>
      </c>
      <c r="C2131" t="s">
        <v>2708</v>
      </c>
      <c r="D2131" t="s">
        <v>2709</v>
      </c>
      <c r="E2131" t="s">
        <v>6433</v>
      </c>
    </row>
    <row r="2132" spans="1:5" x14ac:dyDescent="0.3">
      <c r="A2132" t="s">
        <v>7279</v>
      </c>
      <c r="B2132" t="s">
        <v>7280</v>
      </c>
      <c r="C2132" t="s">
        <v>3758</v>
      </c>
      <c r="D2132" t="s">
        <v>3712</v>
      </c>
      <c r="E2132" t="s">
        <v>7281</v>
      </c>
    </row>
    <row r="2133" spans="1:5" x14ac:dyDescent="0.3">
      <c r="A2133" t="s">
        <v>7303</v>
      </c>
      <c r="B2133" t="s">
        <v>7304</v>
      </c>
      <c r="C2133" t="s">
        <v>3758</v>
      </c>
      <c r="D2133" t="s">
        <v>3712</v>
      </c>
      <c r="E2133" t="s">
        <v>7305</v>
      </c>
    </row>
    <row r="2134" spans="1:5" x14ac:dyDescent="0.3">
      <c r="A2134" t="s">
        <v>6971</v>
      </c>
      <c r="B2134" t="s">
        <v>6972</v>
      </c>
      <c r="C2134" t="s">
        <v>3093</v>
      </c>
      <c r="D2134" t="s">
        <v>2852</v>
      </c>
      <c r="E2134" t="s">
        <v>6973</v>
      </c>
    </row>
    <row r="2135" spans="1:5" x14ac:dyDescent="0.3">
      <c r="A2135" t="s">
        <v>6994</v>
      </c>
      <c r="B2135" t="s">
        <v>6995</v>
      </c>
      <c r="C2135" t="s">
        <v>3093</v>
      </c>
      <c r="D2135" t="s">
        <v>2852</v>
      </c>
      <c r="E2135" t="s">
        <v>6996</v>
      </c>
    </row>
    <row r="2136" spans="1:5" x14ac:dyDescent="0.3">
      <c r="A2136" t="s">
        <v>7327</v>
      </c>
      <c r="B2136" t="s">
        <v>7328</v>
      </c>
      <c r="C2136" t="s">
        <v>6574</v>
      </c>
      <c r="D2136" t="s">
        <v>2852</v>
      </c>
      <c r="E2136" t="s">
        <v>7329</v>
      </c>
    </row>
    <row r="2137" spans="1:5" x14ac:dyDescent="0.3">
      <c r="A2137" t="s">
        <v>7351</v>
      </c>
      <c r="B2137" t="s">
        <v>7352</v>
      </c>
      <c r="C2137" t="s">
        <v>7344</v>
      </c>
      <c r="D2137" t="s">
        <v>2704</v>
      </c>
      <c r="E2137" t="s">
        <v>7353</v>
      </c>
    </row>
    <row r="2138" spans="1:5" x14ac:dyDescent="0.3">
      <c r="A2138" t="s">
        <v>5620</v>
      </c>
      <c r="B2138" t="s">
        <v>5621</v>
      </c>
      <c r="C2138" t="s">
        <v>2696</v>
      </c>
      <c r="D2138" t="s">
        <v>2696</v>
      </c>
      <c r="E2138" t="s">
        <v>5622</v>
      </c>
    </row>
    <row r="2139" spans="1:5" x14ac:dyDescent="0.3">
      <c r="A2139" t="s">
        <v>5643</v>
      </c>
      <c r="B2139" t="s">
        <v>5644</v>
      </c>
      <c r="C2139" t="s">
        <v>2696</v>
      </c>
      <c r="D2139" t="s">
        <v>2696</v>
      </c>
    </row>
    <row r="2140" spans="1:5" x14ac:dyDescent="0.3">
      <c r="A2140" t="s">
        <v>6454</v>
      </c>
      <c r="B2140" t="s">
        <v>6455</v>
      </c>
      <c r="C2140" t="s">
        <v>2708</v>
      </c>
      <c r="D2140" t="s">
        <v>2709</v>
      </c>
      <c r="E2140" t="s">
        <v>6456</v>
      </c>
    </row>
    <row r="2141" spans="1:5" x14ac:dyDescent="0.3">
      <c r="A2141" t="s">
        <v>6477</v>
      </c>
      <c r="B2141" t="s">
        <v>6478</v>
      </c>
      <c r="C2141" t="s">
        <v>2840</v>
      </c>
      <c r="D2141" t="s">
        <v>2841</v>
      </c>
      <c r="E2141" t="s">
        <v>6479</v>
      </c>
    </row>
    <row r="2142" spans="1:5" x14ac:dyDescent="0.3">
      <c r="A2142" t="s">
        <v>5730</v>
      </c>
      <c r="B2142" t="s">
        <v>5731</v>
      </c>
      <c r="C2142" t="s">
        <v>2696</v>
      </c>
      <c r="D2142" t="s">
        <v>2696</v>
      </c>
      <c r="E2142" t="s">
        <v>5732</v>
      </c>
    </row>
    <row r="2143" spans="1:5" x14ac:dyDescent="0.3">
      <c r="A2143" t="s">
        <v>5753</v>
      </c>
      <c r="B2143" t="s">
        <v>5754</v>
      </c>
      <c r="C2143" t="s">
        <v>2696</v>
      </c>
      <c r="D2143" t="s">
        <v>2696</v>
      </c>
      <c r="E2143" t="s">
        <v>5755</v>
      </c>
    </row>
    <row r="2144" spans="1:5" x14ac:dyDescent="0.3">
      <c r="A2144" t="s">
        <v>2445</v>
      </c>
      <c r="B2144" t="s">
        <v>2446</v>
      </c>
      <c r="C2144" t="s">
        <v>1501</v>
      </c>
      <c r="D2144" t="s">
        <v>1088</v>
      </c>
      <c r="E2144" t="s">
        <v>2447</v>
      </c>
    </row>
    <row r="2145" spans="1:5" x14ac:dyDescent="0.3">
      <c r="A2145" t="s">
        <v>7018</v>
      </c>
      <c r="B2145" t="s">
        <v>7019</v>
      </c>
      <c r="C2145" t="s">
        <v>4679</v>
      </c>
      <c r="D2145" t="s">
        <v>2704</v>
      </c>
      <c r="E2145" t="s">
        <v>7020</v>
      </c>
    </row>
    <row r="2146" spans="1:5" x14ac:dyDescent="0.3">
      <c r="A2146" t="s">
        <v>7375</v>
      </c>
      <c r="B2146" t="s">
        <v>7376</v>
      </c>
      <c r="C2146" t="s">
        <v>4229</v>
      </c>
      <c r="D2146" t="s">
        <v>2841</v>
      </c>
      <c r="E2146" t="s">
        <v>7377</v>
      </c>
    </row>
    <row r="2147" spans="1:5" x14ac:dyDescent="0.3">
      <c r="A2147" t="s">
        <v>2506</v>
      </c>
      <c r="B2147" t="s">
        <v>2507</v>
      </c>
      <c r="C2147" t="s">
        <v>1533</v>
      </c>
      <c r="D2147" t="s">
        <v>1111</v>
      </c>
      <c r="E2147" t="s">
        <v>2508</v>
      </c>
    </row>
    <row r="2148" spans="1:5" x14ac:dyDescent="0.3">
      <c r="A2148" t="s">
        <v>5666</v>
      </c>
      <c r="B2148" t="s">
        <v>5667</v>
      </c>
      <c r="C2148" t="s">
        <v>2696</v>
      </c>
      <c r="D2148" t="s">
        <v>2696</v>
      </c>
      <c r="E2148" t="s">
        <v>5668</v>
      </c>
    </row>
    <row r="2149" spans="1:5" x14ac:dyDescent="0.3">
      <c r="A2149" t="s">
        <v>5688</v>
      </c>
      <c r="B2149" t="s">
        <v>5689</v>
      </c>
      <c r="C2149" t="s">
        <v>2696</v>
      </c>
      <c r="D2149" t="s">
        <v>2696</v>
      </c>
      <c r="E2149" t="s">
        <v>5690</v>
      </c>
    </row>
    <row r="2150" spans="1:5" x14ac:dyDescent="0.3">
      <c r="A2150" t="s">
        <v>1974</v>
      </c>
      <c r="B2150" t="s">
        <v>1975</v>
      </c>
      <c r="C2150" t="s">
        <v>1110</v>
      </c>
      <c r="D2150" t="s">
        <v>1111</v>
      </c>
      <c r="E2150" t="s">
        <v>1976</v>
      </c>
    </row>
    <row r="2151" spans="1:5" x14ac:dyDescent="0.3">
      <c r="A2151" t="s">
        <v>1977</v>
      </c>
      <c r="B2151" t="s">
        <v>1978</v>
      </c>
      <c r="C2151" t="s">
        <v>1110</v>
      </c>
      <c r="D2151" t="s">
        <v>1111</v>
      </c>
      <c r="E2151" t="s">
        <v>1979</v>
      </c>
    </row>
    <row r="2152" spans="1:5" x14ac:dyDescent="0.3">
      <c r="A2152" t="s">
        <v>2001</v>
      </c>
      <c r="B2152" t="s">
        <v>2002</v>
      </c>
      <c r="C2152" t="s">
        <v>1209</v>
      </c>
      <c r="D2152" t="s">
        <v>1088</v>
      </c>
      <c r="E2152" t="s">
        <v>2003</v>
      </c>
    </row>
    <row r="2153" spans="1:5" x14ac:dyDescent="0.3">
      <c r="A2153" t="s">
        <v>6209</v>
      </c>
      <c r="B2153" t="s">
        <v>2360</v>
      </c>
      <c r="C2153" t="s">
        <v>4625</v>
      </c>
      <c r="D2153" t="s">
        <v>133</v>
      </c>
      <c r="E2153" t="s">
        <v>6210</v>
      </c>
    </row>
    <row r="2154" spans="1:5" x14ac:dyDescent="0.3">
      <c r="A2154" t="s">
        <v>7411</v>
      </c>
      <c r="B2154" t="s">
        <v>7412</v>
      </c>
      <c r="C2154" t="s">
        <v>7397</v>
      </c>
      <c r="D2154" t="s">
        <v>2704</v>
      </c>
      <c r="E2154" t="s">
        <v>7413</v>
      </c>
    </row>
    <row r="2155" spans="1:5" x14ac:dyDescent="0.3">
      <c r="A2155" t="s">
        <v>2515</v>
      </c>
      <c r="B2155" t="s">
        <v>2516</v>
      </c>
      <c r="C2155" t="s">
        <v>1087</v>
      </c>
      <c r="D2155" t="s">
        <v>1088</v>
      </c>
      <c r="E2155" t="s">
        <v>2517</v>
      </c>
    </row>
    <row r="2156" spans="1:5" x14ac:dyDescent="0.3">
      <c r="A2156" t="s">
        <v>2456</v>
      </c>
      <c r="B2156" t="s">
        <v>2457</v>
      </c>
      <c r="C2156" t="s">
        <v>1140</v>
      </c>
      <c r="D2156" t="s">
        <v>1088</v>
      </c>
      <c r="E2156" t="s">
        <v>2458</v>
      </c>
    </row>
    <row r="2157" spans="1:5" x14ac:dyDescent="0.3">
      <c r="A2157" t="s">
        <v>2459</v>
      </c>
      <c r="B2157" t="s">
        <v>2460</v>
      </c>
      <c r="C2157" t="s">
        <v>1140</v>
      </c>
      <c r="D2157" t="s">
        <v>1088</v>
      </c>
      <c r="E2157" t="s">
        <v>2461</v>
      </c>
    </row>
    <row r="2158" spans="1:5" x14ac:dyDescent="0.3">
      <c r="A2158" t="s">
        <v>5710</v>
      </c>
      <c r="B2158" t="s">
        <v>5711</v>
      </c>
      <c r="C2158" t="s">
        <v>2696</v>
      </c>
      <c r="D2158" t="s">
        <v>2696</v>
      </c>
      <c r="E2158" t="s">
        <v>5712</v>
      </c>
    </row>
    <row r="2159" spans="1:5" x14ac:dyDescent="0.3">
      <c r="A2159" t="s">
        <v>5733</v>
      </c>
      <c r="B2159" t="s">
        <v>5734</v>
      </c>
      <c r="C2159" t="s">
        <v>2696</v>
      </c>
      <c r="D2159" t="s">
        <v>2696</v>
      </c>
      <c r="E2159" t="s">
        <v>5735</v>
      </c>
    </row>
    <row r="2160" spans="1:5" x14ac:dyDescent="0.3">
      <c r="A2160" t="s">
        <v>6498</v>
      </c>
      <c r="B2160" t="s">
        <v>6499</v>
      </c>
      <c r="C2160" t="s">
        <v>3850</v>
      </c>
      <c r="D2160" t="s">
        <v>3712</v>
      </c>
      <c r="E2160" t="s">
        <v>6500</v>
      </c>
    </row>
    <row r="2161" spans="1:5" x14ac:dyDescent="0.3">
      <c r="A2161" t="s">
        <v>6521</v>
      </c>
      <c r="B2161" t="s">
        <v>6522</v>
      </c>
      <c r="C2161" t="s">
        <v>2840</v>
      </c>
      <c r="D2161" t="s">
        <v>2841</v>
      </c>
      <c r="E2161" t="s">
        <v>6523</v>
      </c>
    </row>
    <row r="2162" spans="1:5" x14ac:dyDescent="0.3">
      <c r="A2162" t="s">
        <v>5831</v>
      </c>
      <c r="B2162" t="s">
        <v>5832</v>
      </c>
      <c r="C2162" t="s">
        <v>2696</v>
      </c>
      <c r="D2162" t="s">
        <v>2696</v>
      </c>
      <c r="E2162" t="s">
        <v>5833</v>
      </c>
    </row>
    <row r="2163" spans="1:5" x14ac:dyDescent="0.3">
      <c r="A2163" t="s">
        <v>5855</v>
      </c>
      <c r="B2163" t="s">
        <v>5856</v>
      </c>
      <c r="C2163" t="s">
        <v>2696</v>
      </c>
      <c r="D2163" t="s">
        <v>2696</v>
      </c>
      <c r="E2163" t="s">
        <v>5857</v>
      </c>
    </row>
    <row r="2164" spans="1:5" x14ac:dyDescent="0.3">
      <c r="A2164" t="s">
        <v>7052</v>
      </c>
      <c r="B2164" t="s">
        <v>7053</v>
      </c>
      <c r="C2164" t="s">
        <v>4308</v>
      </c>
      <c r="D2164" t="s">
        <v>133</v>
      </c>
      <c r="E2164" t="s">
        <v>7054</v>
      </c>
    </row>
    <row r="2165" spans="1:5" x14ac:dyDescent="0.3">
      <c r="A2165" t="s">
        <v>7074</v>
      </c>
      <c r="B2165" t="s">
        <v>7075</v>
      </c>
      <c r="C2165" t="s">
        <v>4308</v>
      </c>
      <c r="D2165" t="s">
        <v>133</v>
      </c>
      <c r="E2165" t="s">
        <v>7076</v>
      </c>
    </row>
    <row r="2166" spans="1:5" x14ac:dyDescent="0.3">
      <c r="A2166" t="s">
        <v>2518</v>
      </c>
      <c r="B2166" t="s">
        <v>2519</v>
      </c>
      <c r="C2166" t="s">
        <v>1087</v>
      </c>
      <c r="D2166" t="s">
        <v>1088</v>
      </c>
      <c r="E2166" t="s">
        <v>2520</v>
      </c>
    </row>
    <row r="2167" spans="1:5" x14ac:dyDescent="0.3">
      <c r="A2167" t="s">
        <v>7436</v>
      </c>
      <c r="B2167" t="s">
        <v>7437</v>
      </c>
      <c r="C2167" t="s">
        <v>3860</v>
      </c>
      <c r="D2167" t="s">
        <v>2704</v>
      </c>
      <c r="E2167" t="s">
        <v>7438</v>
      </c>
    </row>
    <row r="2168" spans="1:5" x14ac:dyDescent="0.3">
      <c r="A2168" t="s">
        <v>6232</v>
      </c>
      <c r="B2168" t="s">
        <v>4753</v>
      </c>
      <c r="C2168" t="s">
        <v>4733</v>
      </c>
      <c r="D2168" t="s">
        <v>2704</v>
      </c>
      <c r="E2168" t="s">
        <v>6233</v>
      </c>
    </row>
    <row r="2169" spans="1:5" x14ac:dyDescent="0.3">
      <c r="A2169" t="s">
        <v>6255</v>
      </c>
      <c r="B2169" t="s">
        <v>6256</v>
      </c>
      <c r="C2169" t="s">
        <v>134</v>
      </c>
      <c r="D2169" t="s">
        <v>133</v>
      </c>
      <c r="E2169" t="s">
        <v>6257</v>
      </c>
    </row>
    <row r="2170" spans="1:5" x14ac:dyDescent="0.3">
      <c r="A2170" t="s">
        <v>6545</v>
      </c>
      <c r="B2170" t="s">
        <v>6546</v>
      </c>
      <c r="C2170" t="s">
        <v>2840</v>
      </c>
      <c r="D2170" t="s">
        <v>2841</v>
      </c>
      <c r="E2170" t="s">
        <v>6547</v>
      </c>
    </row>
    <row r="2171" spans="1:5" x14ac:dyDescent="0.3">
      <c r="A2171" t="s">
        <v>6568</v>
      </c>
      <c r="B2171" t="s">
        <v>6569</v>
      </c>
      <c r="C2171" t="s">
        <v>4469</v>
      </c>
      <c r="D2171" t="s">
        <v>2709</v>
      </c>
      <c r="E2171" t="s">
        <v>6570</v>
      </c>
    </row>
    <row r="2172" spans="1:5" x14ac:dyDescent="0.3">
      <c r="A2172" t="s">
        <v>5877</v>
      </c>
      <c r="B2172" t="s">
        <v>5878</v>
      </c>
      <c r="C2172" t="s">
        <v>2696</v>
      </c>
      <c r="D2172" t="s">
        <v>2696</v>
      </c>
      <c r="E2172" t="s">
        <v>5879</v>
      </c>
    </row>
    <row r="2173" spans="1:5" x14ac:dyDescent="0.3">
      <c r="A2173" t="s">
        <v>5901</v>
      </c>
      <c r="B2173" t="s">
        <v>5902</v>
      </c>
      <c r="C2173" t="s">
        <v>2696</v>
      </c>
      <c r="D2173" t="s">
        <v>2696</v>
      </c>
      <c r="E2173" t="s">
        <v>5903</v>
      </c>
    </row>
    <row r="2174" spans="1:5" x14ac:dyDescent="0.3">
      <c r="A2174" t="s">
        <v>7098</v>
      </c>
      <c r="B2174" t="s">
        <v>7099</v>
      </c>
      <c r="C2174" t="s">
        <v>3758</v>
      </c>
      <c r="D2174" t="s">
        <v>3712</v>
      </c>
      <c r="E2174" t="s">
        <v>7100</v>
      </c>
    </row>
    <row r="2175" spans="1:5" x14ac:dyDescent="0.3">
      <c r="A2175" t="s">
        <v>7120</v>
      </c>
      <c r="B2175" t="s">
        <v>7121</v>
      </c>
      <c r="C2175" t="s">
        <v>3758</v>
      </c>
      <c r="D2175" t="s">
        <v>3712</v>
      </c>
      <c r="E2175" t="s">
        <v>7122</v>
      </c>
    </row>
    <row r="2176" spans="1:5" x14ac:dyDescent="0.3">
      <c r="A2176" t="s">
        <v>6278</v>
      </c>
      <c r="B2176" t="s">
        <v>6279</v>
      </c>
      <c r="C2176" t="s">
        <v>134</v>
      </c>
      <c r="D2176" t="s">
        <v>133</v>
      </c>
      <c r="E2176" t="s">
        <v>6280</v>
      </c>
    </row>
    <row r="2177" spans="1:5" x14ac:dyDescent="0.3">
      <c r="A2177" t="s">
        <v>2010</v>
      </c>
      <c r="B2177" t="s">
        <v>2011</v>
      </c>
      <c r="C2177" t="s">
        <v>1153</v>
      </c>
      <c r="D2177" t="s">
        <v>1088</v>
      </c>
      <c r="E2177" t="s">
        <v>2012</v>
      </c>
    </row>
    <row r="2178" spans="1:5" x14ac:dyDescent="0.3">
      <c r="A2178" t="s">
        <v>7459</v>
      </c>
      <c r="B2178" t="s">
        <v>7460</v>
      </c>
      <c r="C2178" t="s">
        <v>4649</v>
      </c>
      <c r="D2178" t="s">
        <v>3712</v>
      </c>
      <c r="E2178" t="s">
        <v>7461</v>
      </c>
    </row>
    <row r="2179" spans="1:5" x14ac:dyDescent="0.3">
      <c r="A2179" t="s">
        <v>7480</v>
      </c>
      <c r="B2179" t="s">
        <v>7481</v>
      </c>
      <c r="C2179" t="s">
        <v>4246</v>
      </c>
      <c r="D2179" t="s">
        <v>2709</v>
      </c>
      <c r="E2179" t="s">
        <v>7482</v>
      </c>
    </row>
    <row r="2180" spans="1:5" x14ac:dyDescent="0.3">
      <c r="A2180" t="s">
        <v>6592</v>
      </c>
      <c r="B2180" t="s">
        <v>6593</v>
      </c>
      <c r="C2180" t="s">
        <v>4469</v>
      </c>
      <c r="D2180" t="s">
        <v>2709</v>
      </c>
      <c r="E2180" t="s">
        <v>6594</v>
      </c>
    </row>
    <row r="2181" spans="1:5" x14ac:dyDescent="0.3">
      <c r="A2181" t="s">
        <v>1989</v>
      </c>
      <c r="B2181" t="s">
        <v>1990</v>
      </c>
      <c r="C2181" t="s">
        <v>1140</v>
      </c>
      <c r="D2181" t="s">
        <v>1088</v>
      </c>
      <c r="E2181" t="s">
        <v>1991</v>
      </c>
    </row>
    <row r="2182" spans="1:5" x14ac:dyDescent="0.3">
      <c r="A2182" t="s">
        <v>5925</v>
      </c>
      <c r="B2182" t="s">
        <v>5926</v>
      </c>
      <c r="C2182" t="s">
        <v>2696</v>
      </c>
      <c r="D2182" t="s">
        <v>2696</v>
      </c>
      <c r="E2182" t="s">
        <v>5927</v>
      </c>
    </row>
    <row r="2183" spans="1:5" x14ac:dyDescent="0.3">
      <c r="A2183" t="s">
        <v>5948</v>
      </c>
      <c r="B2183" t="s">
        <v>5949</v>
      </c>
      <c r="C2183" t="s">
        <v>2696</v>
      </c>
      <c r="D2183" t="s">
        <v>2696</v>
      </c>
      <c r="E2183" t="s">
        <v>5950</v>
      </c>
    </row>
    <row r="2184" spans="1:5" x14ac:dyDescent="0.3">
      <c r="A2184" t="s">
        <v>2019</v>
      </c>
      <c r="B2184" t="s">
        <v>2020</v>
      </c>
      <c r="C2184" t="s">
        <v>1501</v>
      </c>
      <c r="D2184" t="s">
        <v>1088</v>
      </c>
      <c r="E2184" t="s">
        <v>2021</v>
      </c>
    </row>
    <row r="2185" spans="1:5" x14ac:dyDescent="0.3">
      <c r="A2185" t="s">
        <v>6308</v>
      </c>
      <c r="B2185" t="s">
        <v>3165</v>
      </c>
      <c r="C2185" t="s">
        <v>4229</v>
      </c>
      <c r="D2185" t="s">
        <v>2841</v>
      </c>
      <c r="E2185" t="s">
        <v>6309</v>
      </c>
    </row>
    <row r="2186" spans="1:5" x14ac:dyDescent="0.3">
      <c r="A2186" t="s">
        <v>7142</v>
      </c>
      <c r="B2186" t="s">
        <v>5621</v>
      </c>
      <c r="C2186" t="s">
        <v>3711</v>
      </c>
      <c r="D2186" t="s">
        <v>3712</v>
      </c>
      <c r="E2186" t="s">
        <v>7143</v>
      </c>
    </row>
    <row r="2187" spans="1:5" x14ac:dyDescent="0.3">
      <c r="A2187" t="s">
        <v>7165</v>
      </c>
      <c r="B2187" t="s">
        <v>5016</v>
      </c>
      <c r="C2187" t="s">
        <v>4595</v>
      </c>
      <c r="D2187" t="s">
        <v>133</v>
      </c>
      <c r="E2187" t="s">
        <v>7166</v>
      </c>
    </row>
    <row r="2188" spans="1:5" x14ac:dyDescent="0.3">
      <c r="A2188" t="s">
        <v>5972</v>
      </c>
      <c r="B2188" t="s">
        <v>5973</v>
      </c>
      <c r="C2188" t="s">
        <v>2696</v>
      </c>
      <c r="D2188" t="s">
        <v>2696</v>
      </c>
      <c r="E2188" t="s">
        <v>5974</v>
      </c>
    </row>
    <row r="2189" spans="1:5" x14ac:dyDescent="0.3">
      <c r="A2189" t="s">
        <v>5996</v>
      </c>
      <c r="B2189" t="s">
        <v>5997</v>
      </c>
      <c r="C2189" t="s">
        <v>2696</v>
      </c>
      <c r="D2189" t="s">
        <v>2696</v>
      </c>
      <c r="E2189" t="s">
        <v>5998</v>
      </c>
    </row>
    <row r="2190" spans="1:5" x14ac:dyDescent="0.3">
      <c r="A2190" t="s">
        <v>7187</v>
      </c>
      <c r="B2190" t="s">
        <v>7188</v>
      </c>
      <c r="C2190" t="s">
        <v>6333</v>
      </c>
      <c r="D2190" t="s">
        <v>2709</v>
      </c>
      <c r="E2190" t="s">
        <v>7189</v>
      </c>
    </row>
    <row r="2191" spans="1:5" x14ac:dyDescent="0.3">
      <c r="A2191" t="s">
        <v>7209</v>
      </c>
      <c r="B2191" t="s">
        <v>7210</v>
      </c>
      <c r="C2191" t="s">
        <v>2851</v>
      </c>
      <c r="D2191" t="s">
        <v>2852</v>
      </c>
      <c r="E2191" t="s">
        <v>7211</v>
      </c>
    </row>
    <row r="2192" spans="1:5" x14ac:dyDescent="0.3">
      <c r="A2192" t="s">
        <v>6624</v>
      </c>
      <c r="B2192" t="s">
        <v>6625</v>
      </c>
      <c r="C2192" t="s">
        <v>4246</v>
      </c>
      <c r="D2192" t="s">
        <v>2709</v>
      </c>
      <c r="E2192" t="s">
        <v>6626</v>
      </c>
    </row>
    <row r="2193" spans="1:5" x14ac:dyDescent="0.3">
      <c r="A2193" t="s">
        <v>6648</v>
      </c>
      <c r="B2193" t="s">
        <v>6649</v>
      </c>
      <c r="C2193" t="s">
        <v>4595</v>
      </c>
      <c r="D2193" t="s">
        <v>133</v>
      </c>
      <c r="E2193" t="s">
        <v>6650</v>
      </c>
    </row>
    <row r="2194" spans="1:5" x14ac:dyDescent="0.3">
      <c r="A2194" t="s">
        <v>5756</v>
      </c>
      <c r="B2194" t="s">
        <v>5363</v>
      </c>
      <c r="C2194" t="s">
        <v>2696</v>
      </c>
      <c r="D2194" t="s">
        <v>2696</v>
      </c>
      <c r="E2194" t="s">
        <v>5757</v>
      </c>
    </row>
    <row r="2195" spans="1:5" x14ac:dyDescent="0.3">
      <c r="A2195" t="s">
        <v>5777</v>
      </c>
      <c r="B2195" t="s">
        <v>5778</v>
      </c>
      <c r="C2195" t="s">
        <v>2696</v>
      </c>
      <c r="D2195" t="s">
        <v>2696</v>
      </c>
      <c r="E2195" t="s">
        <v>5779</v>
      </c>
    </row>
    <row r="2196" spans="1:5" x14ac:dyDescent="0.3">
      <c r="A2196" t="s">
        <v>5293</v>
      </c>
      <c r="B2196" t="s">
        <v>5294</v>
      </c>
      <c r="C2196" t="s">
        <v>3860</v>
      </c>
      <c r="D2196" t="s">
        <v>2704</v>
      </c>
      <c r="E2196" t="s">
        <v>5295</v>
      </c>
    </row>
    <row r="2197" spans="1:5" x14ac:dyDescent="0.3">
      <c r="A2197" t="s">
        <v>5316</v>
      </c>
      <c r="B2197" t="s">
        <v>5317</v>
      </c>
      <c r="C2197" t="s">
        <v>3860</v>
      </c>
      <c r="D2197" t="s">
        <v>2704</v>
      </c>
      <c r="E2197" t="s">
        <v>5318</v>
      </c>
    </row>
    <row r="2198" spans="1:5" x14ac:dyDescent="0.3">
      <c r="A2198" t="s">
        <v>2486</v>
      </c>
      <c r="B2198" t="s">
        <v>2487</v>
      </c>
      <c r="C2198" t="s">
        <v>1140</v>
      </c>
      <c r="D2198" t="s">
        <v>1088</v>
      </c>
      <c r="E2198" t="s">
        <v>2488</v>
      </c>
    </row>
    <row r="2199" spans="1:5" x14ac:dyDescent="0.3">
      <c r="A2199" t="s">
        <v>6018</v>
      </c>
      <c r="B2199" t="s">
        <v>6019</v>
      </c>
      <c r="C2199" t="s">
        <v>2696</v>
      </c>
      <c r="D2199" t="s">
        <v>2696</v>
      </c>
      <c r="E2199" t="s">
        <v>6020</v>
      </c>
    </row>
    <row r="2200" spans="1:5" x14ac:dyDescent="0.3">
      <c r="A2200" t="s">
        <v>6041</v>
      </c>
      <c r="B2200" t="s">
        <v>6042</v>
      </c>
      <c r="C2200" t="s">
        <v>2696</v>
      </c>
      <c r="D2200" t="s">
        <v>2696</v>
      </c>
      <c r="E2200" t="s">
        <v>6043</v>
      </c>
    </row>
    <row r="2201" spans="1:5" x14ac:dyDescent="0.3">
      <c r="A2201" t="s">
        <v>6671</v>
      </c>
      <c r="B2201" t="s">
        <v>6672</v>
      </c>
      <c r="C2201" t="s">
        <v>4595</v>
      </c>
      <c r="D2201" t="s">
        <v>133</v>
      </c>
      <c r="E2201" t="s">
        <v>6673</v>
      </c>
    </row>
    <row r="2202" spans="1:5" x14ac:dyDescent="0.3">
      <c r="A2202" t="s">
        <v>6694</v>
      </c>
      <c r="B2202" t="s">
        <v>6695</v>
      </c>
      <c r="C2202" t="s">
        <v>6574</v>
      </c>
      <c r="D2202" t="s">
        <v>2852</v>
      </c>
      <c r="E2202" t="s">
        <v>6696</v>
      </c>
    </row>
    <row r="2203" spans="1:5" x14ac:dyDescent="0.3">
      <c r="A2203" t="s">
        <v>5331</v>
      </c>
      <c r="B2203" t="s">
        <v>5332</v>
      </c>
      <c r="C2203" t="s">
        <v>2696</v>
      </c>
      <c r="D2203" t="s">
        <v>2696</v>
      </c>
      <c r="E2203" t="s">
        <v>5333</v>
      </c>
    </row>
    <row r="2204" spans="1:5" x14ac:dyDescent="0.3">
      <c r="A2204" t="s">
        <v>5354</v>
      </c>
      <c r="B2204" t="s">
        <v>3275</v>
      </c>
      <c r="C2204" t="s">
        <v>2696</v>
      </c>
      <c r="D2204" t="s">
        <v>2696</v>
      </c>
      <c r="E2204" t="s">
        <v>5355</v>
      </c>
    </row>
    <row r="2205" spans="1:5" x14ac:dyDescent="0.3">
      <c r="A2205" t="s">
        <v>7240</v>
      </c>
      <c r="B2205" t="s">
        <v>4424</v>
      </c>
      <c r="C2205" t="s">
        <v>3768</v>
      </c>
      <c r="D2205" t="s">
        <v>2852</v>
      </c>
      <c r="E2205" t="s">
        <v>7241</v>
      </c>
    </row>
    <row r="2206" spans="1:5" x14ac:dyDescent="0.3">
      <c r="A2206" t="s">
        <v>7261</v>
      </c>
      <c r="B2206" t="s">
        <v>7262</v>
      </c>
      <c r="C2206" t="s">
        <v>3758</v>
      </c>
      <c r="D2206" t="s">
        <v>3712</v>
      </c>
      <c r="E2206" t="s">
        <v>7263</v>
      </c>
    </row>
    <row r="2207" spans="1:5" x14ac:dyDescent="0.3">
      <c r="A2207" t="s">
        <v>7503</v>
      </c>
      <c r="B2207" t="s">
        <v>5613</v>
      </c>
      <c r="C2207" t="s">
        <v>4246</v>
      </c>
      <c r="D2207" t="s">
        <v>2709</v>
      </c>
      <c r="E2207" t="s">
        <v>7504</v>
      </c>
    </row>
    <row r="2208" spans="1:5" x14ac:dyDescent="0.3">
      <c r="A2208" t="s">
        <v>2716</v>
      </c>
      <c r="B2208" t="s">
        <v>2717</v>
      </c>
      <c r="C2208" t="s">
        <v>2708</v>
      </c>
      <c r="D2208" t="s">
        <v>2709</v>
      </c>
      <c r="E2208" t="s">
        <v>2718</v>
      </c>
    </row>
    <row r="2209" spans="1:5" x14ac:dyDescent="0.3">
      <c r="A2209" t="s">
        <v>5774</v>
      </c>
      <c r="B2209" t="s">
        <v>5775</v>
      </c>
      <c r="C2209" t="s">
        <v>2696</v>
      </c>
      <c r="D2209" t="s">
        <v>2696</v>
      </c>
      <c r="E2209" t="s">
        <v>5776</v>
      </c>
    </row>
    <row r="2210" spans="1:5" x14ac:dyDescent="0.3">
      <c r="A2210" t="s">
        <v>5798</v>
      </c>
      <c r="B2210" t="s">
        <v>5799</v>
      </c>
      <c r="C2210" t="s">
        <v>2696</v>
      </c>
      <c r="D2210" t="s">
        <v>2696</v>
      </c>
      <c r="E2210" t="s">
        <v>5800</v>
      </c>
    </row>
    <row r="2211" spans="1:5" x14ac:dyDescent="0.3">
      <c r="A2211" t="s">
        <v>6716</v>
      </c>
      <c r="B2211" t="s">
        <v>6717</v>
      </c>
      <c r="C2211" t="s">
        <v>4207</v>
      </c>
      <c r="D2211" t="s">
        <v>133</v>
      </c>
      <c r="E2211" t="s">
        <v>6718</v>
      </c>
    </row>
    <row r="2212" spans="1:5" x14ac:dyDescent="0.3">
      <c r="A2212" t="s">
        <v>2022</v>
      </c>
      <c r="B2212" t="s">
        <v>2023</v>
      </c>
      <c r="C2212" t="s">
        <v>1533</v>
      </c>
      <c r="D2212" t="s">
        <v>1111</v>
      </c>
      <c r="E2212" t="s">
        <v>2024</v>
      </c>
    </row>
    <row r="2213" spans="1:5" x14ac:dyDescent="0.3">
      <c r="A2213" t="s">
        <v>5377</v>
      </c>
      <c r="B2213" t="s">
        <v>5378</v>
      </c>
      <c r="C2213" t="s">
        <v>2696</v>
      </c>
      <c r="D2213" t="s">
        <v>2696</v>
      </c>
      <c r="E2213" t="s">
        <v>5379</v>
      </c>
    </row>
    <row r="2214" spans="1:5" x14ac:dyDescent="0.3">
      <c r="A2214" t="s">
        <v>5401</v>
      </c>
      <c r="B2214" t="s">
        <v>5402</v>
      </c>
      <c r="C2214" t="s">
        <v>2696</v>
      </c>
      <c r="D2214" t="s">
        <v>2696</v>
      </c>
      <c r="E2214" t="s">
        <v>5403</v>
      </c>
    </row>
    <row r="2215" spans="1:5" x14ac:dyDescent="0.3">
      <c r="A2215" t="s">
        <v>6064</v>
      </c>
      <c r="B2215" t="s">
        <v>6065</v>
      </c>
      <c r="C2215" t="s">
        <v>2696</v>
      </c>
      <c r="D2215" t="s">
        <v>2696</v>
      </c>
      <c r="E2215" t="s">
        <v>6066</v>
      </c>
    </row>
    <row r="2216" spans="1:5" x14ac:dyDescent="0.3">
      <c r="A2216" t="s">
        <v>6087</v>
      </c>
      <c r="B2216" t="s">
        <v>6088</v>
      </c>
      <c r="C2216" t="s">
        <v>2696</v>
      </c>
      <c r="D2216" t="s">
        <v>2696</v>
      </c>
      <c r="E2216" t="s">
        <v>6089</v>
      </c>
    </row>
    <row r="2217" spans="1:5" x14ac:dyDescent="0.3">
      <c r="A2217" t="s">
        <v>7285</v>
      </c>
      <c r="B2217" t="s">
        <v>7286</v>
      </c>
      <c r="C2217" t="s">
        <v>3758</v>
      </c>
      <c r="D2217" t="s">
        <v>3712</v>
      </c>
      <c r="E2217" t="s">
        <v>7287</v>
      </c>
    </row>
    <row r="2218" spans="1:5" x14ac:dyDescent="0.3">
      <c r="A2218" t="s">
        <v>7309</v>
      </c>
      <c r="B2218" t="s">
        <v>7310</v>
      </c>
      <c r="C2218" t="s">
        <v>6574</v>
      </c>
      <c r="D2218" t="s">
        <v>2852</v>
      </c>
      <c r="E2218" t="s">
        <v>7311</v>
      </c>
    </row>
    <row r="2219" spans="1:5" x14ac:dyDescent="0.3">
      <c r="A2219" t="s">
        <v>6732</v>
      </c>
      <c r="B2219" t="s">
        <v>5583</v>
      </c>
      <c r="C2219" t="s">
        <v>3906</v>
      </c>
      <c r="D2219" t="s">
        <v>133</v>
      </c>
      <c r="E2219" t="s">
        <v>6733</v>
      </c>
    </row>
    <row r="2220" spans="1:5" x14ac:dyDescent="0.3">
      <c r="A2220" t="s">
        <v>6754</v>
      </c>
      <c r="B2220" t="s">
        <v>6755</v>
      </c>
      <c r="C2220" t="s">
        <v>6747</v>
      </c>
      <c r="D2220" t="s">
        <v>133</v>
      </c>
      <c r="E2220" t="s">
        <v>6756</v>
      </c>
    </row>
    <row r="2221" spans="1:5" x14ac:dyDescent="0.3">
      <c r="A2221" t="s">
        <v>5801</v>
      </c>
      <c r="B2221" t="s">
        <v>5802</v>
      </c>
      <c r="C2221" t="s">
        <v>2696</v>
      </c>
      <c r="D2221" t="s">
        <v>2696</v>
      </c>
      <c r="E2221" t="s">
        <v>5803</v>
      </c>
    </row>
    <row r="2222" spans="1:5" x14ac:dyDescent="0.3">
      <c r="A2222" t="s">
        <v>5825</v>
      </c>
      <c r="B2222" t="s">
        <v>5826</v>
      </c>
      <c r="C2222" t="s">
        <v>2696</v>
      </c>
      <c r="D2222" t="s">
        <v>2696</v>
      </c>
      <c r="E2222" t="s">
        <v>5827</v>
      </c>
    </row>
    <row r="2223" spans="1:5" x14ac:dyDescent="0.3">
      <c r="A2223" t="s">
        <v>7332</v>
      </c>
      <c r="B2223" t="s">
        <v>7333</v>
      </c>
      <c r="C2223" t="s">
        <v>6333</v>
      </c>
      <c r="D2223" t="s">
        <v>2709</v>
      </c>
      <c r="E2223" t="s">
        <v>7334</v>
      </c>
    </row>
    <row r="2224" spans="1:5" x14ac:dyDescent="0.3">
      <c r="A2224" t="s">
        <v>7357</v>
      </c>
      <c r="B2224" t="s">
        <v>7358</v>
      </c>
      <c r="C2224" t="s">
        <v>7344</v>
      </c>
      <c r="D2224" t="s">
        <v>2704</v>
      </c>
      <c r="E2224" t="s">
        <v>7359</v>
      </c>
    </row>
    <row r="2225" spans="1:5" x14ac:dyDescent="0.3">
      <c r="A2225" t="s">
        <v>5423</v>
      </c>
      <c r="B2225" t="s">
        <v>5424</v>
      </c>
      <c r="C2225" t="s">
        <v>2696</v>
      </c>
      <c r="D2225" t="s">
        <v>2696</v>
      </c>
      <c r="E2225" t="s">
        <v>5425</v>
      </c>
    </row>
    <row r="2226" spans="1:5" x14ac:dyDescent="0.3">
      <c r="A2226" t="s">
        <v>5446</v>
      </c>
      <c r="B2226" t="s">
        <v>5447</v>
      </c>
      <c r="C2226" t="s">
        <v>2696</v>
      </c>
      <c r="D2226" t="s">
        <v>2696</v>
      </c>
      <c r="E2226" t="s">
        <v>5448</v>
      </c>
    </row>
    <row r="2227" spans="1:5" x14ac:dyDescent="0.3">
      <c r="A2227" t="s">
        <v>2028</v>
      </c>
      <c r="B2227" t="s">
        <v>2029</v>
      </c>
      <c r="C2227" t="s">
        <v>1087</v>
      </c>
      <c r="D2227" t="s">
        <v>1088</v>
      </c>
      <c r="E2227" t="s">
        <v>2030</v>
      </c>
    </row>
    <row r="2228" spans="1:5" x14ac:dyDescent="0.3">
      <c r="A2228" t="s">
        <v>6340</v>
      </c>
      <c r="B2228" t="s">
        <v>6341</v>
      </c>
      <c r="C2228" t="s">
        <v>6333</v>
      </c>
      <c r="D2228" t="s">
        <v>2709</v>
      </c>
      <c r="E2228" t="s">
        <v>6342</v>
      </c>
    </row>
    <row r="2229" spans="1:5" x14ac:dyDescent="0.3">
      <c r="A2229" t="s">
        <v>7380</v>
      </c>
      <c r="B2229" t="s">
        <v>4172</v>
      </c>
      <c r="C2229" t="s">
        <v>4229</v>
      </c>
      <c r="D2229" t="s">
        <v>2841</v>
      </c>
      <c r="E2229" t="s">
        <v>7381</v>
      </c>
    </row>
    <row r="2230" spans="1:5" x14ac:dyDescent="0.3">
      <c r="A2230" t="s">
        <v>7394</v>
      </c>
      <c r="B2230" t="s">
        <v>7395</v>
      </c>
      <c r="C2230" t="s">
        <v>7397</v>
      </c>
      <c r="D2230" t="s">
        <v>2704</v>
      </c>
      <c r="E2230" t="s">
        <v>7396</v>
      </c>
    </row>
    <row r="2231" spans="1:5" x14ac:dyDescent="0.3">
      <c r="A2231" t="s">
        <v>5467</v>
      </c>
      <c r="B2231" t="s">
        <v>2196</v>
      </c>
      <c r="C2231" t="s">
        <v>2696</v>
      </c>
      <c r="D2231" t="s">
        <v>2696</v>
      </c>
      <c r="E2231" t="s">
        <v>5468</v>
      </c>
    </row>
    <row r="2232" spans="1:5" x14ac:dyDescent="0.3">
      <c r="A2232" t="s">
        <v>5489</v>
      </c>
      <c r="B2232" t="s">
        <v>5490</v>
      </c>
      <c r="C2232" t="s">
        <v>2696</v>
      </c>
      <c r="D2232" t="s">
        <v>2696</v>
      </c>
      <c r="E2232" t="s">
        <v>5491</v>
      </c>
    </row>
    <row r="2233" spans="1:5" x14ac:dyDescent="0.3">
      <c r="A2233" t="s">
        <v>6109</v>
      </c>
      <c r="B2233" t="s">
        <v>6110</v>
      </c>
      <c r="C2233" t="s">
        <v>2696</v>
      </c>
      <c r="D2233" t="s">
        <v>2696</v>
      </c>
      <c r="E2233" t="s">
        <v>6111</v>
      </c>
    </row>
    <row r="2234" spans="1:5" x14ac:dyDescent="0.3">
      <c r="A2234" t="s">
        <v>2174</v>
      </c>
      <c r="B2234" t="s">
        <v>2175</v>
      </c>
      <c r="C2234" t="s">
        <v>1196</v>
      </c>
      <c r="D2234" t="s">
        <v>1088</v>
      </c>
      <c r="E2234" t="s">
        <v>2176</v>
      </c>
    </row>
    <row r="2235" spans="1:5" x14ac:dyDescent="0.3">
      <c r="A2235" t="s">
        <v>6350</v>
      </c>
      <c r="B2235" t="s">
        <v>6351</v>
      </c>
      <c r="C2235" t="s">
        <v>6349</v>
      </c>
      <c r="D2235" t="s">
        <v>2841</v>
      </c>
      <c r="E2235" t="s">
        <v>6352</v>
      </c>
    </row>
    <row r="2236" spans="1:5" x14ac:dyDescent="0.3">
      <c r="A2236" t="s">
        <v>5822</v>
      </c>
      <c r="B2236" t="s">
        <v>5823</v>
      </c>
      <c r="C2236" t="s">
        <v>2696</v>
      </c>
      <c r="D2236" t="s">
        <v>2696</v>
      </c>
      <c r="E2236" t="s">
        <v>5824</v>
      </c>
    </row>
    <row r="2237" spans="1:5" x14ac:dyDescent="0.3">
      <c r="A2237" t="s">
        <v>5846</v>
      </c>
      <c r="B2237" t="s">
        <v>5847</v>
      </c>
      <c r="C2237" t="s">
        <v>2696</v>
      </c>
      <c r="D2237" t="s">
        <v>2696</v>
      </c>
      <c r="E2237" t="s">
        <v>5848</v>
      </c>
    </row>
    <row r="2238" spans="1:5" x14ac:dyDescent="0.3">
      <c r="A2238" t="s">
        <v>7417</v>
      </c>
      <c r="B2238" t="s">
        <v>7418</v>
      </c>
      <c r="C2238" t="s">
        <v>7397</v>
      </c>
      <c r="D2238" t="s">
        <v>2704</v>
      </c>
      <c r="E2238" t="s">
        <v>7419</v>
      </c>
    </row>
    <row r="2239" spans="1:5" x14ac:dyDescent="0.3">
      <c r="A2239" t="s">
        <v>2501</v>
      </c>
      <c r="B2239" t="s">
        <v>2502</v>
      </c>
      <c r="C2239" t="s">
        <v>1087</v>
      </c>
      <c r="D2239" t="s">
        <v>1088</v>
      </c>
    </row>
    <row r="2240" spans="1:5" x14ac:dyDescent="0.3">
      <c r="A2240" t="s">
        <v>5849</v>
      </c>
      <c r="B2240" t="s">
        <v>5850</v>
      </c>
      <c r="C2240" t="s">
        <v>2696</v>
      </c>
      <c r="D2240" t="s">
        <v>2696</v>
      </c>
      <c r="E2240" t="s">
        <v>5851</v>
      </c>
    </row>
    <row r="2241" spans="1:5" x14ac:dyDescent="0.3">
      <c r="A2241" t="s">
        <v>5871</v>
      </c>
      <c r="B2241" t="s">
        <v>5872</v>
      </c>
      <c r="C2241" t="s">
        <v>2696</v>
      </c>
      <c r="D2241" t="s">
        <v>2696</v>
      </c>
      <c r="E2241" t="s">
        <v>5873</v>
      </c>
    </row>
    <row r="2242" spans="1:5" x14ac:dyDescent="0.3">
      <c r="A2242" t="s">
        <v>5512</v>
      </c>
      <c r="B2242" t="s">
        <v>5513</v>
      </c>
      <c r="C2242" t="s">
        <v>2696</v>
      </c>
      <c r="D2242" t="s">
        <v>2696</v>
      </c>
      <c r="E2242" t="s">
        <v>5514</v>
      </c>
    </row>
    <row r="2243" spans="1:5" x14ac:dyDescent="0.3">
      <c r="A2243" t="s">
        <v>2040</v>
      </c>
      <c r="B2243" t="s">
        <v>1090</v>
      </c>
      <c r="C2243" t="s">
        <v>1543</v>
      </c>
      <c r="D2243" t="s">
        <v>1088</v>
      </c>
      <c r="E2243" t="s">
        <v>2041</v>
      </c>
    </row>
    <row r="2244" spans="1:5" x14ac:dyDescent="0.3">
      <c r="A2244" t="s">
        <v>2042</v>
      </c>
      <c r="B2244" t="s">
        <v>2043</v>
      </c>
      <c r="C2244" t="s">
        <v>1209</v>
      </c>
      <c r="D2244" t="s">
        <v>1088</v>
      </c>
      <c r="E2244" t="s">
        <v>2044</v>
      </c>
    </row>
    <row r="2245" spans="1:5" x14ac:dyDescent="0.3">
      <c r="A2245" t="s">
        <v>5868</v>
      </c>
      <c r="B2245" t="s">
        <v>5869</v>
      </c>
      <c r="C2245" t="s">
        <v>2696</v>
      </c>
      <c r="D2245" t="s">
        <v>2696</v>
      </c>
      <c r="E2245" t="s">
        <v>5870</v>
      </c>
    </row>
    <row r="2246" spans="1:5" x14ac:dyDescent="0.3">
      <c r="A2246" t="s">
        <v>5892</v>
      </c>
      <c r="B2246" t="s">
        <v>5893</v>
      </c>
      <c r="C2246" t="s">
        <v>2696</v>
      </c>
      <c r="D2246" t="s">
        <v>2696</v>
      </c>
      <c r="E2246" t="s">
        <v>5894</v>
      </c>
    </row>
    <row r="2247" spans="1:5" x14ac:dyDescent="0.3">
      <c r="A2247" t="s">
        <v>2512</v>
      </c>
      <c r="B2247" t="s">
        <v>2513</v>
      </c>
      <c r="C2247" t="s">
        <v>1087</v>
      </c>
      <c r="D2247" t="s">
        <v>1088</v>
      </c>
      <c r="E2247" t="s">
        <v>2514</v>
      </c>
    </row>
    <row r="2248" spans="1:5" x14ac:dyDescent="0.3">
      <c r="A2248" t="s">
        <v>7442</v>
      </c>
      <c r="B2248" t="s">
        <v>7443</v>
      </c>
      <c r="E2248" t="s">
        <v>7444</v>
      </c>
    </row>
    <row r="2249" spans="1:5" x14ac:dyDescent="0.3">
      <c r="A2249" t="s">
        <v>6135</v>
      </c>
      <c r="B2249" t="s">
        <v>6136</v>
      </c>
      <c r="C2249" t="s">
        <v>4308</v>
      </c>
      <c r="D2249" t="s">
        <v>133</v>
      </c>
      <c r="E2249" t="s">
        <v>6137</v>
      </c>
    </row>
    <row r="2250" spans="1:5" x14ac:dyDescent="0.3">
      <c r="A2250" t="s">
        <v>6159</v>
      </c>
      <c r="B2250" t="s">
        <v>6160</v>
      </c>
      <c r="C2250" t="s">
        <v>2840</v>
      </c>
      <c r="D2250" t="s">
        <v>2841</v>
      </c>
      <c r="E2250" t="s">
        <v>6161</v>
      </c>
    </row>
    <row r="2251" spans="1:5" x14ac:dyDescent="0.3">
      <c r="A2251" t="s">
        <v>5536</v>
      </c>
      <c r="B2251" t="s">
        <v>5537</v>
      </c>
      <c r="C2251" t="s">
        <v>2696</v>
      </c>
      <c r="D2251" t="s">
        <v>2696</v>
      </c>
      <c r="E2251" t="s">
        <v>5538</v>
      </c>
    </row>
    <row r="2252" spans="1:5" x14ac:dyDescent="0.3">
      <c r="A2252" t="s">
        <v>5560</v>
      </c>
      <c r="B2252" t="s">
        <v>5561</v>
      </c>
      <c r="C2252" t="s">
        <v>2696</v>
      </c>
      <c r="D2252" t="s">
        <v>2696</v>
      </c>
      <c r="E2252" t="s">
        <v>5562</v>
      </c>
    </row>
    <row r="2253" spans="1:5" x14ac:dyDescent="0.3">
      <c r="A2253" t="s">
        <v>6373</v>
      </c>
      <c r="B2253" t="s">
        <v>6374</v>
      </c>
      <c r="C2253" t="s">
        <v>4086</v>
      </c>
      <c r="D2253" t="s">
        <v>2704</v>
      </c>
      <c r="E2253" t="s">
        <v>6375</v>
      </c>
    </row>
    <row r="2254" spans="1:5" x14ac:dyDescent="0.3">
      <c r="A2254" t="s">
        <v>6396</v>
      </c>
      <c r="B2254" t="s">
        <v>6397</v>
      </c>
      <c r="C2254" t="s">
        <v>4086</v>
      </c>
      <c r="D2254" t="s">
        <v>2704</v>
      </c>
      <c r="E2254" t="s">
        <v>6398</v>
      </c>
    </row>
    <row r="2255" spans="1:5" x14ac:dyDescent="0.3">
      <c r="A2255" t="s">
        <v>5916</v>
      </c>
      <c r="B2255" t="s">
        <v>5917</v>
      </c>
      <c r="C2255" t="s">
        <v>2696</v>
      </c>
      <c r="D2255" t="s">
        <v>2696</v>
      </c>
      <c r="E2255" t="s">
        <v>5918</v>
      </c>
    </row>
    <row r="2256" spans="1:5" x14ac:dyDescent="0.3">
      <c r="A2256" t="s">
        <v>5939</v>
      </c>
      <c r="B2256" t="s">
        <v>5940</v>
      </c>
      <c r="C2256" t="s">
        <v>2696</v>
      </c>
      <c r="D2256" t="s">
        <v>2696</v>
      </c>
      <c r="E2256" t="s">
        <v>5941</v>
      </c>
    </row>
    <row r="2257" spans="1:5" x14ac:dyDescent="0.3">
      <c r="A2257" t="s">
        <v>7465</v>
      </c>
      <c r="B2257" t="s">
        <v>7466</v>
      </c>
      <c r="C2257" t="s">
        <v>4649</v>
      </c>
      <c r="D2257" t="s">
        <v>3712</v>
      </c>
      <c r="E2257" t="s">
        <v>7467</v>
      </c>
    </row>
    <row r="2258" spans="1:5" x14ac:dyDescent="0.3">
      <c r="A2258" t="s">
        <v>7486</v>
      </c>
      <c r="B2258" t="s">
        <v>7487</v>
      </c>
      <c r="C2258" t="s">
        <v>4246</v>
      </c>
      <c r="D2258" t="s">
        <v>2709</v>
      </c>
      <c r="E2258" t="s">
        <v>7488</v>
      </c>
    </row>
    <row r="2259" spans="1:5" x14ac:dyDescent="0.3">
      <c r="A2259" t="s">
        <v>6183</v>
      </c>
      <c r="B2259" t="s">
        <v>6184</v>
      </c>
      <c r="C2259" t="s">
        <v>4086</v>
      </c>
      <c r="D2259" t="s">
        <v>2704</v>
      </c>
      <c r="E2259" t="s">
        <v>6185</v>
      </c>
    </row>
    <row r="2260" spans="1:5" x14ac:dyDescent="0.3">
      <c r="A2260" t="s">
        <v>2225</v>
      </c>
      <c r="B2260" t="s">
        <v>2226</v>
      </c>
      <c r="C2260" t="s">
        <v>1501</v>
      </c>
      <c r="D2260" t="s">
        <v>1088</v>
      </c>
      <c r="E2260" t="s">
        <v>2227</v>
      </c>
    </row>
    <row r="2261" spans="1:5" x14ac:dyDescent="0.3">
      <c r="A2261" t="s">
        <v>5895</v>
      </c>
      <c r="B2261" t="s">
        <v>5896</v>
      </c>
      <c r="C2261" t="s">
        <v>2696</v>
      </c>
      <c r="D2261" t="s">
        <v>2696</v>
      </c>
      <c r="E2261" t="s">
        <v>5897</v>
      </c>
    </row>
    <row r="2262" spans="1:5" x14ac:dyDescent="0.3">
      <c r="A2262" t="s">
        <v>5919</v>
      </c>
      <c r="B2262" t="s">
        <v>5920</v>
      </c>
      <c r="C2262" t="s">
        <v>2696</v>
      </c>
      <c r="D2262" t="s">
        <v>2696</v>
      </c>
      <c r="E2262" t="s">
        <v>5921</v>
      </c>
    </row>
    <row r="2263" spans="1:5" x14ac:dyDescent="0.3">
      <c r="A2263" t="s">
        <v>6420</v>
      </c>
      <c r="B2263" t="s">
        <v>6421</v>
      </c>
      <c r="C2263" t="s">
        <v>2708</v>
      </c>
      <c r="D2263" t="s">
        <v>2709</v>
      </c>
      <c r="E2263" t="s">
        <v>6422</v>
      </c>
    </row>
    <row r="2264" spans="1:5" x14ac:dyDescent="0.3">
      <c r="A2264" t="s">
        <v>6443</v>
      </c>
      <c r="B2264" t="s">
        <v>6444</v>
      </c>
      <c r="C2264" t="s">
        <v>2708</v>
      </c>
      <c r="D2264" t="s">
        <v>2709</v>
      </c>
      <c r="E2264" t="s">
        <v>6445</v>
      </c>
    </row>
    <row r="2265" spans="1:5" x14ac:dyDescent="0.3">
      <c r="A2265" t="s">
        <v>5963</v>
      </c>
      <c r="B2265" t="s">
        <v>5964</v>
      </c>
      <c r="C2265" t="s">
        <v>2696</v>
      </c>
      <c r="D2265" t="s">
        <v>2696</v>
      </c>
      <c r="E2265" t="s">
        <v>5965</v>
      </c>
    </row>
    <row r="2266" spans="1:5" x14ac:dyDescent="0.3">
      <c r="A2266" t="s">
        <v>5987</v>
      </c>
      <c r="B2266" t="s">
        <v>5988</v>
      </c>
      <c r="C2266" t="s">
        <v>2696</v>
      </c>
      <c r="D2266" t="s">
        <v>2696</v>
      </c>
      <c r="E2266" t="s">
        <v>5989</v>
      </c>
    </row>
    <row r="2267" spans="1:5" x14ac:dyDescent="0.3">
      <c r="A2267" t="s">
        <v>7508</v>
      </c>
      <c r="B2267" t="s">
        <v>7509</v>
      </c>
      <c r="C2267" t="s">
        <v>4246</v>
      </c>
      <c r="D2267" t="s">
        <v>2709</v>
      </c>
      <c r="E2267" t="s">
        <v>7510</v>
      </c>
    </row>
    <row r="2268" spans="1:5" x14ac:dyDescent="0.3">
      <c r="A2268" t="s">
        <v>2722</v>
      </c>
      <c r="B2268" t="s">
        <v>2723</v>
      </c>
      <c r="C2268" t="s">
        <v>2708</v>
      </c>
      <c r="D2268" t="s">
        <v>2709</v>
      </c>
      <c r="E2268" t="s">
        <v>2724</v>
      </c>
    </row>
    <row r="2269" spans="1:5" x14ac:dyDescent="0.3">
      <c r="A2269" t="s">
        <v>2228</v>
      </c>
      <c r="B2269" t="s">
        <v>2229</v>
      </c>
      <c r="C2269" t="s">
        <v>1209</v>
      </c>
      <c r="D2269" t="s">
        <v>1088</v>
      </c>
      <c r="E2269" t="s">
        <v>2230</v>
      </c>
    </row>
    <row r="2270" spans="1:5" x14ac:dyDescent="0.3">
      <c r="A2270" t="s">
        <v>6200</v>
      </c>
      <c r="B2270" t="s">
        <v>6201</v>
      </c>
      <c r="C2270" t="s">
        <v>4625</v>
      </c>
      <c r="D2270" t="s">
        <v>133</v>
      </c>
      <c r="E2270" t="s">
        <v>6202</v>
      </c>
    </row>
    <row r="2271" spans="1:5" x14ac:dyDescent="0.3">
      <c r="A2271" t="s">
        <v>5942</v>
      </c>
      <c r="B2271" t="s">
        <v>5943</v>
      </c>
      <c r="C2271" t="s">
        <v>2696</v>
      </c>
      <c r="D2271" t="s">
        <v>2696</v>
      </c>
      <c r="E2271" t="s">
        <v>5944</v>
      </c>
    </row>
    <row r="2272" spans="1:5" x14ac:dyDescent="0.3">
      <c r="A2272" t="s">
        <v>5582</v>
      </c>
      <c r="B2272" t="s">
        <v>5583</v>
      </c>
      <c r="C2272" t="s">
        <v>2696</v>
      </c>
      <c r="D2272" t="s">
        <v>2696</v>
      </c>
      <c r="E2272" t="s">
        <v>5584</v>
      </c>
    </row>
    <row r="2273" spans="1:5" x14ac:dyDescent="0.3">
      <c r="A2273" t="s">
        <v>5606</v>
      </c>
      <c r="B2273" t="s">
        <v>5607</v>
      </c>
      <c r="C2273" t="s">
        <v>2696</v>
      </c>
      <c r="D2273" t="s">
        <v>2696</v>
      </c>
      <c r="E2273" t="s">
        <v>5608</v>
      </c>
    </row>
    <row r="2274" spans="1:5" x14ac:dyDescent="0.3">
      <c r="A2274" t="s">
        <v>6223</v>
      </c>
      <c r="B2274" t="s">
        <v>6224</v>
      </c>
      <c r="C2274" t="s">
        <v>4733</v>
      </c>
      <c r="D2274" t="s">
        <v>2704</v>
      </c>
      <c r="E2274" t="s">
        <v>6225</v>
      </c>
    </row>
    <row r="2275" spans="1:5" x14ac:dyDescent="0.3">
      <c r="A2275" t="s">
        <v>6246</v>
      </c>
      <c r="B2275" t="s">
        <v>6247</v>
      </c>
      <c r="C2275" t="s">
        <v>134</v>
      </c>
      <c r="D2275" t="s">
        <v>133</v>
      </c>
      <c r="E2275" t="s">
        <v>6248</v>
      </c>
    </row>
    <row r="2276" spans="1:5" x14ac:dyDescent="0.3">
      <c r="A2276" t="s">
        <v>6466</v>
      </c>
      <c r="B2276" t="s">
        <v>6467</v>
      </c>
      <c r="C2276" t="s">
        <v>2840</v>
      </c>
      <c r="D2276" t="s">
        <v>2841</v>
      </c>
      <c r="E2276" t="s">
        <v>6468</v>
      </c>
    </row>
    <row r="2277" spans="1:5" x14ac:dyDescent="0.3">
      <c r="A2277" t="s">
        <v>2066</v>
      </c>
      <c r="B2277" t="s">
        <v>2067</v>
      </c>
      <c r="C2277" t="s">
        <v>1110</v>
      </c>
      <c r="D2277" t="s">
        <v>1111</v>
      </c>
      <c r="E2277" t="s">
        <v>2068</v>
      </c>
    </row>
    <row r="2278" spans="1:5" x14ac:dyDescent="0.3">
      <c r="A2278" t="s">
        <v>6010</v>
      </c>
      <c r="B2278" t="s">
        <v>2190</v>
      </c>
      <c r="C2278" t="s">
        <v>2696</v>
      </c>
      <c r="D2278" t="s">
        <v>2696</v>
      </c>
      <c r="E2278" t="s">
        <v>6011</v>
      </c>
    </row>
    <row r="2279" spans="1:5" x14ac:dyDescent="0.3">
      <c r="A2279" t="s">
        <v>6033</v>
      </c>
      <c r="B2279" t="s">
        <v>6034</v>
      </c>
      <c r="C2279" t="s">
        <v>2696</v>
      </c>
      <c r="D2279" t="s">
        <v>2696</v>
      </c>
      <c r="E2279" t="s">
        <v>6035</v>
      </c>
    </row>
    <row r="2280" spans="1:5" x14ac:dyDescent="0.3">
      <c r="A2280" t="s">
        <v>5966</v>
      </c>
      <c r="B2280" t="s">
        <v>5967</v>
      </c>
      <c r="C2280" t="s">
        <v>2696</v>
      </c>
      <c r="D2280" t="s">
        <v>2696</v>
      </c>
      <c r="E2280" t="s">
        <v>5968</v>
      </c>
    </row>
    <row r="2281" spans="1:5" x14ac:dyDescent="0.3">
      <c r="A2281" t="s">
        <v>5990</v>
      </c>
      <c r="B2281" t="s">
        <v>5991</v>
      </c>
      <c r="C2281" t="s">
        <v>2696</v>
      </c>
      <c r="D2281" t="s">
        <v>2696</v>
      </c>
      <c r="E2281" t="s">
        <v>5992</v>
      </c>
    </row>
    <row r="2282" spans="1:5" x14ac:dyDescent="0.3">
      <c r="A2282" t="s">
        <v>5628</v>
      </c>
      <c r="B2282" t="s">
        <v>5629</v>
      </c>
      <c r="C2282" t="s">
        <v>2696</v>
      </c>
      <c r="D2282" t="s">
        <v>2696</v>
      </c>
      <c r="E2282" t="s">
        <v>5630</v>
      </c>
    </row>
    <row r="2283" spans="1:5" x14ac:dyDescent="0.3">
      <c r="A2283" t="s">
        <v>5651</v>
      </c>
      <c r="B2283" t="s">
        <v>5652</v>
      </c>
      <c r="C2283" t="s">
        <v>2696</v>
      </c>
      <c r="D2283" t="s">
        <v>2696</v>
      </c>
      <c r="E2283" t="s">
        <v>5653</v>
      </c>
    </row>
    <row r="2284" spans="1:5" x14ac:dyDescent="0.3">
      <c r="A2284" t="s">
        <v>2069</v>
      </c>
      <c r="B2284" t="s">
        <v>2070</v>
      </c>
      <c r="C2284" t="s">
        <v>1110</v>
      </c>
      <c r="D2284" t="s">
        <v>1111</v>
      </c>
      <c r="E2284" t="s">
        <v>2071</v>
      </c>
    </row>
    <row r="2285" spans="1:5" x14ac:dyDescent="0.3">
      <c r="A2285" t="s">
        <v>2075</v>
      </c>
      <c r="B2285" t="s">
        <v>2076</v>
      </c>
      <c r="C2285" t="s">
        <v>1110</v>
      </c>
      <c r="D2285" t="s">
        <v>1111</v>
      </c>
      <c r="E2285" t="s">
        <v>2077</v>
      </c>
    </row>
    <row r="2286" spans="1:5" x14ac:dyDescent="0.3">
      <c r="A2286" t="s">
        <v>6056</v>
      </c>
      <c r="B2286" t="s">
        <v>6057</v>
      </c>
      <c r="C2286" t="s">
        <v>2696</v>
      </c>
      <c r="D2286" t="s">
        <v>2696</v>
      </c>
      <c r="E2286" t="s">
        <v>6058</v>
      </c>
    </row>
    <row r="2287" spans="1:5" x14ac:dyDescent="0.3">
      <c r="A2287" t="s">
        <v>6078</v>
      </c>
      <c r="B2287" t="s">
        <v>6079</v>
      </c>
      <c r="C2287" t="s">
        <v>2696</v>
      </c>
      <c r="D2287" t="s">
        <v>2696</v>
      </c>
      <c r="E2287" t="s">
        <v>6080</v>
      </c>
    </row>
    <row r="2288" spans="1:5" x14ac:dyDescent="0.3">
      <c r="A2288" t="s">
        <v>6012</v>
      </c>
      <c r="B2288" t="s">
        <v>6013</v>
      </c>
      <c r="C2288" t="s">
        <v>2696</v>
      </c>
      <c r="D2288" t="s">
        <v>2696</v>
      </c>
      <c r="E2288" t="s">
        <v>6014</v>
      </c>
    </row>
    <row r="2289" spans="1:5" x14ac:dyDescent="0.3">
      <c r="A2289" t="s">
        <v>6036</v>
      </c>
      <c r="B2289" t="s">
        <v>6037</v>
      </c>
      <c r="C2289" t="s">
        <v>2696</v>
      </c>
      <c r="D2289" t="s">
        <v>2696</v>
      </c>
      <c r="E2289" t="s">
        <v>6038</v>
      </c>
    </row>
    <row r="2290" spans="1:5" x14ac:dyDescent="0.3">
      <c r="A2290" t="s">
        <v>2740</v>
      </c>
      <c r="B2290" t="s">
        <v>2741</v>
      </c>
      <c r="C2290" t="s">
        <v>2708</v>
      </c>
      <c r="D2290" t="s">
        <v>2709</v>
      </c>
      <c r="E2290" t="s">
        <v>2742</v>
      </c>
    </row>
    <row r="2291" spans="1:5" x14ac:dyDescent="0.3">
      <c r="A2291" t="s">
        <v>2763</v>
      </c>
      <c r="B2291" t="s">
        <v>2764</v>
      </c>
      <c r="C2291" t="s">
        <v>2696</v>
      </c>
      <c r="D2291" t="s">
        <v>2696</v>
      </c>
      <c r="E2291" t="s">
        <v>2765</v>
      </c>
    </row>
    <row r="2292" spans="1:5" x14ac:dyDescent="0.3">
      <c r="A2292" t="s">
        <v>2746</v>
      </c>
      <c r="B2292" t="s">
        <v>2747</v>
      </c>
      <c r="C2292" t="s">
        <v>134</v>
      </c>
      <c r="D2292" t="s">
        <v>133</v>
      </c>
      <c r="E2292" t="s">
        <v>2748</v>
      </c>
    </row>
    <row r="2293" spans="1:5" x14ac:dyDescent="0.3">
      <c r="A2293" t="s">
        <v>2768</v>
      </c>
      <c r="B2293" t="s">
        <v>2196</v>
      </c>
      <c r="C2293" t="s">
        <v>2696</v>
      </c>
      <c r="D2293" t="s">
        <v>2696</v>
      </c>
      <c r="E2293" t="s">
        <v>2769</v>
      </c>
    </row>
    <row r="2294" spans="1:5" x14ac:dyDescent="0.3">
      <c r="A2294" t="s">
        <v>6101</v>
      </c>
      <c r="B2294" t="s">
        <v>6102</v>
      </c>
      <c r="C2294" t="s">
        <v>2696</v>
      </c>
      <c r="D2294" t="s">
        <v>2696</v>
      </c>
      <c r="E2294" t="s">
        <v>6103</v>
      </c>
    </row>
    <row r="2295" spans="1:5" x14ac:dyDescent="0.3">
      <c r="A2295" t="s">
        <v>6124</v>
      </c>
      <c r="B2295" t="s">
        <v>6125</v>
      </c>
      <c r="C2295" t="s">
        <v>2696</v>
      </c>
      <c r="D2295" t="s">
        <v>2696</v>
      </c>
      <c r="E2295" t="s">
        <v>6126</v>
      </c>
    </row>
    <row r="2296" spans="1:5" x14ac:dyDescent="0.3">
      <c r="A2296" t="s">
        <v>6059</v>
      </c>
      <c r="B2296" t="s">
        <v>2750</v>
      </c>
      <c r="C2296" t="s">
        <v>2696</v>
      </c>
      <c r="D2296" t="s">
        <v>2696</v>
      </c>
      <c r="E2296" t="s">
        <v>6060</v>
      </c>
    </row>
    <row r="2297" spans="1:5" x14ac:dyDescent="0.3">
      <c r="A2297" t="s">
        <v>6081</v>
      </c>
      <c r="B2297" t="s">
        <v>6082</v>
      </c>
      <c r="C2297" t="s">
        <v>2696</v>
      </c>
      <c r="D2297" t="s">
        <v>2696</v>
      </c>
      <c r="E2297" t="s">
        <v>6083</v>
      </c>
    </row>
    <row r="2298" spans="1:5" x14ac:dyDescent="0.3">
      <c r="A2298" t="s">
        <v>5675</v>
      </c>
      <c r="B2298" t="s">
        <v>4707</v>
      </c>
      <c r="C2298" t="s">
        <v>2696</v>
      </c>
      <c r="D2298" t="s">
        <v>2696</v>
      </c>
      <c r="E2298" t="s">
        <v>5676</v>
      </c>
    </row>
    <row r="2299" spans="1:5" x14ac:dyDescent="0.3">
      <c r="A2299" t="s">
        <v>5696</v>
      </c>
      <c r="B2299" t="s">
        <v>5697</v>
      </c>
      <c r="C2299" t="s">
        <v>2696</v>
      </c>
      <c r="D2299" t="s">
        <v>2696</v>
      </c>
      <c r="E2299" t="s">
        <v>5698</v>
      </c>
    </row>
    <row r="2300" spans="1:5" x14ac:dyDescent="0.3">
      <c r="A2300" t="s">
        <v>6510</v>
      </c>
      <c r="B2300" t="s">
        <v>6511</v>
      </c>
      <c r="C2300" t="s">
        <v>3850</v>
      </c>
      <c r="D2300" t="s">
        <v>3712</v>
      </c>
      <c r="E2300" t="s">
        <v>6512</v>
      </c>
    </row>
    <row r="2301" spans="1:5" x14ac:dyDescent="0.3">
      <c r="A2301" t="s">
        <v>6533</v>
      </c>
      <c r="B2301" t="s">
        <v>6534</v>
      </c>
      <c r="C2301" t="s">
        <v>2840</v>
      </c>
      <c r="D2301" t="s">
        <v>2841</v>
      </c>
      <c r="E2301" t="s">
        <v>6535</v>
      </c>
    </row>
    <row r="2302" spans="1:5" x14ac:dyDescent="0.3">
      <c r="A2302" t="s">
        <v>2791</v>
      </c>
      <c r="B2302" t="s">
        <v>2792</v>
      </c>
      <c r="C2302" t="s">
        <v>2696</v>
      </c>
      <c r="D2302" t="s">
        <v>2696</v>
      </c>
      <c r="E2302" t="s">
        <v>2793</v>
      </c>
    </row>
    <row r="2303" spans="1:5" x14ac:dyDescent="0.3">
      <c r="A2303" t="s">
        <v>2815</v>
      </c>
      <c r="B2303" t="s">
        <v>2816</v>
      </c>
      <c r="C2303" t="s">
        <v>2708</v>
      </c>
      <c r="D2303" t="s">
        <v>2709</v>
      </c>
      <c r="E2303" t="s">
        <v>2817</v>
      </c>
    </row>
    <row r="2304" spans="1:5" x14ac:dyDescent="0.3">
      <c r="A2304" t="s">
        <v>2785</v>
      </c>
      <c r="B2304" t="s">
        <v>2786</v>
      </c>
      <c r="C2304" t="s">
        <v>2696</v>
      </c>
      <c r="D2304" t="s">
        <v>2696</v>
      </c>
      <c r="E2304" t="s">
        <v>2787</v>
      </c>
    </row>
    <row r="2305" spans="1:5" x14ac:dyDescent="0.3">
      <c r="A2305" t="s">
        <v>6104</v>
      </c>
      <c r="B2305" t="s">
        <v>1478</v>
      </c>
      <c r="C2305" t="s">
        <v>2696</v>
      </c>
      <c r="D2305" t="s">
        <v>2696</v>
      </c>
      <c r="E2305" t="s">
        <v>6105</v>
      </c>
    </row>
    <row r="2306" spans="1:5" x14ac:dyDescent="0.3">
      <c r="A2306" t="s">
        <v>2448</v>
      </c>
      <c r="B2306" t="s">
        <v>2449</v>
      </c>
      <c r="C2306" t="s">
        <v>1196</v>
      </c>
      <c r="D2306" t="s">
        <v>1088</v>
      </c>
      <c r="E2306" t="s">
        <v>2450</v>
      </c>
    </row>
    <row r="2307" spans="1:5" x14ac:dyDescent="0.3">
      <c r="A2307" t="s">
        <v>5719</v>
      </c>
      <c r="B2307" t="s">
        <v>5720</v>
      </c>
      <c r="C2307" t="s">
        <v>2696</v>
      </c>
      <c r="D2307" t="s">
        <v>2696</v>
      </c>
      <c r="E2307" t="s">
        <v>5721</v>
      </c>
    </row>
    <row r="2308" spans="1:5" x14ac:dyDescent="0.3">
      <c r="A2308" t="s">
        <v>5742</v>
      </c>
      <c r="B2308" t="s">
        <v>3245</v>
      </c>
      <c r="C2308" t="s">
        <v>2696</v>
      </c>
      <c r="D2308" t="s">
        <v>2696</v>
      </c>
      <c r="E2308" t="s">
        <v>5743</v>
      </c>
    </row>
    <row r="2309" spans="1:5" x14ac:dyDescent="0.3">
      <c r="A2309" t="s">
        <v>6270</v>
      </c>
      <c r="B2309" t="s">
        <v>6271</v>
      </c>
      <c r="C2309" t="s">
        <v>134</v>
      </c>
      <c r="D2309" t="s">
        <v>133</v>
      </c>
      <c r="E2309" t="s">
        <v>6272</v>
      </c>
    </row>
    <row r="2310" spans="1:5" x14ac:dyDescent="0.3">
      <c r="A2310" t="s">
        <v>2842</v>
      </c>
      <c r="B2310" t="s">
        <v>2843</v>
      </c>
      <c r="C2310" t="s">
        <v>2840</v>
      </c>
      <c r="D2310" t="s">
        <v>2841</v>
      </c>
      <c r="E2310" t="s">
        <v>2844</v>
      </c>
    </row>
    <row r="2311" spans="1:5" x14ac:dyDescent="0.3">
      <c r="A2311" t="s">
        <v>6130</v>
      </c>
      <c r="B2311" t="s">
        <v>6131</v>
      </c>
      <c r="C2311" t="s">
        <v>4308</v>
      </c>
      <c r="D2311" t="s">
        <v>133</v>
      </c>
      <c r="E2311" t="s">
        <v>6132</v>
      </c>
    </row>
    <row r="2312" spans="1:5" x14ac:dyDescent="0.3">
      <c r="A2312" t="s">
        <v>2809</v>
      </c>
      <c r="B2312" t="s">
        <v>2810</v>
      </c>
      <c r="C2312" t="s">
        <v>2708</v>
      </c>
      <c r="D2312" t="s">
        <v>2709</v>
      </c>
      <c r="E2312" t="s">
        <v>2811</v>
      </c>
    </row>
    <row r="2313" spans="1:5" x14ac:dyDescent="0.3">
      <c r="A2313" t="s">
        <v>2834</v>
      </c>
      <c r="B2313" t="s">
        <v>2835</v>
      </c>
      <c r="C2313" t="s">
        <v>2821</v>
      </c>
      <c r="D2313" t="s">
        <v>133</v>
      </c>
      <c r="E2313" t="s">
        <v>2836</v>
      </c>
    </row>
    <row r="2314" spans="1:5" x14ac:dyDescent="0.3">
      <c r="A2314" t="s">
        <v>6776</v>
      </c>
      <c r="B2314" t="s">
        <v>6777</v>
      </c>
      <c r="C2314" t="s">
        <v>6747</v>
      </c>
      <c r="D2314" t="s">
        <v>133</v>
      </c>
      <c r="E2314" t="s">
        <v>6778</v>
      </c>
    </row>
    <row r="2315" spans="1:5" x14ac:dyDescent="0.3">
      <c r="A2315" t="s">
        <v>6800</v>
      </c>
      <c r="B2315" t="s">
        <v>6801</v>
      </c>
      <c r="C2315" t="s">
        <v>3936</v>
      </c>
      <c r="D2315" t="s">
        <v>3712</v>
      </c>
      <c r="E2315" t="s">
        <v>6802</v>
      </c>
    </row>
    <row r="2316" spans="1:5" x14ac:dyDescent="0.3">
      <c r="A2316" t="s">
        <v>1098</v>
      </c>
      <c r="B2316" t="s">
        <v>1099</v>
      </c>
      <c r="C2316" t="s">
        <v>1087</v>
      </c>
      <c r="D2316" t="s">
        <v>1088</v>
      </c>
      <c r="E2316" t="s">
        <v>1100</v>
      </c>
    </row>
    <row r="2317" spans="1:5" x14ac:dyDescent="0.3">
      <c r="A2317" t="s">
        <v>2871</v>
      </c>
      <c r="B2317" t="s">
        <v>2872</v>
      </c>
      <c r="C2317" t="s">
        <v>2696</v>
      </c>
      <c r="D2317" t="s">
        <v>2696</v>
      </c>
      <c r="E2317" t="s">
        <v>2873</v>
      </c>
    </row>
    <row r="2318" spans="1:5" x14ac:dyDescent="0.3">
      <c r="A2318" t="s">
        <v>5764</v>
      </c>
      <c r="B2318" t="s">
        <v>5765</v>
      </c>
      <c r="C2318" t="s">
        <v>2696</v>
      </c>
      <c r="D2318" t="s">
        <v>2696</v>
      </c>
      <c r="E2318" t="s">
        <v>5766</v>
      </c>
    </row>
    <row r="2319" spans="1:5" x14ac:dyDescent="0.3">
      <c r="A2319" t="s">
        <v>5786</v>
      </c>
      <c r="B2319" t="s">
        <v>5787</v>
      </c>
      <c r="C2319" t="s">
        <v>2696</v>
      </c>
      <c r="D2319" t="s">
        <v>2696</v>
      </c>
      <c r="E2319" t="s">
        <v>5788</v>
      </c>
    </row>
    <row r="2320" spans="1:5" x14ac:dyDescent="0.3">
      <c r="A2320" t="s">
        <v>1104</v>
      </c>
      <c r="B2320" t="s">
        <v>1105</v>
      </c>
      <c r="C2320" t="s">
        <v>1087</v>
      </c>
      <c r="D2320" t="s">
        <v>1088</v>
      </c>
      <c r="E2320" t="s">
        <v>1106</v>
      </c>
    </row>
    <row r="2321" spans="1:5" x14ac:dyDescent="0.3">
      <c r="A2321" t="s">
        <v>2865</v>
      </c>
      <c r="B2321" t="s">
        <v>2866</v>
      </c>
      <c r="C2321" t="s">
        <v>2696</v>
      </c>
      <c r="D2321" t="s">
        <v>2696</v>
      </c>
      <c r="E2321" t="s">
        <v>2867</v>
      </c>
    </row>
    <row r="2322" spans="1:5" x14ac:dyDescent="0.3">
      <c r="A2322" t="s">
        <v>6127</v>
      </c>
      <c r="B2322" t="s">
        <v>6128</v>
      </c>
      <c r="C2322" t="s">
        <v>4308</v>
      </c>
      <c r="D2322" t="s">
        <v>133</v>
      </c>
      <c r="E2322" t="s">
        <v>6129</v>
      </c>
    </row>
    <row r="2323" spans="1:5" x14ac:dyDescent="0.3">
      <c r="A2323" t="s">
        <v>5810</v>
      </c>
      <c r="B2323" t="s">
        <v>5811</v>
      </c>
      <c r="C2323" t="s">
        <v>2696</v>
      </c>
      <c r="D2323" t="s">
        <v>2696</v>
      </c>
      <c r="E2323" t="s">
        <v>5812</v>
      </c>
    </row>
    <row r="2324" spans="1:5" x14ac:dyDescent="0.3">
      <c r="A2324" t="s">
        <v>5834</v>
      </c>
      <c r="B2324" t="s">
        <v>5835</v>
      </c>
      <c r="C2324" t="s">
        <v>2696</v>
      </c>
      <c r="D2324" t="s">
        <v>2696</v>
      </c>
      <c r="E2324" t="s">
        <v>5836</v>
      </c>
    </row>
    <row r="2325" spans="1:5" x14ac:dyDescent="0.3">
      <c r="A2325" t="s">
        <v>2894</v>
      </c>
      <c r="B2325" t="s">
        <v>2895</v>
      </c>
      <c r="C2325" t="s">
        <v>2696</v>
      </c>
      <c r="D2325" t="s">
        <v>2696</v>
      </c>
      <c r="E2325" t="s">
        <v>2896</v>
      </c>
    </row>
    <row r="2326" spans="1:5" x14ac:dyDescent="0.3">
      <c r="A2326" t="s">
        <v>2917</v>
      </c>
      <c r="B2326" t="s">
        <v>2918</v>
      </c>
      <c r="C2326" t="s">
        <v>2696</v>
      </c>
      <c r="D2326" t="s">
        <v>2696</v>
      </c>
      <c r="E2326" t="s">
        <v>2919</v>
      </c>
    </row>
    <row r="2327" spans="1:5" x14ac:dyDescent="0.3">
      <c r="A2327" t="s">
        <v>2031</v>
      </c>
      <c r="B2327" t="s">
        <v>2032</v>
      </c>
      <c r="C2327" t="s">
        <v>1523</v>
      </c>
      <c r="D2327" t="s">
        <v>1111</v>
      </c>
      <c r="E2327" t="s">
        <v>2033</v>
      </c>
    </row>
    <row r="2328" spans="1:5" x14ac:dyDescent="0.3">
      <c r="A2328" t="s">
        <v>6824</v>
      </c>
      <c r="B2328" t="s">
        <v>6825</v>
      </c>
      <c r="C2328" t="s">
        <v>4246</v>
      </c>
      <c r="D2328" t="s">
        <v>2709</v>
      </c>
      <c r="E2328" t="s">
        <v>6826</v>
      </c>
    </row>
    <row r="2329" spans="1:5" x14ac:dyDescent="0.3">
      <c r="A2329" t="s">
        <v>6150</v>
      </c>
      <c r="B2329" t="s">
        <v>6151</v>
      </c>
      <c r="C2329" t="s">
        <v>2840</v>
      </c>
      <c r="D2329" t="s">
        <v>2841</v>
      </c>
      <c r="E2329" t="s">
        <v>6152</v>
      </c>
    </row>
    <row r="2330" spans="1:5" x14ac:dyDescent="0.3">
      <c r="A2330" t="s">
        <v>6174</v>
      </c>
      <c r="B2330" t="s">
        <v>6175</v>
      </c>
      <c r="C2330" t="s">
        <v>4086</v>
      </c>
      <c r="D2330" t="s">
        <v>2704</v>
      </c>
      <c r="E2330" t="s">
        <v>6176</v>
      </c>
    </row>
    <row r="2331" spans="1:5" x14ac:dyDescent="0.3">
      <c r="A2331" t="s">
        <v>6556</v>
      </c>
      <c r="B2331" t="s">
        <v>6557</v>
      </c>
      <c r="C2331" t="s">
        <v>2840</v>
      </c>
      <c r="D2331" t="s">
        <v>2841</v>
      </c>
      <c r="E2331" t="s">
        <v>6558</v>
      </c>
    </row>
    <row r="2332" spans="1:5" x14ac:dyDescent="0.3">
      <c r="A2332" t="s">
        <v>6581</v>
      </c>
      <c r="B2332" t="s">
        <v>6582</v>
      </c>
      <c r="C2332" t="s">
        <v>6574</v>
      </c>
      <c r="D2332" t="s">
        <v>2852</v>
      </c>
      <c r="E2332" t="s">
        <v>6583</v>
      </c>
    </row>
    <row r="2333" spans="1:5" x14ac:dyDescent="0.3">
      <c r="A2333" t="s">
        <v>5858</v>
      </c>
      <c r="B2333" t="s">
        <v>5859</v>
      </c>
      <c r="C2333" t="s">
        <v>2696</v>
      </c>
      <c r="D2333" t="s">
        <v>2696</v>
      </c>
      <c r="E2333" t="s">
        <v>5860</v>
      </c>
    </row>
    <row r="2334" spans="1:5" x14ac:dyDescent="0.3">
      <c r="A2334" t="s">
        <v>5880</v>
      </c>
      <c r="B2334" t="s">
        <v>5881</v>
      </c>
      <c r="C2334" t="s">
        <v>2696</v>
      </c>
      <c r="D2334" t="s">
        <v>2696</v>
      </c>
      <c r="E2334" t="s">
        <v>5882</v>
      </c>
    </row>
    <row r="2335" spans="1:5" x14ac:dyDescent="0.3">
      <c r="A2335" t="s">
        <v>2045</v>
      </c>
      <c r="B2335" t="s">
        <v>2046</v>
      </c>
      <c r="C2335" t="s">
        <v>1523</v>
      </c>
      <c r="D2335" t="s">
        <v>1111</v>
      </c>
      <c r="E2335" t="s">
        <v>2047</v>
      </c>
    </row>
    <row r="2336" spans="1:5" x14ac:dyDescent="0.3">
      <c r="A2336" t="s">
        <v>2048</v>
      </c>
      <c r="B2336" t="s">
        <v>2049</v>
      </c>
      <c r="C2336" t="s">
        <v>1115</v>
      </c>
      <c r="D2336" t="s">
        <v>1111</v>
      </c>
      <c r="E2336" t="s">
        <v>2050</v>
      </c>
    </row>
    <row r="2337" spans="1:5" x14ac:dyDescent="0.3">
      <c r="A2337" t="s">
        <v>2888</v>
      </c>
      <c r="B2337" t="s">
        <v>2889</v>
      </c>
      <c r="C2337" t="s">
        <v>2696</v>
      </c>
      <c r="D2337" t="s">
        <v>2696</v>
      </c>
      <c r="E2337" t="s">
        <v>2890</v>
      </c>
    </row>
    <row r="2338" spans="1:5" x14ac:dyDescent="0.3">
      <c r="A2338" t="s">
        <v>2911</v>
      </c>
      <c r="B2338" t="s">
        <v>2912</v>
      </c>
      <c r="C2338" t="s">
        <v>2696</v>
      </c>
      <c r="D2338" t="s">
        <v>2696</v>
      </c>
      <c r="E2338" t="s">
        <v>2913</v>
      </c>
    </row>
    <row r="2339" spans="1:5" x14ac:dyDescent="0.3">
      <c r="A2339" t="s">
        <v>2243</v>
      </c>
      <c r="B2339" t="s">
        <v>2244</v>
      </c>
      <c r="C2339" t="s">
        <v>1153</v>
      </c>
      <c r="D2339" t="s">
        <v>1088</v>
      </c>
      <c r="E2339" t="s">
        <v>2245</v>
      </c>
    </row>
    <row r="2340" spans="1:5" x14ac:dyDescent="0.3">
      <c r="A2340" t="s">
        <v>2246</v>
      </c>
      <c r="B2340" t="s">
        <v>2247</v>
      </c>
      <c r="C2340" t="s">
        <v>1153</v>
      </c>
      <c r="D2340" t="s">
        <v>1088</v>
      </c>
      <c r="E2340" t="s">
        <v>2248</v>
      </c>
    </row>
    <row r="2341" spans="1:5" x14ac:dyDescent="0.3">
      <c r="A2341" t="s">
        <v>2935</v>
      </c>
      <c r="B2341" t="s">
        <v>2936</v>
      </c>
      <c r="C2341" t="s">
        <v>2696</v>
      </c>
      <c r="D2341" t="s">
        <v>2696</v>
      </c>
      <c r="E2341" t="s">
        <v>2937</v>
      </c>
    </row>
    <row r="2342" spans="1:5" x14ac:dyDescent="0.3">
      <c r="A2342" t="s">
        <v>2958</v>
      </c>
      <c r="B2342" t="s">
        <v>2959</v>
      </c>
      <c r="C2342" t="s">
        <v>2696</v>
      </c>
      <c r="D2342" t="s">
        <v>2696</v>
      </c>
      <c r="E2342" t="s">
        <v>2960</v>
      </c>
    </row>
    <row r="2343" spans="1:5" x14ac:dyDescent="0.3">
      <c r="A2343" t="s">
        <v>2096</v>
      </c>
      <c r="B2343" t="s">
        <v>2097</v>
      </c>
      <c r="C2343" t="s">
        <v>1501</v>
      </c>
      <c r="D2343" t="s">
        <v>1088</v>
      </c>
      <c r="E2343" t="s">
        <v>2098</v>
      </c>
    </row>
    <row r="2344" spans="1:5" x14ac:dyDescent="0.3">
      <c r="A2344" t="s">
        <v>2138</v>
      </c>
      <c r="B2344" t="s">
        <v>2139</v>
      </c>
      <c r="C2344" t="s">
        <v>1501</v>
      </c>
      <c r="D2344" t="s">
        <v>1088</v>
      </c>
      <c r="E2344" t="s">
        <v>2140</v>
      </c>
    </row>
    <row r="2345" spans="1:5" x14ac:dyDescent="0.3">
      <c r="A2345" t="s">
        <v>6604</v>
      </c>
      <c r="B2345" t="s">
        <v>6605</v>
      </c>
      <c r="C2345" t="s">
        <v>4469</v>
      </c>
      <c r="D2345" t="s">
        <v>2709</v>
      </c>
      <c r="E2345" t="s">
        <v>6606</v>
      </c>
    </row>
    <row r="2346" spans="1:5" x14ac:dyDescent="0.3">
      <c r="A2346" t="s">
        <v>6613</v>
      </c>
      <c r="B2346" t="s">
        <v>5525</v>
      </c>
      <c r="C2346" t="s">
        <v>4246</v>
      </c>
      <c r="D2346" t="s">
        <v>2709</v>
      </c>
      <c r="E2346" t="s">
        <v>6614</v>
      </c>
    </row>
    <row r="2347" spans="1:5" x14ac:dyDescent="0.3">
      <c r="A2347" t="s">
        <v>5904</v>
      </c>
      <c r="B2347" t="s">
        <v>5905</v>
      </c>
      <c r="C2347" t="s">
        <v>2696</v>
      </c>
      <c r="D2347" t="s">
        <v>2696</v>
      </c>
      <c r="E2347" t="s">
        <v>5906</v>
      </c>
    </row>
    <row r="2348" spans="1:5" x14ac:dyDescent="0.3">
      <c r="A2348" t="s">
        <v>5928</v>
      </c>
      <c r="B2348" t="s">
        <v>3661</v>
      </c>
      <c r="C2348" t="s">
        <v>2696</v>
      </c>
      <c r="D2348" t="s">
        <v>2696</v>
      </c>
      <c r="E2348" t="s">
        <v>5929</v>
      </c>
    </row>
    <row r="2349" spans="1:5" x14ac:dyDescent="0.3">
      <c r="A2349" t="s">
        <v>2054</v>
      </c>
      <c r="B2349" t="s">
        <v>2055</v>
      </c>
      <c r="C2349" t="s">
        <v>1115</v>
      </c>
      <c r="D2349" t="s">
        <v>1111</v>
      </c>
      <c r="E2349" t="s">
        <v>2056</v>
      </c>
    </row>
    <row r="2350" spans="1:5" x14ac:dyDescent="0.3">
      <c r="A2350" t="s">
        <v>6842</v>
      </c>
      <c r="B2350" t="s">
        <v>6843</v>
      </c>
      <c r="C2350" t="s">
        <v>4207</v>
      </c>
      <c r="D2350" t="s">
        <v>133</v>
      </c>
      <c r="E2350" t="s">
        <v>6844</v>
      </c>
    </row>
    <row r="2351" spans="1:5" x14ac:dyDescent="0.3">
      <c r="A2351" t="s">
        <v>6299</v>
      </c>
      <c r="B2351" t="s">
        <v>6300</v>
      </c>
      <c r="C2351" t="s">
        <v>4308</v>
      </c>
      <c r="D2351" t="s">
        <v>133</v>
      </c>
      <c r="E2351" t="s">
        <v>6301</v>
      </c>
    </row>
    <row r="2352" spans="1:5" x14ac:dyDescent="0.3">
      <c r="A2352" t="s">
        <v>6321</v>
      </c>
      <c r="B2352" t="s">
        <v>6322</v>
      </c>
      <c r="C2352" t="s">
        <v>4229</v>
      </c>
      <c r="D2352" t="s">
        <v>2841</v>
      </c>
      <c r="E2352" t="s">
        <v>6323</v>
      </c>
    </row>
    <row r="2353" spans="1:5" x14ac:dyDescent="0.3">
      <c r="A2353" t="s">
        <v>6192</v>
      </c>
      <c r="B2353" t="s">
        <v>6193</v>
      </c>
      <c r="C2353" t="s">
        <v>4625</v>
      </c>
      <c r="D2353" t="s">
        <v>133</v>
      </c>
      <c r="E2353" t="s">
        <v>6194</v>
      </c>
    </row>
    <row r="2354" spans="1:5" x14ac:dyDescent="0.3">
      <c r="A2354" t="s">
        <v>6214</v>
      </c>
      <c r="B2354" t="s">
        <v>6215</v>
      </c>
      <c r="C2354" t="s">
        <v>4625</v>
      </c>
      <c r="D2354" t="s">
        <v>133</v>
      </c>
      <c r="E2354" t="s">
        <v>6216</v>
      </c>
    </row>
    <row r="2355" spans="1:5" x14ac:dyDescent="0.3">
      <c r="A2355" t="s">
        <v>6636</v>
      </c>
      <c r="B2355" t="s">
        <v>6637</v>
      </c>
      <c r="C2355" t="s">
        <v>4595</v>
      </c>
      <c r="D2355" t="s">
        <v>133</v>
      </c>
      <c r="E2355" t="s">
        <v>6638</v>
      </c>
    </row>
    <row r="2356" spans="1:5" x14ac:dyDescent="0.3">
      <c r="A2356" t="s">
        <v>6659</v>
      </c>
      <c r="B2356" t="s">
        <v>6660</v>
      </c>
      <c r="C2356" t="s">
        <v>4595</v>
      </c>
      <c r="D2356" t="s">
        <v>133</v>
      </c>
      <c r="E2356" t="s">
        <v>6661</v>
      </c>
    </row>
    <row r="2357" spans="1:5" x14ac:dyDescent="0.3">
      <c r="A2357" t="s">
        <v>5951</v>
      </c>
      <c r="B2357" t="s">
        <v>5952</v>
      </c>
      <c r="C2357" t="s">
        <v>2696</v>
      </c>
      <c r="D2357" t="s">
        <v>2696</v>
      </c>
      <c r="E2357" t="s">
        <v>5953</v>
      </c>
    </row>
    <row r="2358" spans="1:5" x14ac:dyDescent="0.3">
      <c r="A2358" t="s">
        <v>5975</v>
      </c>
      <c r="B2358" t="s">
        <v>5976</v>
      </c>
      <c r="C2358" t="s">
        <v>2696</v>
      </c>
      <c r="D2358" t="s">
        <v>2696</v>
      </c>
      <c r="E2358" t="s">
        <v>5977</v>
      </c>
    </row>
    <row r="2359" spans="1:5" x14ac:dyDescent="0.3">
      <c r="A2359" t="s">
        <v>2102</v>
      </c>
      <c r="B2359" t="s">
        <v>2103</v>
      </c>
      <c r="C2359" t="s">
        <v>1523</v>
      </c>
      <c r="D2359" t="s">
        <v>1111</v>
      </c>
      <c r="E2359" t="s">
        <v>2104</v>
      </c>
    </row>
    <row r="2360" spans="1:5" x14ac:dyDescent="0.3">
      <c r="A2360" t="s">
        <v>6330</v>
      </c>
      <c r="B2360" t="s">
        <v>6331</v>
      </c>
      <c r="C2360" t="s">
        <v>6333</v>
      </c>
      <c r="D2360" t="s">
        <v>2709</v>
      </c>
      <c r="E2360" t="s">
        <v>6332</v>
      </c>
    </row>
    <row r="2361" spans="1:5" x14ac:dyDescent="0.3">
      <c r="A2361" t="s">
        <v>2267</v>
      </c>
      <c r="B2361" t="s">
        <v>2268</v>
      </c>
      <c r="C2361" t="s">
        <v>1533</v>
      </c>
      <c r="D2361" t="s">
        <v>1111</v>
      </c>
      <c r="E2361" t="s">
        <v>2269</v>
      </c>
    </row>
    <row r="2362" spans="1:5" x14ac:dyDescent="0.3">
      <c r="A2362" t="s">
        <v>2941</v>
      </c>
      <c r="B2362" t="s">
        <v>2942</v>
      </c>
      <c r="C2362" t="s">
        <v>2696</v>
      </c>
      <c r="D2362" t="s">
        <v>2696</v>
      </c>
      <c r="E2362" t="s">
        <v>2943</v>
      </c>
    </row>
    <row r="2363" spans="1:5" x14ac:dyDescent="0.3">
      <c r="A2363" t="s">
        <v>2964</v>
      </c>
      <c r="B2363" t="s">
        <v>2965</v>
      </c>
      <c r="C2363" t="s">
        <v>2696</v>
      </c>
      <c r="D2363" t="s">
        <v>2696</v>
      </c>
      <c r="E2363" t="s">
        <v>2966</v>
      </c>
    </row>
    <row r="2364" spans="1:5" x14ac:dyDescent="0.3">
      <c r="A2364" t="s">
        <v>6683</v>
      </c>
      <c r="B2364" t="s">
        <v>6684</v>
      </c>
      <c r="C2364" t="s">
        <v>4595</v>
      </c>
      <c r="D2364" t="s">
        <v>133</v>
      </c>
      <c r="E2364" t="s">
        <v>6685</v>
      </c>
    </row>
    <row r="2365" spans="1:5" x14ac:dyDescent="0.3">
      <c r="A2365" t="s">
        <v>6706</v>
      </c>
      <c r="B2365" t="s">
        <v>2564</v>
      </c>
      <c r="C2365" t="s">
        <v>6574</v>
      </c>
      <c r="D2365" t="s">
        <v>2852</v>
      </c>
      <c r="E2365" t="s">
        <v>6707</v>
      </c>
    </row>
    <row r="2366" spans="1:5" x14ac:dyDescent="0.3">
      <c r="A2366" t="s">
        <v>6364</v>
      </c>
      <c r="B2366" t="s">
        <v>6365</v>
      </c>
      <c r="C2366" t="s">
        <v>6349</v>
      </c>
      <c r="D2366" t="s">
        <v>2841</v>
      </c>
      <c r="E2366" t="s">
        <v>6366</v>
      </c>
    </row>
    <row r="2367" spans="1:5" x14ac:dyDescent="0.3">
      <c r="A2367" t="s">
        <v>2285</v>
      </c>
      <c r="B2367" t="s">
        <v>2286</v>
      </c>
      <c r="C2367" t="s">
        <v>1209</v>
      </c>
      <c r="D2367" t="s">
        <v>1088</v>
      </c>
      <c r="E2367" t="s">
        <v>2287</v>
      </c>
    </row>
    <row r="2368" spans="1:5" x14ac:dyDescent="0.3">
      <c r="A2368" t="s">
        <v>6863</v>
      </c>
      <c r="B2368" t="s">
        <v>6864</v>
      </c>
      <c r="C2368" t="s">
        <v>2851</v>
      </c>
      <c r="D2368" t="s">
        <v>2852</v>
      </c>
      <c r="E2368" t="s">
        <v>6865</v>
      </c>
    </row>
    <row r="2369" spans="1:5" x14ac:dyDescent="0.3">
      <c r="A2369" t="s">
        <v>6887</v>
      </c>
      <c r="B2369" t="s">
        <v>6888</v>
      </c>
      <c r="C2369" t="s">
        <v>2851</v>
      </c>
      <c r="D2369" t="s">
        <v>2852</v>
      </c>
      <c r="E2369" t="s">
        <v>6889</v>
      </c>
    </row>
    <row r="2370" spans="1:5" x14ac:dyDescent="0.3">
      <c r="A2370" t="s">
        <v>2297</v>
      </c>
      <c r="B2370" t="s">
        <v>2298</v>
      </c>
      <c r="C2370" t="s">
        <v>1209</v>
      </c>
      <c r="D2370" t="s">
        <v>1088</v>
      </c>
      <c r="E2370" t="s">
        <v>2299</v>
      </c>
    </row>
    <row r="2371" spans="1:5" x14ac:dyDescent="0.3">
      <c r="A2371" t="s">
        <v>6388</v>
      </c>
      <c r="B2371" t="s">
        <v>6389</v>
      </c>
      <c r="C2371" t="s">
        <v>4086</v>
      </c>
      <c r="D2371" t="s">
        <v>2704</v>
      </c>
      <c r="E2371" t="s">
        <v>6390</v>
      </c>
    </row>
    <row r="2372" spans="1:5" x14ac:dyDescent="0.3">
      <c r="A2372" t="s">
        <v>6724</v>
      </c>
      <c r="B2372" t="s">
        <v>5439</v>
      </c>
      <c r="C2372" t="s">
        <v>3860</v>
      </c>
      <c r="D2372" t="s">
        <v>2704</v>
      </c>
      <c r="E2372" t="s">
        <v>6725</v>
      </c>
    </row>
    <row r="2373" spans="1:5" x14ac:dyDescent="0.3">
      <c r="A2373" t="s">
        <v>2093</v>
      </c>
      <c r="B2373" t="s">
        <v>2094</v>
      </c>
      <c r="C2373" t="s">
        <v>1533</v>
      </c>
      <c r="D2373" t="s">
        <v>1111</v>
      </c>
      <c r="E2373" t="s">
        <v>2095</v>
      </c>
    </row>
    <row r="2374" spans="1:5" x14ac:dyDescent="0.3">
      <c r="A2374" t="s">
        <v>6237</v>
      </c>
      <c r="B2374" t="s">
        <v>6238</v>
      </c>
      <c r="C2374" t="s">
        <v>134</v>
      </c>
      <c r="D2374" t="s">
        <v>133</v>
      </c>
      <c r="E2374" t="s">
        <v>6239</v>
      </c>
    </row>
    <row r="2375" spans="1:5" x14ac:dyDescent="0.3">
      <c r="A2375" t="s">
        <v>6261</v>
      </c>
      <c r="B2375" t="s">
        <v>6262</v>
      </c>
      <c r="C2375" t="s">
        <v>134</v>
      </c>
      <c r="D2375" t="s">
        <v>133</v>
      </c>
      <c r="E2375" t="s">
        <v>6263</v>
      </c>
    </row>
    <row r="2376" spans="1:5" x14ac:dyDescent="0.3">
      <c r="A2376" t="s">
        <v>6153</v>
      </c>
      <c r="B2376" t="s">
        <v>6154</v>
      </c>
      <c r="C2376" t="s">
        <v>2840</v>
      </c>
      <c r="D2376" t="s">
        <v>2841</v>
      </c>
      <c r="E2376" t="s">
        <v>6155</v>
      </c>
    </row>
    <row r="2377" spans="1:5" x14ac:dyDescent="0.3">
      <c r="A2377" t="s">
        <v>6177</v>
      </c>
      <c r="B2377" t="s">
        <v>6178</v>
      </c>
      <c r="C2377" t="s">
        <v>4086</v>
      </c>
      <c r="D2377" t="s">
        <v>2704</v>
      </c>
      <c r="E2377" t="s">
        <v>6179</v>
      </c>
    </row>
    <row r="2378" spans="1:5" x14ac:dyDescent="0.3">
      <c r="A2378" t="s">
        <v>6741</v>
      </c>
      <c r="B2378" t="s">
        <v>6742</v>
      </c>
      <c r="C2378" t="s">
        <v>4167</v>
      </c>
      <c r="D2378" t="s">
        <v>2852</v>
      </c>
      <c r="E2378" t="s">
        <v>6743</v>
      </c>
    </row>
    <row r="2379" spans="1:5" x14ac:dyDescent="0.3">
      <c r="A2379" t="s">
        <v>6765</v>
      </c>
      <c r="B2379" t="s">
        <v>5439</v>
      </c>
      <c r="C2379" t="s">
        <v>6747</v>
      </c>
      <c r="D2379" t="s">
        <v>133</v>
      </c>
      <c r="E2379" t="s">
        <v>6766</v>
      </c>
    </row>
    <row r="2380" spans="1:5" x14ac:dyDescent="0.3">
      <c r="A2380" t="s">
        <v>2988</v>
      </c>
      <c r="B2380" t="s">
        <v>2989</v>
      </c>
      <c r="C2380" t="s">
        <v>2696</v>
      </c>
      <c r="D2380" t="s">
        <v>2696</v>
      </c>
      <c r="E2380" t="s">
        <v>2990</v>
      </c>
    </row>
    <row r="2381" spans="1:5" x14ac:dyDescent="0.3">
      <c r="A2381" t="s">
        <v>3012</v>
      </c>
      <c r="B2381" t="s">
        <v>3013</v>
      </c>
      <c r="C2381" t="s">
        <v>2696</v>
      </c>
      <c r="D2381" t="s">
        <v>2696</v>
      </c>
      <c r="E2381" t="s">
        <v>3014</v>
      </c>
    </row>
    <row r="2382" spans="1:5" x14ac:dyDescent="0.3">
      <c r="A2382" t="s">
        <v>5999</v>
      </c>
      <c r="B2382" t="s">
        <v>6000</v>
      </c>
      <c r="C2382" t="s">
        <v>2696</v>
      </c>
      <c r="D2382" t="s">
        <v>2696</v>
      </c>
      <c r="E2382" t="s">
        <v>6001</v>
      </c>
    </row>
    <row r="2383" spans="1:5" x14ac:dyDescent="0.3">
      <c r="A2383" t="s">
        <v>6021</v>
      </c>
      <c r="B2383" t="s">
        <v>6022</v>
      </c>
      <c r="C2383" t="s">
        <v>2696</v>
      </c>
      <c r="D2383" t="s">
        <v>2696</v>
      </c>
      <c r="E2383" t="s">
        <v>6023</v>
      </c>
    </row>
    <row r="2384" spans="1:5" x14ac:dyDescent="0.3">
      <c r="A2384" t="s">
        <v>6283</v>
      </c>
      <c r="B2384" t="s">
        <v>6284</v>
      </c>
      <c r="C2384" t="s">
        <v>3906</v>
      </c>
      <c r="D2384" t="s">
        <v>133</v>
      </c>
      <c r="E2384" t="s">
        <v>6285</v>
      </c>
    </row>
    <row r="2385" spans="1:5" x14ac:dyDescent="0.3">
      <c r="A2385" t="s">
        <v>2249</v>
      </c>
      <c r="B2385" t="s">
        <v>2250</v>
      </c>
      <c r="C2385" t="s">
        <v>1153</v>
      </c>
      <c r="D2385" t="s">
        <v>1088</v>
      </c>
      <c r="E2385" t="s">
        <v>2251</v>
      </c>
    </row>
    <row r="2386" spans="1:5" x14ac:dyDescent="0.3">
      <c r="A2386" t="s">
        <v>6788</v>
      </c>
      <c r="B2386" t="s">
        <v>6789</v>
      </c>
      <c r="C2386" t="s">
        <v>6747</v>
      </c>
      <c r="D2386" t="s">
        <v>133</v>
      </c>
      <c r="E2386" t="s">
        <v>6790</v>
      </c>
    </row>
    <row r="2387" spans="1:5" x14ac:dyDescent="0.3">
      <c r="A2387" t="s">
        <v>6812</v>
      </c>
      <c r="B2387" t="s">
        <v>6813</v>
      </c>
      <c r="C2387" t="s">
        <v>3936</v>
      </c>
      <c r="D2387" t="s">
        <v>3712</v>
      </c>
      <c r="E2387" t="s">
        <v>6814</v>
      </c>
    </row>
    <row r="2388" spans="1:5" x14ac:dyDescent="0.3">
      <c r="A2388" t="s">
        <v>6910</v>
      </c>
      <c r="B2388" t="s">
        <v>6911</v>
      </c>
      <c r="C2388" t="s">
        <v>4301</v>
      </c>
      <c r="D2388" t="s">
        <v>2841</v>
      </c>
      <c r="E2388" t="s">
        <v>6912</v>
      </c>
    </row>
    <row r="2389" spans="1:5" x14ac:dyDescent="0.3">
      <c r="A2389" t="s">
        <v>6934</v>
      </c>
      <c r="B2389" t="s">
        <v>6935</v>
      </c>
      <c r="C2389" t="s">
        <v>4301</v>
      </c>
      <c r="D2389" t="s">
        <v>2841</v>
      </c>
      <c r="E2389" t="s">
        <v>6936</v>
      </c>
    </row>
    <row r="2390" spans="1:5" x14ac:dyDescent="0.3">
      <c r="A2390" t="s">
        <v>6956</v>
      </c>
      <c r="B2390" t="s">
        <v>6957</v>
      </c>
      <c r="C2390" t="s">
        <v>3093</v>
      </c>
      <c r="D2390" t="s">
        <v>2852</v>
      </c>
      <c r="E2390" t="s">
        <v>6958</v>
      </c>
    </row>
    <row r="2391" spans="1:5" x14ac:dyDescent="0.3">
      <c r="A2391" t="s">
        <v>3036</v>
      </c>
      <c r="B2391" t="s">
        <v>3037</v>
      </c>
      <c r="C2391" t="s">
        <v>2696</v>
      </c>
      <c r="D2391" t="s">
        <v>2696</v>
      </c>
      <c r="E2391" t="s">
        <v>3038</v>
      </c>
    </row>
    <row r="2392" spans="1:5" x14ac:dyDescent="0.3">
      <c r="A2392" t="s">
        <v>3060</v>
      </c>
      <c r="B2392" t="s">
        <v>3061</v>
      </c>
      <c r="C2392" t="s">
        <v>2696</v>
      </c>
      <c r="D2392" t="s">
        <v>2696</v>
      </c>
      <c r="E2392" t="s">
        <v>3062</v>
      </c>
    </row>
    <row r="2393" spans="1:5" x14ac:dyDescent="0.3">
      <c r="A2393" t="s">
        <v>2477</v>
      </c>
      <c r="B2393" t="s">
        <v>2478</v>
      </c>
      <c r="C2393" t="s">
        <v>1501</v>
      </c>
      <c r="D2393" t="s">
        <v>1088</v>
      </c>
      <c r="E2393" t="s">
        <v>2479</v>
      </c>
    </row>
    <row r="2394" spans="1:5" x14ac:dyDescent="0.3">
      <c r="A2394" t="s">
        <v>2480</v>
      </c>
      <c r="B2394" t="s">
        <v>2481</v>
      </c>
      <c r="C2394" t="s">
        <v>1501</v>
      </c>
      <c r="D2394" t="s">
        <v>1088</v>
      </c>
      <c r="E2394" t="s">
        <v>2482</v>
      </c>
    </row>
    <row r="2395" spans="1:5" x14ac:dyDescent="0.3">
      <c r="A2395" t="s">
        <v>6044</v>
      </c>
      <c r="B2395" t="s">
        <v>6045</v>
      </c>
      <c r="C2395" t="s">
        <v>2696</v>
      </c>
      <c r="D2395" t="s">
        <v>2696</v>
      </c>
      <c r="E2395" t="s">
        <v>6046</v>
      </c>
    </row>
    <row r="2396" spans="1:5" x14ac:dyDescent="0.3">
      <c r="A2396" t="s">
        <v>6067</v>
      </c>
      <c r="B2396" t="s">
        <v>6068</v>
      </c>
      <c r="C2396" t="s">
        <v>2696</v>
      </c>
      <c r="D2396" t="s">
        <v>2696</v>
      </c>
      <c r="E2396" t="s">
        <v>6069</v>
      </c>
    </row>
    <row r="2397" spans="1:5" x14ac:dyDescent="0.3">
      <c r="A2397" t="s">
        <v>2108</v>
      </c>
      <c r="B2397" t="s">
        <v>2109</v>
      </c>
      <c r="C2397" t="s">
        <v>1115</v>
      </c>
      <c r="D2397" t="s">
        <v>1111</v>
      </c>
      <c r="E2397" t="s">
        <v>2110</v>
      </c>
    </row>
    <row r="2398" spans="1:5" x14ac:dyDescent="0.3">
      <c r="A2398" t="s">
        <v>2114</v>
      </c>
      <c r="B2398" t="s">
        <v>2115</v>
      </c>
      <c r="C2398" t="s">
        <v>1523</v>
      </c>
      <c r="D2398" t="s">
        <v>1111</v>
      </c>
      <c r="E2398" t="s">
        <v>2116</v>
      </c>
    </row>
    <row r="2399" spans="1:5" x14ac:dyDescent="0.3">
      <c r="A2399" t="s">
        <v>3082</v>
      </c>
      <c r="B2399" t="s">
        <v>2750</v>
      </c>
      <c r="C2399" t="s">
        <v>2696</v>
      </c>
      <c r="D2399" t="s">
        <v>2696</v>
      </c>
      <c r="E2399" t="s">
        <v>3083</v>
      </c>
    </row>
    <row r="2400" spans="1:5" x14ac:dyDescent="0.3">
      <c r="A2400" t="s">
        <v>3105</v>
      </c>
      <c r="B2400" t="s">
        <v>3106</v>
      </c>
      <c r="C2400" t="s">
        <v>2696</v>
      </c>
      <c r="D2400" t="s">
        <v>2696</v>
      </c>
      <c r="E2400" t="s">
        <v>3107</v>
      </c>
    </row>
    <row r="2401" spans="1:5" x14ac:dyDescent="0.3">
      <c r="A2401" t="s">
        <v>6980</v>
      </c>
      <c r="B2401" t="s">
        <v>6981</v>
      </c>
      <c r="C2401" t="s">
        <v>3093</v>
      </c>
      <c r="D2401" t="s">
        <v>2852</v>
      </c>
      <c r="E2401" t="s">
        <v>6982</v>
      </c>
    </row>
    <row r="2402" spans="1:5" x14ac:dyDescent="0.3">
      <c r="A2402" t="s">
        <v>6195</v>
      </c>
      <c r="B2402" t="s">
        <v>2469</v>
      </c>
      <c r="C2402" t="s">
        <v>4625</v>
      </c>
      <c r="D2402" t="s">
        <v>133</v>
      </c>
      <c r="E2402" t="s">
        <v>6196</v>
      </c>
    </row>
    <row r="2403" spans="1:5" x14ac:dyDescent="0.3">
      <c r="A2403" t="s">
        <v>6217</v>
      </c>
      <c r="B2403" t="s">
        <v>6218</v>
      </c>
      <c r="C2403" t="s">
        <v>4733</v>
      </c>
      <c r="D2403" t="s">
        <v>2704</v>
      </c>
      <c r="E2403" t="s">
        <v>6219</v>
      </c>
    </row>
    <row r="2404" spans="1:5" x14ac:dyDescent="0.3">
      <c r="A2404" t="s">
        <v>6411</v>
      </c>
      <c r="B2404" t="s">
        <v>6412</v>
      </c>
      <c r="C2404" t="s">
        <v>2708</v>
      </c>
      <c r="D2404" t="s">
        <v>2709</v>
      </c>
      <c r="E2404" t="s">
        <v>6413</v>
      </c>
    </row>
    <row r="2405" spans="1:5" x14ac:dyDescent="0.3">
      <c r="A2405" t="s">
        <v>6434</v>
      </c>
      <c r="B2405" t="s">
        <v>6435</v>
      </c>
      <c r="C2405" t="s">
        <v>2708</v>
      </c>
      <c r="D2405" t="s">
        <v>2709</v>
      </c>
      <c r="E2405" t="s">
        <v>6436</v>
      </c>
    </row>
    <row r="2406" spans="1:5" x14ac:dyDescent="0.3">
      <c r="A2406" t="s">
        <v>2129</v>
      </c>
      <c r="B2406" t="s">
        <v>2130</v>
      </c>
      <c r="C2406" t="s">
        <v>1115</v>
      </c>
      <c r="D2406" t="s">
        <v>1111</v>
      </c>
      <c r="E2406" t="s">
        <v>2131</v>
      </c>
    </row>
    <row r="2407" spans="1:5" x14ac:dyDescent="0.3">
      <c r="A2407" t="s">
        <v>2141</v>
      </c>
      <c r="B2407" t="s">
        <v>2142</v>
      </c>
      <c r="C2407" t="s">
        <v>1115</v>
      </c>
      <c r="D2407" t="s">
        <v>1111</v>
      </c>
      <c r="E2407" t="s">
        <v>2143</v>
      </c>
    </row>
    <row r="2408" spans="1:5" x14ac:dyDescent="0.3">
      <c r="A2408" t="s">
        <v>3129</v>
      </c>
      <c r="B2408" t="s">
        <v>3130</v>
      </c>
      <c r="C2408" t="s">
        <v>2696</v>
      </c>
      <c r="D2408" t="s">
        <v>2696</v>
      </c>
      <c r="E2408" t="s">
        <v>3131</v>
      </c>
    </row>
    <row r="2409" spans="1:5" x14ac:dyDescent="0.3">
      <c r="A2409" t="s">
        <v>3152</v>
      </c>
      <c r="B2409" t="s">
        <v>3153</v>
      </c>
      <c r="C2409" t="s">
        <v>2696</v>
      </c>
      <c r="D2409" t="s">
        <v>2696</v>
      </c>
      <c r="E2409" t="s">
        <v>3154</v>
      </c>
    </row>
    <row r="2410" spans="1:5" x14ac:dyDescent="0.3">
      <c r="A2410" t="s">
        <v>6240</v>
      </c>
      <c r="B2410" t="s">
        <v>6241</v>
      </c>
      <c r="C2410" t="s">
        <v>134</v>
      </c>
      <c r="D2410" t="s">
        <v>133</v>
      </c>
      <c r="E2410" t="s">
        <v>6242</v>
      </c>
    </row>
    <row r="2411" spans="1:5" x14ac:dyDescent="0.3">
      <c r="A2411" t="s">
        <v>6264</v>
      </c>
      <c r="B2411" t="s">
        <v>6265</v>
      </c>
      <c r="C2411" t="s">
        <v>134</v>
      </c>
      <c r="D2411" t="s">
        <v>133</v>
      </c>
      <c r="E2411" t="s">
        <v>6266</v>
      </c>
    </row>
    <row r="2412" spans="1:5" x14ac:dyDescent="0.3">
      <c r="A2412" t="s">
        <v>6090</v>
      </c>
      <c r="B2412" t="s">
        <v>6091</v>
      </c>
      <c r="C2412" t="s">
        <v>2696</v>
      </c>
      <c r="D2412" t="s">
        <v>2696</v>
      </c>
      <c r="E2412" t="s">
        <v>6092</v>
      </c>
    </row>
    <row r="2413" spans="1:5" x14ac:dyDescent="0.3">
      <c r="A2413" t="s">
        <v>6112</v>
      </c>
      <c r="B2413" t="s">
        <v>6113</v>
      </c>
      <c r="C2413" t="s">
        <v>2696</v>
      </c>
      <c r="D2413" t="s">
        <v>2696</v>
      </c>
      <c r="E2413" t="s">
        <v>6114</v>
      </c>
    </row>
    <row r="2414" spans="1:5" x14ac:dyDescent="0.3">
      <c r="A2414" t="s">
        <v>6292</v>
      </c>
      <c r="B2414" t="s">
        <v>4779</v>
      </c>
      <c r="C2414" t="s">
        <v>4308</v>
      </c>
      <c r="D2414" t="s">
        <v>133</v>
      </c>
      <c r="E2414" t="s">
        <v>6293</v>
      </c>
    </row>
    <row r="2415" spans="1:5" x14ac:dyDescent="0.3">
      <c r="A2415" t="s">
        <v>6313</v>
      </c>
      <c r="B2415" t="s">
        <v>3510</v>
      </c>
      <c r="C2415" t="s">
        <v>4229</v>
      </c>
      <c r="D2415" t="s">
        <v>2841</v>
      </c>
      <c r="E2415" t="s">
        <v>6314</v>
      </c>
    </row>
    <row r="2416" spans="1:5" x14ac:dyDescent="0.3">
      <c r="A2416" t="s">
        <v>6286</v>
      </c>
      <c r="B2416" t="s">
        <v>6287</v>
      </c>
      <c r="C2416" t="s">
        <v>3906</v>
      </c>
      <c r="D2416" t="s">
        <v>133</v>
      </c>
      <c r="E2416" t="s">
        <v>6288</v>
      </c>
    </row>
    <row r="2417" spans="1:5" x14ac:dyDescent="0.3">
      <c r="A2417" t="s">
        <v>2489</v>
      </c>
      <c r="B2417" t="s">
        <v>2490</v>
      </c>
      <c r="C2417" t="s">
        <v>1153</v>
      </c>
      <c r="D2417" t="s">
        <v>1088</v>
      </c>
      <c r="E2417" t="s">
        <v>2491</v>
      </c>
    </row>
    <row r="2418" spans="1:5" x14ac:dyDescent="0.3">
      <c r="A2418" t="s">
        <v>3176</v>
      </c>
      <c r="B2418" t="s">
        <v>3177</v>
      </c>
      <c r="C2418" t="s">
        <v>2696</v>
      </c>
      <c r="D2418" t="s">
        <v>2696</v>
      </c>
      <c r="E2418" t="s">
        <v>3178</v>
      </c>
    </row>
    <row r="2419" spans="1:5" x14ac:dyDescent="0.3">
      <c r="A2419" t="s">
        <v>2159</v>
      </c>
      <c r="B2419" t="s">
        <v>2160</v>
      </c>
      <c r="C2419" t="s">
        <v>1115</v>
      </c>
      <c r="D2419" t="s">
        <v>1111</v>
      </c>
      <c r="E2419" t="s">
        <v>2161</v>
      </c>
    </row>
    <row r="2420" spans="1:5" x14ac:dyDescent="0.3">
      <c r="A2420" t="s">
        <v>2177</v>
      </c>
      <c r="B2420" t="s">
        <v>2178</v>
      </c>
      <c r="C2420" t="s">
        <v>1523</v>
      </c>
      <c r="D2420" t="s">
        <v>1111</v>
      </c>
      <c r="E2420" t="s">
        <v>2179</v>
      </c>
    </row>
    <row r="2421" spans="1:5" x14ac:dyDescent="0.3">
      <c r="A2421" t="s">
        <v>7003</v>
      </c>
      <c r="B2421" t="s">
        <v>7004</v>
      </c>
      <c r="C2421" t="s">
        <v>6747</v>
      </c>
      <c r="D2421" t="s">
        <v>133</v>
      </c>
      <c r="E2421" t="s">
        <v>7005</v>
      </c>
    </row>
    <row r="2422" spans="1:5" x14ac:dyDescent="0.3">
      <c r="A2422" t="s">
        <v>2132</v>
      </c>
      <c r="B2422" t="s">
        <v>2133</v>
      </c>
      <c r="C2422" t="s">
        <v>1501</v>
      </c>
      <c r="D2422" t="s">
        <v>1088</v>
      </c>
      <c r="E2422" t="s">
        <v>2134</v>
      </c>
    </row>
    <row r="2423" spans="1:5" x14ac:dyDescent="0.3">
      <c r="A2423" t="s">
        <v>2183</v>
      </c>
      <c r="B2423" t="s">
        <v>2184</v>
      </c>
      <c r="C2423" t="s">
        <v>1523</v>
      </c>
      <c r="D2423" t="s">
        <v>1111</v>
      </c>
      <c r="E2423" t="s">
        <v>2185</v>
      </c>
    </row>
    <row r="2424" spans="1:5" x14ac:dyDescent="0.3">
      <c r="A2424" t="s">
        <v>6875</v>
      </c>
      <c r="B2424" t="s">
        <v>6876</v>
      </c>
      <c r="C2424" t="s">
        <v>2851</v>
      </c>
      <c r="D2424" t="s">
        <v>2852</v>
      </c>
      <c r="E2424" t="s">
        <v>6877</v>
      </c>
    </row>
    <row r="2425" spans="1:5" x14ac:dyDescent="0.3">
      <c r="A2425" t="s">
        <v>6294</v>
      </c>
      <c r="B2425" t="s">
        <v>1325</v>
      </c>
      <c r="C2425" t="s">
        <v>4308</v>
      </c>
      <c r="D2425" t="s">
        <v>133</v>
      </c>
      <c r="E2425" t="s">
        <v>6295</v>
      </c>
    </row>
    <row r="2426" spans="1:5" x14ac:dyDescent="0.3">
      <c r="A2426" t="s">
        <v>6315</v>
      </c>
      <c r="B2426" t="s">
        <v>6316</v>
      </c>
      <c r="C2426" t="s">
        <v>4229</v>
      </c>
      <c r="D2426" t="s">
        <v>2841</v>
      </c>
      <c r="E2426" t="s">
        <v>6317</v>
      </c>
    </row>
    <row r="2427" spans="1:5" x14ac:dyDescent="0.3">
      <c r="A2427" t="s">
        <v>2063</v>
      </c>
      <c r="B2427" t="s">
        <v>2064</v>
      </c>
      <c r="C2427" t="s">
        <v>1196</v>
      </c>
      <c r="D2427" t="s">
        <v>1088</v>
      </c>
      <c r="E2427" t="s">
        <v>2065</v>
      </c>
    </row>
    <row r="2428" spans="1:5" x14ac:dyDescent="0.3">
      <c r="A2428" t="s">
        <v>6138</v>
      </c>
      <c r="B2428" t="s">
        <v>6139</v>
      </c>
      <c r="C2428" t="s">
        <v>4308</v>
      </c>
      <c r="D2428" t="s">
        <v>133</v>
      </c>
      <c r="E2428" t="s">
        <v>6140</v>
      </c>
    </row>
    <row r="2429" spans="1:5" x14ac:dyDescent="0.3">
      <c r="A2429" t="s">
        <v>2273</v>
      </c>
      <c r="B2429" t="s">
        <v>2274</v>
      </c>
      <c r="C2429" t="s">
        <v>1087</v>
      </c>
      <c r="D2429" t="s">
        <v>1088</v>
      </c>
      <c r="E2429" t="s">
        <v>2275</v>
      </c>
    </row>
    <row r="2430" spans="1:5" x14ac:dyDescent="0.3">
      <c r="A2430" t="s">
        <v>6899</v>
      </c>
      <c r="B2430" t="s">
        <v>6900</v>
      </c>
      <c r="C2430" t="s">
        <v>2851</v>
      </c>
      <c r="D2430" t="s">
        <v>2852</v>
      </c>
      <c r="E2430" t="s">
        <v>6901</v>
      </c>
    </row>
    <row r="2431" spans="1:5" x14ac:dyDescent="0.3">
      <c r="A2431" t="s">
        <v>7027</v>
      </c>
      <c r="B2431" t="s">
        <v>7028</v>
      </c>
      <c r="C2431" t="s">
        <v>3946</v>
      </c>
      <c r="D2431" t="s">
        <v>2709</v>
      </c>
      <c r="E2431" t="s">
        <v>7029</v>
      </c>
    </row>
    <row r="2432" spans="1:5" x14ac:dyDescent="0.3">
      <c r="A2432" t="s">
        <v>2150</v>
      </c>
      <c r="B2432" t="s">
        <v>2151</v>
      </c>
      <c r="C2432" t="s">
        <v>1140</v>
      </c>
      <c r="D2432" t="s">
        <v>1088</v>
      </c>
      <c r="E2432" t="s">
        <v>2152</v>
      </c>
    </row>
    <row r="2433" spans="1:5" x14ac:dyDescent="0.3">
      <c r="A2433" t="s">
        <v>2498</v>
      </c>
      <c r="B2433" t="s">
        <v>2499</v>
      </c>
      <c r="C2433" t="s">
        <v>1087</v>
      </c>
      <c r="D2433" t="s">
        <v>1088</v>
      </c>
      <c r="E2433" t="s">
        <v>2500</v>
      </c>
    </row>
    <row r="2434" spans="1:5" x14ac:dyDescent="0.3">
      <c r="A2434" t="s">
        <v>2542</v>
      </c>
      <c r="B2434" t="s">
        <v>2543</v>
      </c>
      <c r="C2434" t="s">
        <v>1533</v>
      </c>
      <c r="D2434" t="s">
        <v>1111</v>
      </c>
      <c r="E2434" t="s">
        <v>2544</v>
      </c>
    </row>
    <row r="2435" spans="1:5" x14ac:dyDescent="0.3">
      <c r="A2435" t="s">
        <v>2279</v>
      </c>
      <c r="B2435" t="s">
        <v>2280</v>
      </c>
      <c r="C2435" t="s">
        <v>1533</v>
      </c>
      <c r="D2435" t="s">
        <v>1111</v>
      </c>
      <c r="E2435" t="s">
        <v>2281</v>
      </c>
    </row>
    <row r="2436" spans="1:5" x14ac:dyDescent="0.3">
      <c r="A2436" t="s">
        <v>6356</v>
      </c>
      <c r="B2436" t="s">
        <v>6357</v>
      </c>
      <c r="C2436" t="s">
        <v>6349</v>
      </c>
      <c r="D2436" t="s">
        <v>2841</v>
      </c>
      <c r="E2436" t="s">
        <v>6358</v>
      </c>
    </row>
    <row r="2437" spans="1:5" x14ac:dyDescent="0.3">
      <c r="A2437" t="s">
        <v>6922</v>
      </c>
      <c r="B2437" t="s">
        <v>6923</v>
      </c>
      <c r="C2437" t="s">
        <v>4301</v>
      </c>
      <c r="D2437" t="s">
        <v>2841</v>
      </c>
      <c r="E2437" t="s">
        <v>6924</v>
      </c>
    </row>
    <row r="2438" spans="1:5" x14ac:dyDescent="0.3">
      <c r="A2438" t="s">
        <v>6945</v>
      </c>
      <c r="B2438" t="s">
        <v>6946</v>
      </c>
      <c r="C2438" t="s">
        <v>4301</v>
      </c>
      <c r="D2438" t="s">
        <v>2841</v>
      </c>
      <c r="E2438" t="s">
        <v>6947</v>
      </c>
    </row>
    <row r="2439" spans="1:5" x14ac:dyDescent="0.3">
      <c r="A2439" t="s">
        <v>7039</v>
      </c>
      <c r="B2439" t="s">
        <v>7040</v>
      </c>
      <c r="C2439" t="s">
        <v>4308</v>
      </c>
      <c r="D2439" t="s">
        <v>133</v>
      </c>
      <c r="E2439" t="s">
        <v>7041</v>
      </c>
    </row>
    <row r="2440" spans="1:5" x14ac:dyDescent="0.3">
      <c r="A2440" t="s">
        <v>7061</v>
      </c>
      <c r="B2440" t="s">
        <v>7062</v>
      </c>
      <c r="C2440" t="s">
        <v>4308</v>
      </c>
      <c r="D2440" t="s">
        <v>133</v>
      </c>
      <c r="E2440" t="s">
        <v>7063</v>
      </c>
    </row>
    <row r="2441" spans="1:5" x14ac:dyDescent="0.3">
      <c r="A2441" t="s">
        <v>6162</v>
      </c>
      <c r="B2441" t="s">
        <v>6163</v>
      </c>
      <c r="C2441" t="s">
        <v>2840</v>
      </c>
      <c r="D2441" t="s">
        <v>2841</v>
      </c>
      <c r="E2441" t="s">
        <v>6164</v>
      </c>
    </row>
    <row r="2442" spans="1:5" x14ac:dyDescent="0.3">
      <c r="A2442" t="s">
        <v>6186</v>
      </c>
      <c r="B2442" t="s">
        <v>6187</v>
      </c>
      <c r="C2442" t="s">
        <v>4086</v>
      </c>
      <c r="D2442" t="s">
        <v>2704</v>
      </c>
      <c r="E2442" t="s">
        <v>6188</v>
      </c>
    </row>
    <row r="2443" spans="1:5" x14ac:dyDescent="0.3">
      <c r="A2443" t="s">
        <v>6359</v>
      </c>
      <c r="B2443" t="s">
        <v>6003</v>
      </c>
      <c r="C2443" t="s">
        <v>6349</v>
      </c>
      <c r="D2443" t="s">
        <v>2841</v>
      </c>
      <c r="E2443" t="s">
        <v>6360</v>
      </c>
    </row>
    <row r="2444" spans="1:5" x14ac:dyDescent="0.3">
      <c r="A2444" t="s">
        <v>2554</v>
      </c>
      <c r="B2444" t="s">
        <v>2555</v>
      </c>
      <c r="C2444" t="s">
        <v>1209</v>
      </c>
      <c r="D2444" t="s">
        <v>1088</v>
      </c>
      <c r="E2444" t="s">
        <v>2556</v>
      </c>
    </row>
    <row r="2445" spans="1:5" x14ac:dyDescent="0.3">
      <c r="A2445" t="s">
        <v>6968</v>
      </c>
      <c r="B2445" t="s">
        <v>6969</v>
      </c>
      <c r="C2445" t="s">
        <v>3093</v>
      </c>
      <c r="D2445" t="s">
        <v>2852</v>
      </c>
      <c r="E2445" t="s">
        <v>6970</v>
      </c>
    </row>
    <row r="2446" spans="1:5" x14ac:dyDescent="0.3">
      <c r="A2446" t="s">
        <v>6991</v>
      </c>
      <c r="B2446" t="s">
        <v>6992</v>
      </c>
      <c r="C2446" t="s">
        <v>3093</v>
      </c>
      <c r="D2446" t="s">
        <v>2852</v>
      </c>
      <c r="E2446" t="s">
        <v>6993</v>
      </c>
    </row>
    <row r="2447" spans="1:5" x14ac:dyDescent="0.3">
      <c r="A2447" t="s">
        <v>2291</v>
      </c>
      <c r="B2447" t="s">
        <v>2292</v>
      </c>
      <c r="C2447" t="s">
        <v>1209</v>
      </c>
      <c r="D2447" t="s">
        <v>1088</v>
      </c>
      <c r="E2447" t="s">
        <v>2293</v>
      </c>
    </row>
    <row r="2448" spans="1:5" x14ac:dyDescent="0.3">
      <c r="A2448" t="s">
        <v>2294</v>
      </c>
      <c r="B2448" t="s">
        <v>2295</v>
      </c>
      <c r="C2448" t="s">
        <v>1209</v>
      </c>
      <c r="D2448" t="s">
        <v>1088</v>
      </c>
      <c r="E2448" t="s">
        <v>2296</v>
      </c>
    </row>
    <row r="2449" spans="1:5" x14ac:dyDescent="0.3">
      <c r="A2449" t="s">
        <v>7083</v>
      </c>
      <c r="B2449" t="s">
        <v>7084</v>
      </c>
      <c r="C2449" t="s">
        <v>3758</v>
      </c>
      <c r="D2449" t="s">
        <v>3712</v>
      </c>
      <c r="E2449" t="s">
        <v>7085</v>
      </c>
    </row>
    <row r="2450" spans="1:5" x14ac:dyDescent="0.3">
      <c r="A2450" t="s">
        <v>7107</v>
      </c>
      <c r="B2450" t="s">
        <v>7108</v>
      </c>
      <c r="C2450" t="s">
        <v>3758</v>
      </c>
      <c r="D2450" t="s">
        <v>3712</v>
      </c>
      <c r="E2450" t="s">
        <v>7109</v>
      </c>
    </row>
    <row r="2451" spans="1:5" x14ac:dyDescent="0.3">
      <c r="A2451" t="s">
        <v>2557</v>
      </c>
      <c r="B2451" t="s">
        <v>2558</v>
      </c>
      <c r="C2451" t="s">
        <v>1209</v>
      </c>
      <c r="D2451" t="s">
        <v>1088</v>
      </c>
      <c r="E2451" t="s">
        <v>2559</v>
      </c>
    </row>
    <row r="2452" spans="1:5" x14ac:dyDescent="0.3">
      <c r="A2452" t="s">
        <v>2982</v>
      </c>
      <c r="B2452" t="s">
        <v>2983</v>
      </c>
      <c r="C2452" t="s">
        <v>2696</v>
      </c>
      <c r="D2452" t="s">
        <v>2696</v>
      </c>
      <c r="E2452" t="s">
        <v>2984</v>
      </c>
    </row>
    <row r="2453" spans="1:5" x14ac:dyDescent="0.3">
      <c r="A2453" t="s">
        <v>3006</v>
      </c>
      <c r="B2453" t="s">
        <v>3007</v>
      </c>
      <c r="C2453" t="s">
        <v>2696</v>
      </c>
      <c r="D2453" t="s">
        <v>2696</v>
      </c>
      <c r="E2453" t="s">
        <v>3008</v>
      </c>
    </row>
    <row r="2454" spans="1:5" x14ac:dyDescent="0.3">
      <c r="A2454" t="s">
        <v>2078</v>
      </c>
      <c r="B2454" t="s">
        <v>2079</v>
      </c>
      <c r="C2454" t="s">
        <v>1501</v>
      </c>
      <c r="D2454" t="s">
        <v>1088</v>
      </c>
      <c r="E2454" t="s">
        <v>2080</v>
      </c>
    </row>
    <row r="2455" spans="1:5" x14ac:dyDescent="0.3">
      <c r="A2455" t="s">
        <v>2198</v>
      </c>
      <c r="B2455" t="s">
        <v>2199</v>
      </c>
      <c r="C2455" t="s">
        <v>1501</v>
      </c>
      <c r="D2455" t="s">
        <v>1088</v>
      </c>
      <c r="E2455" t="s">
        <v>2200</v>
      </c>
    </row>
    <row r="2456" spans="1:5" x14ac:dyDescent="0.3">
      <c r="A2456" t="s">
        <v>7015</v>
      </c>
      <c r="B2456" t="s">
        <v>7016</v>
      </c>
      <c r="C2456" t="s">
        <v>4679</v>
      </c>
      <c r="D2456" t="s">
        <v>2704</v>
      </c>
      <c r="E2456" t="s">
        <v>7017</v>
      </c>
    </row>
    <row r="2457" spans="1:5" x14ac:dyDescent="0.3">
      <c r="A2457" t="s">
        <v>3200</v>
      </c>
      <c r="B2457" t="s">
        <v>3201</v>
      </c>
      <c r="C2457" t="s">
        <v>2696</v>
      </c>
      <c r="D2457" t="s">
        <v>2696</v>
      </c>
      <c r="E2457" t="s">
        <v>3202</v>
      </c>
    </row>
    <row r="2458" spans="1:5" x14ac:dyDescent="0.3">
      <c r="A2458" t="s">
        <v>3224</v>
      </c>
      <c r="B2458" t="s">
        <v>1685</v>
      </c>
      <c r="C2458" t="s">
        <v>2696</v>
      </c>
      <c r="D2458" t="s">
        <v>2696</v>
      </c>
      <c r="E2458" t="s">
        <v>3225</v>
      </c>
    </row>
    <row r="2459" spans="1:5" x14ac:dyDescent="0.3">
      <c r="A2459" t="s">
        <v>6382</v>
      </c>
      <c r="B2459" t="s">
        <v>6383</v>
      </c>
      <c r="C2459" t="s">
        <v>4086</v>
      </c>
      <c r="D2459" t="s">
        <v>2704</v>
      </c>
      <c r="E2459" t="s">
        <v>6384</v>
      </c>
    </row>
    <row r="2460" spans="1:5" x14ac:dyDescent="0.3">
      <c r="A2460" t="s">
        <v>6405</v>
      </c>
      <c r="B2460" t="s">
        <v>6406</v>
      </c>
      <c r="C2460" t="s">
        <v>2708</v>
      </c>
      <c r="D2460" t="s">
        <v>2709</v>
      </c>
      <c r="E2460" t="s">
        <v>6407</v>
      </c>
    </row>
    <row r="2461" spans="1:5" x14ac:dyDescent="0.3">
      <c r="A2461" t="s">
        <v>3030</v>
      </c>
      <c r="B2461" t="s">
        <v>3031</v>
      </c>
      <c r="C2461" t="s">
        <v>2696</v>
      </c>
      <c r="D2461" t="s">
        <v>2696</v>
      </c>
      <c r="E2461" t="s">
        <v>3032</v>
      </c>
    </row>
    <row r="2462" spans="1:5" x14ac:dyDescent="0.3">
      <c r="A2462" t="s">
        <v>3054</v>
      </c>
      <c r="B2462" t="s">
        <v>3055</v>
      </c>
      <c r="C2462" t="s">
        <v>2696</v>
      </c>
      <c r="D2462" t="s">
        <v>2696</v>
      </c>
      <c r="E2462" t="s">
        <v>3056</v>
      </c>
    </row>
    <row r="2463" spans="1:5" x14ac:dyDescent="0.3">
      <c r="A2463" t="s">
        <v>7128</v>
      </c>
      <c r="B2463" t="s">
        <v>7129</v>
      </c>
      <c r="C2463" t="s">
        <v>4086</v>
      </c>
      <c r="D2463" t="s">
        <v>2704</v>
      </c>
      <c r="E2463" t="s">
        <v>7130</v>
      </c>
    </row>
    <row r="2464" spans="1:5" x14ac:dyDescent="0.3">
      <c r="A2464" t="s">
        <v>7150</v>
      </c>
      <c r="B2464" t="s">
        <v>7151</v>
      </c>
      <c r="C2464" t="s">
        <v>4595</v>
      </c>
      <c r="D2464" t="s">
        <v>133</v>
      </c>
      <c r="E2464" t="s">
        <v>7152</v>
      </c>
    </row>
    <row r="2465" spans="1:5" x14ac:dyDescent="0.3">
      <c r="A2465" t="s">
        <v>3077</v>
      </c>
      <c r="B2465" t="s">
        <v>3078</v>
      </c>
      <c r="C2465" t="s">
        <v>2696</v>
      </c>
      <c r="D2465" t="s">
        <v>2696</v>
      </c>
      <c r="E2465" t="s">
        <v>3079</v>
      </c>
    </row>
    <row r="2466" spans="1:5" x14ac:dyDescent="0.3">
      <c r="A2466" t="s">
        <v>3100</v>
      </c>
      <c r="B2466" t="s">
        <v>1685</v>
      </c>
      <c r="C2466" t="s">
        <v>2696</v>
      </c>
      <c r="D2466" t="s">
        <v>2696</v>
      </c>
      <c r="E2466" t="s">
        <v>3101</v>
      </c>
    </row>
    <row r="2467" spans="1:5" x14ac:dyDescent="0.3">
      <c r="A2467" t="s">
        <v>6428</v>
      </c>
      <c r="B2467" t="s">
        <v>6429</v>
      </c>
      <c r="C2467" t="s">
        <v>2708</v>
      </c>
      <c r="D2467" t="s">
        <v>2709</v>
      </c>
      <c r="E2467" t="s">
        <v>6430</v>
      </c>
    </row>
    <row r="2468" spans="1:5" x14ac:dyDescent="0.3">
      <c r="A2468" t="s">
        <v>6452</v>
      </c>
      <c r="B2468" t="s">
        <v>2594</v>
      </c>
      <c r="C2468" t="s">
        <v>2708</v>
      </c>
      <c r="D2468" t="s">
        <v>2709</v>
      </c>
      <c r="E2468" t="s">
        <v>6453</v>
      </c>
    </row>
    <row r="2469" spans="1:5" x14ac:dyDescent="0.3">
      <c r="A2469" t="s">
        <v>3247</v>
      </c>
      <c r="B2469" t="s">
        <v>3248</v>
      </c>
      <c r="C2469" t="s">
        <v>2696</v>
      </c>
      <c r="D2469" t="s">
        <v>2696</v>
      </c>
      <c r="E2469" t="s">
        <v>3249</v>
      </c>
    </row>
    <row r="2470" spans="1:5" x14ac:dyDescent="0.3">
      <c r="A2470" t="s">
        <v>3271</v>
      </c>
      <c r="B2470" t="s">
        <v>3272</v>
      </c>
      <c r="C2470" t="s">
        <v>2696</v>
      </c>
      <c r="D2470" t="s">
        <v>2696</v>
      </c>
      <c r="E2470" t="s">
        <v>3273</v>
      </c>
    </row>
    <row r="2471" spans="1:5" x14ac:dyDescent="0.3">
      <c r="A2471" t="s">
        <v>2081</v>
      </c>
      <c r="B2471" t="s">
        <v>2082</v>
      </c>
      <c r="C2471" t="s">
        <v>1209</v>
      </c>
      <c r="D2471" t="s">
        <v>1088</v>
      </c>
      <c r="E2471" t="s">
        <v>2083</v>
      </c>
    </row>
    <row r="2472" spans="1:5" x14ac:dyDescent="0.3">
      <c r="A2472" t="s">
        <v>6203</v>
      </c>
      <c r="B2472" t="s">
        <v>6204</v>
      </c>
      <c r="C2472" t="s">
        <v>4625</v>
      </c>
      <c r="D2472" t="s">
        <v>133</v>
      </c>
      <c r="E2472" t="s">
        <v>6205</v>
      </c>
    </row>
    <row r="2473" spans="1:5" x14ac:dyDescent="0.3">
      <c r="A2473" t="s">
        <v>3123</v>
      </c>
      <c r="B2473" t="s">
        <v>3124</v>
      </c>
      <c r="C2473" t="s">
        <v>2696</v>
      </c>
      <c r="D2473" t="s">
        <v>2696</v>
      </c>
      <c r="E2473" t="s">
        <v>3125</v>
      </c>
    </row>
    <row r="2474" spans="1:5" x14ac:dyDescent="0.3">
      <c r="A2474" t="s">
        <v>3146</v>
      </c>
      <c r="B2474" t="s">
        <v>3147</v>
      </c>
      <c r="C2474" t="s">
        <v>2696</v>
      </c>
      <c r="D2474" t="s">
        <v>2696</v>
      </c>
      <c r="E2474" t="s">
        <v>3148</v>
      </c>
    </row>
    <row r="2475" spans="1:5" x14ac:dyDescent="0.3">
      <c r="A2475" t="s">
        <v>6379</v>
      </c>
      <c r="B2475" t="s">
        <v>6380</v>
      </c>
      <c r="C2475" t="s">
        <v>4086</v>
      </c>
      <c r="D2475" t="s">
        <v>2704</v>
      </c>
      <c r="E2475" t="s">
        <v>6381</v>
      </c>
    </row>
    <row r="2476" spans="1:5" x14ac:dyDescent="0.3">
      <c r="A2476" t="s">
        <v>6402</v>
      </c>
      <c r="B2476" t="s">
        <v>6403</v>
      </c>
      <c r="C2476" t="s">
        <v>4086</v>
      </c>
      <c r="D2476" t="s">
        <v>2704</v>
      </c>
      <c r="E2476" t="s">
        <v>6404</v>
      </c>
    </row>
    <row r="2477" spans="1:5" x14ac:dyDescent="0.3">
      <c r="A2477" t="s">
        <v>6475</v>
      </c>
      <c r="B2477" t="s">
        <v>2262</v>
      </c>
      <c r="C2477" t="s">
        <v>2840</v>
      </c>
      <c r="D2477" t="s">
        <v>2841</v>
      </c>
      <c r="E2477" t="s">
        <v>6476</v>
      </c>
    </row>
    <row r="2478" spans="1:5" x14ac:dyDescent="0.3">
      <c r="A2478" t="s">
        <v>2566</v>
      </c>
      <c r="B2478" t="s">
        <v>2567</v>
      </c>
      <c r="C2478" t="s">
        <v>1110</v>
      </c>
      <c r="D2478" t="s">
        <v>1111</v>
      </c>
      <c r="E2478" t="s">
        <v>2568</v>
      </c>
    </row>
    <row r="2479" spans="1:5" x14ac:dyDescent="0.3">
      <c r="A2479" t="s">
        <v>6457</v>
      </c>
      <c r="B2479" t="s">
        <v>6458</v>
      </c>
      <c r="C2479" t="s">
        <v>2708</v>
      </c>
      <c r="D2479" t="s">
        <v>2709</v>
      </c>
      <c r="E2479" t="s">
        <v>6459</v>
      </c>
    </row>
    <row r="2480" spans="1:5" x14ac:dyDescent="0.3">
      <c r="A2480" t="s">
        <v>6480</v>
      </c>
      <c r="B2480" t="s">
        <v>6481</v>
      </c>
      <c r="C2480" t="s">
        <v>2840</v>
      </c>
      <c r="D2480" t="s">
        <v>2841</v>
      </c>
      <c r="E2480" t="s">
        <v>6482</v>
      </c>
    </row>
    <row r="2481" spans="1:5" x14ac:dyDescent="0.3">
      <c r="A2481" t="s">
        <v>3295</v>
      </c>
      <c r="B2481" t="s">
        <v>3296</v>
      </c>
      <c r="C2481" t="s">
        <v>2696</v>
      </c>
      <c r="D2481" t="s">
        <v>2696</v>
      </c>
      <c r="E2481" t="s">
        <v>3297</v>
      </c>
    </row>
    <row r="2482" spans="1:5" x14ac:dyDescent="0.3">
      <c r="A2482" t="s">
        <v>3318</v>
      </c>
      <c r="B2482" t="s">
        <v>3319</v>
      </c>
      <c r="C2482" t="s">
        <v>2696</v>
      </c>
      <c r="D2482" t="s">
        <v>2696</v>
      </c>
      <c r="E2482" t="s">
        <v>3320</v>
      </c>
    </row>
    <row r="2483" spans="1:5" x14ac:dyDescent="0.3">
      <c r="A2483" t="s">
        <v>2210</v>
      </c>
      <c r="B2483" t="s">
        <v>2211</v>
      </c>
      <c r="C2483" t="s">
        <v>1140</v>
      </c>
      <c r="D2483" t="s">
        <v>1088</v>
      </c>
      <c r="E2483" t="s">
        <v>2212</v>
      </c>
    </row>
    <row r="2484" spans="1:5" x14ac:dyDescent="0.3">
      <c r="A2484" t="s">
        <v>2213</v>
      </c>
      <c r="B2484" t="s">
        <v>2214</v>
      </c>
      <c r="C2484" t="s">
        <v>1140</v>
      </c>
      <c r="D2484" t="s">
        <v>1088</v>
      </c>
      <c r="E2484" t="s">
        <v>2215</v>
      </c>
    </row>
    <row r="2485" spans="1:5" x14ac:dyDescent="0.3">
      <c r="A2485" t="s">
        <v>6226</v>
      </c>
      <c r="B2485" t="s">
        <v>6227</v>
      </c>
      <c r="C2485" t="s">
        <v>4733</v>
      </c>
      <c r="D2485" t="s">
        <v>2704</v>
      </c>
      <c r="E2485" t="s">
        <v>6228</v>
      </c>
    </row>
    <row r="2486" spans="1:5" x14ac:dyDescent="0.3">
      <c r="A2486" t="s">
        <v>6249</v>
      </c>
      <c r="B2486" t="s">
        <v>6250</v>
      </c>
      <c r="C2486" t="s">
        <v>134</v>
      </c>
      <c r="D2486" t="s">
        <v>133</v>
      </c>
      <c r="E2486" t="s">
        <v>6251</v>
      </c>
    </row>
    <row r="2487" spans="1:5" x14ac:dyDescent="0.3">
      <c r="A2487" t="s">
        <v>2336</v>
      </c>
      <c r="B2487" t="s">
        <v>2337</v>
      </c>
      <c r="C2487" t="s">
        <v>1110</v>
      </c>
      <c r="D2487" t="s">
        <v>1111</v>
      </c>
      <c r="E2487" t="s">
        <v>2338</v>
      </c>
    </row>
    <row r="2488" spans="1:5" x14ac:dyDescent="0.3">
      <c r="A2488" t="s">
        <v>2342</v>
      </c>
      <c r="B2488" t="s">
        <v>1081</v>
      </c>
      <c r="C2488" t="s">
        <v>1110</v>
      </c>
      <c r="D2488" t="s">
        <v>1111</v>
      </c>
      <c r="E2488" t="s">
        <v>2343</v>
      </c>
    </row>
    <row r="2489" spans="1:5" x14ac:dyDescent="0.3">
      <c r="A2489" t="s">
        <v>2569</v>
      </c>
      <c r="B2489" t="s">
        <v>2570</v>
      </c>
      <c r="C2489" t="s">
        <v>1110</v>
      </c>
      <c r="D2489" t="s">
        <v>1111</v>
      </c>
      <c r="E2489" t="s">
        <v>2571</v>
      </c>
    </row>
    <row r="2490" spans="1:5" x14ac:dyDescent="0.3">
      <c r="A2490" t="s">
        <v>6495</v>
      </c>
      <c r="B2490" t="s">
        <v>6496</v>
      </c>
      <c r="C2490" t="s">
        <v>3850</v>
      </c>
      <c r="D2490" t="s">
        <v>3712</v>
      </c>
      <c r="E2490" t="s">
        <v>6497</v>
      </c>
    </row>
    <row r="2491" spans="1:5" x14ac:dyDescent="0.3">
      <c r="A2491" t="s">
        <v>7050</v>
      </c>
      <c r="B2491" t="s">
        <v>1135</v>
      </c>
      <c r="C2491" t="s">
        <v>4308</v>
      </c>
      <c r="D2491" t="s">
        <v>133</v>
      </c>
      <c r="E2491" t="s">
        <v>7051</v>
      </c>
    </row>
    <row r="2492" spans="1:5" x14ac:dyDescent="0.3">
      <c r="A2492" t="s">
        <v>7071</v>
      </c>
      <c r="B2492" t="s">
        <v>7072</v>
      </c>
      <c r="C2492" t="s">
        <v>4308</v>
      </c>
      <c r="D2492" t="s">
        <v>133</v>
      </c>
      <c r="E2492" t="s">
        <v>7073</v>
      </c>
    </row>
    <row r="2493" spans="1:5" x14ac:dyDescent="0.3">
      <c r="A2493" t="s">
        <v>6273</v>
      </c>
      <c r="B2493" t="s">
        <v>6274</v>
      </c>
      <c r="C2493" t="s">
        <v>134</v>
      </c>
      <c r="D2493" t="s">
        <v>133</v>
      </c>
      <c r="E2493" t="s">
        <v>6275</v>
      </c>
    </row>
    <row r="2494" spans="1:5" x14ac:dyDescent="0.3">
      <c r="A2494" t="s">
        <v>2084</v>
      </c>
      <c r="B2494" t="s">
        <v>2085</v>
      </c>
      <c r="C2494" t="s">
        <v>1153</v>
      </c>
      <c r="D2494" t="s">
        <v>1088</v>
      </c>
      <c r="E2494" t="s">
        <v>2086</v>
      </c>
    </row>
    <row r="2495" spans="1:5" x14ac:dyDescent="0.3">
      <c r="A2495" t="s">
        <v>7172</v>
      </c>
      <c r="B2495" t="s">
        <v>7173</v>
      </c>
      <c r="C2495" t="s">
        <v>4595</v>
      </c>
      <c r="D2495" t="s">
        <v>133</v>
      </c>
      <c r="E2495" t="s">
        <v>7174</v>
      </c>
    </row>
    <row r="2496" spans="1:5" x14ac:dyDescent="0.3">
      <c r="A2496" t="s">
        <v>7196</v>
      </c>
      <c r="B2496" t="s">
        <v>4477</v>
      </c>
      <c r="C2496" t="s">
        <v>6333</v>
      </c>
      <c r="D2496" t="s">
        <v>2709</v>
      </c>
      <c r="E2496" t="s">
        <v>7197</v>
      </c>
    </row>
    <row r="2497" spans="1:5" x14ac:dyDescent="0.3">
      <c r="A2497" t="s">
        <v>6501</v>
      </c>
      <c r="B2497" t="s">
        <v>6502</v>
      </c>
      <c r="C2497" t="s">
        <v>3850</v>
      </c>
      <c r="D2497" t="s">
        <v>3712</v>
      </c>
      <c r="E2497" t="s">
        <v>6503</v>
      </c>
    </row>
    <row r="2498" spans="1:5" x14ac:dyDescent="0.3">
      <c r="A2498" t="s">
        <v>6524</v>
      </c>
      <c r="B2498" t="s">
        <v>6525</v>
      </c>
      <c r="C2498" t="s">
        <v>2840</v>
      </c>
      <c r="D2498" t="s">
        <v>2841</v>
      </c>
      <c r="E2498" t="s">
        <v>6526</v>
      </c>
    </row>
    <row r="2499" spans="1:5" x14ac:dyDescent="0.3">
      <c r="A2499" t="s">
        <v>6518</v>
      </c>
      <c r="B2499" t="s">
        <v>6519</v>
      </c>
      <c r="C2499" t="s">
        <v>2840</v>
      </c>
      <c r="D2499" t="s">
        <v>2841</v>
      </c>
      <c r="E2499" t="s">
        <v>6520</v>
      </c>
    </row>
    <row r="2500" spans="1:5" x14ac:dyDescent="0.3">
      <c r="A2500" t="s">
        <v>6542</v>
      </c>
      <c r="B2500" t="s">
        <v>6543</v>
      </c>
      <c r="C2500" t="s">
        <v>2840</v>
      </c>
      <c r="D2500" t="s">
        <v>2841</v>
      </c>
      <c r="E2500" t="s">
        <v>6544</v>
      </c>
    </row>
    <row r="2501" spans="1:5" x14ac:dyDescent="0.3">
      <c r="A2501" t="s">
        <v>7095</v>
      </c>
      <c r="B2501" t="s">
        <v>7096</v>
      </c>
      <c r="C2501" t="s">
        <v>3758</v>
      </c>
      <c r="D2501" t="s">
        <v>3712</v>
      </c>
      <c r="E2501" t="s">
        <v>7097</v>
      </c>
    </row>
    <row r="2502" spans="1:5" x14ac:dyDescent="0.3">
      <c r="A2502" t="s">
        <v>7117</v>
      </c>
      <c r="B2502" t="s">
        <v>7118</v>
      </c>
      <c r="C2502" t="s">
        <v>3758</v>
      </c>
      <c r="D2502" t="s">
        <v>3712</v>
      </c>
      <c r="E2502" t="s">
        <v>7119</v>
      </c>
    </row>
    <row r="2503" spans="1:5" x14ac:dyDescent="0.3">
      <c r="A2503" t="s">
        <v>7218</v>
      </c>
      <c r="B2503" t="s">
        <v>7219</v>
      </c>
      <c r="C2503" t="s">
        <v>2851</v>
      </c>
      <c r="D2503" t="s">
        <v>2852</v>
      </c>
      <c r="E2503" t="s">
        <v>7220</v>
      </c>
    </row>
    <row r="2504" spans="1:5" x14ac:dyDescent="0.3">
      <c r="A2504" t="s">
        <v>7226</v>
      </c>
      <c r="B2504" t="s">
        <v>7227</v>
      </c>
      <c r="C2504" t="s">
        <v>3768</v>
      </c>
      <c r="D2504" t="s">
        <v>2852</v>
      </c>
      <c r="E2504" t="s">
        <v>7228</v>
      </c>
    </row>
    <row r="2505" spans="1:5" x14ac:dyDescent="0.3">
      <c r="A2505" t="s">
        <v>6548</v>
      </c>
      <c r="B2505" t="s">
        <v>6549</v>
      </c>
      <c r="C2505" t="s">
        <v>2840</v>
      </c>
      <c r="D2505" t="s">
        <v>2841</v>
      </c>
      <c r="E2505" t="s">
        <v>6550</v>
      </c>
    </row>
    <row r="2506" spans="1:5" x14ac:dyDescent="0.3">
      <c r="A2506" t="s">
        <v>6571</v>
      </c>
      <c r="B2506" t="s">
        <v>6572</v>
      </c>
      <c r="C2506" t="s">
        <v>6574</v>
      </c>
      <c r="D2506" t="s">
        <v>2852</v>
      </c>
      <c r="E2506" t="s">
        <v>6573</v>
      </c>
    </row>
    <row r="2507" spans="1:5" x14ac:dyDescent="0.3">
      <c r="A2507" t="s">
        <v>6565</v>
      </c>
      <c r="B2507" t="s">
        <v>6566</v>
      </c>
      <c r="C2507" t="s">
        <v>4469</v>
      </c>
      <c r="D2507" t="s">
        <v>2709</v>
      </c>
      <c r="E2507" t="s">
        <v>6567</v>
      </c>
    </row>
    <row r="2508" spans="1:5" x14ac:dyDescent="0.3">
      <c r="A2508" t="s">
        <v>6589</v>
      </c>
      <c r="B2508" t="s">
        <v>6590</v>
      </c>
      <c r="C2508" t="s">
        <v>6574</v>
      </c>
      <c r="D2508" t="s">
        <v>2852</v>
      </c>
      <c r="E2508" t="s">
        <v>6591</v>
      </c>
    </row>
    <row r="2509" spans="1:5" x14ac:dyDescent="0.3">
      <c r="A2509" t="s">
        <v>3342</v>
      </c>
      <c r="B2509" t="s">
        <v>3343</v>
      </c>
      <c r="C2509" t="s">
        <v>2696</v>
      </c>
      <c r="D2509" t="s">
        <v>2696</v>
      </c>
      <c r="E2509" t="s">
        <v>3344</v>
      </c>
    </row>
    <row r="2510" spans="1:5" x14ac:dyDescent="0.3">
      <c r="A2510" t="s">
        <v>3366</v>
      </c>
      <c r="B2510" t="s">
        <v>3367</v>
      </c>
      <c r="C2510" t="s">
        <v>2696</v>
      </c>
      <c r="D2510" t="s">
        <v>2696</v>
      </c>
      <c r="E2510" t="s">
        <v>3368</v>
      </c>
    </row>
    <row r="2511" spans="1:5" x14ac:dyDescent="0.3">
      <c r="A2511" t="s">
        <v>6595</v>
      </c>
      <c r="B2511" t="s">
        <v>6596</v>
      </c>
      <c r="C2511" t="s">
        <v>4469</v>
      </c>
      <c r="D2511" t="s">
        <v>2709</v>
      </c>
      <c r="E2511" t="s">
        <v>6597</v>
      </c>
    </row>
    <row r="2512" spans="1:5" x14ac:dyDescent="0.3">
      <c r="A2512" t="s">
        <v>2371</v>
      </c>
      <c r="B2512" t="s">
        <v>2372</v>
      </c>
      <c r="C2512" t="s">
        <v>1140</v>
      </c>
      <c r="D2512" t="s">
        <v>1088</v>
      </c>
      <c r="E2512" t="s">
        <v>2373</v>
      </c>
    </row>
    <row r="2513" spans="1:5" x14ac:dyDescent="0.3">
      <c r="A2513" t="s">
        <v>2099</v>
      </c>
      <c r="B2513" t="s">
        <v>2100</v>
      </c>
      <c r="C2513" t="s">
        <v>1501</v>
      </c>
      <c r="D2513" t="s">
        <v>1088</v>
      </c>
      <c r="E2513" t="s">
        <v>2101</v>
      </c>
    </row>
    <row r="2514" spans="1:5" x14ac:dyDescent="0.3">
      <c r="A2514" t="s">
        <v>6302</v>
      </c>
      <c r="B2514" t="s">
        <v>6303</v>
      </c>
      <c r="C2514" t="s">
        <v>4229</v>
      </c>
      <c r="D2514" t="s">
        <v>2841</v>
      </c>
      <c r="E2514" t="s">
        <v>6304</v>
      </c>
    </row>
    <row r="2515" spans="1:5" x14ac:dyDescent="0.3">
      <c r="A2515" t="s">
        <v>2572</v>
      </c>
      <c r="B2515" t="s">
        <v>2573</v>
      </c>
      <c r="C2515" t="s">
        <v>1140</v>
      </c>
      <c r="D2515" t="s">
        <v>1088</v>
      </c>
      <c r="E2515" t="s">
        <v>2574</v>
      </c>
    </row>
    <row r="2516" spans="1:5" x14ac:dyDescent="0.3">
      <c r="A2516" t="s">
        <v>6621</v>
      </c>
      <c r="B2516" t="s">
        <v>6622</v>
      </c>
      <c r="C2516" t="s">
        <v>4246</v>
      </c>
      <c r="D2516" t="s">
        <v>2709</v>
      </c>
      <c r="E2516" t="s">
        <v>6623</v>
      </c>
    </row>
    <row r="2517" spans="1:5" x14ac:dyDescent="0.3">
      <c r="A2517" t="s">
        <v>3389</v>
      </c>
      <c r="B2517" t="s">
        <v>3390</v>
      </c>
      <c r="C2517" t="s">
        <v>2696</v>
      </c>
      <c r="D2517" t="s">
        <v>2696</v>
      </c>
      <c r="E2517" t="s">
        <v>3391</v>
      </c>
    </row>
    <row r="2518" spans="1:5" x14ac:dyDescent="0.3">
      <c r="A2518" t="s">
        <v>3413</v>
      </c>
      <c r="B2518" t="s">
        <v>3414</v>
      </c>
      <c r="C2518" t="s">
        <v>2696</v>
      </c>
      <c r="D2518" t="s">
        <v>2696</v>
      </c>
      <c r="E2518" t="s">
        <v>3415</v>
      </c>
    </row>
    <row r="2519" spans="1:5" x14ac:dyDescent="0.3">
      <c r="A2519" t="s">
        <v>6426</v>
      </c>
      <c r="B2519" t="s">
        <v>3141</v>
      </c>
      <c r="C2519" t="s">
        <v>2708</v>
      </c>
      <c r="D2519" t="s">
        <v>2709</v>
      </c>
      <c r="E2519" t="s">
        <v>6427</v>
      </c>
    </row>
    <row r="2520" spans="1:5" x14ac:dyDescent="0.3">
      <c r="A2520" t="s">
        <v>6449</v>
      </c>
      <c r="B2520" t="s">
        <v>6450</v>
      </c>
      <c r="C2520" t="s">
        <v>2708</v>
      </c>
      <c r="D2520" t="s">
        <v>2709</v>
      </c>
      <c r="E2520" t="s">
        <v>6451</v>
      </c>
    </row>
    <row r="2521" spans="1:5" x14ac:dyDescent="0.3">
      <c r="A2521" t="s">
        <v>7139</v>
      </c>
      <c r="B2521" t="s">
        <v>7140</v>
      </c>
      <c r="C2521" t="s">
        <v>3711</v>
      </c>
      <c r="D2521" t="s">
        <v>3712</v>
      </c>
      <c r="E2521" t="s">
        <v>7141</v>
      </c>
    </row>
    <row r="2522" spans="1:5" x14ac:dyDescent="0.3">
      <c r="A2522" t="s">
        <v>7162</v>
      </c>
      <c r="B2522" t="s">
        <v>7163</v>
      </c>
      <c r="C2522" t="s">
        <v>4595</v>
      </c>
      <c r="D2522" t="s">
        <v>133</v>
      </c>
      <c r="E2522" t="s">
        <v>7164</v>
      </c>
    </row>
    <row r="2523" spans="1:5" x14ac:dyDescent="0.3">
      <c r="A2523" t="s">
        <v>6324</v>
      </c>
      <c r="B2523" t="s">
        <v>6325</v>
      </c>
      <c r="C2523" t="s">
        <v>4229</v>
      </c>
      <c r="D2523" t="s">
        <v>2841</v>
      </c>
      <c r="E2523" t="s">
        <v>6326</v>
      </c>
    </row>
    <row r="2524" spans="1:5" x14ac:dyDescent="0.3">
      <c r="A2524" t="s">
        <v>6334</v>
      </c>
      <c r="B2524" t="s">
        <v>6335</v>
      </c>
      <c r="C2524" t="s">
        <v>6333</v>
      </c>
      <c r="D2524" t="s">
        <v>2709</v>
      </c>
      <c r="E2524" t="s">
        <v>6336</v>
      </c>
    </row>
    <row r="2525" spans="1:5" x14ac:dyDescent="0.3">
      <c r="A2525" t="s">
        <v>3437</v>
      </c>
      <c r="B2525" t="s">
        <v>3438</v>
      </c>
      <c r="C2525" t="s">
        <v>2696</v>
      </c>
      <c r="D2525" t="s">
        <v>2696</v>
      </c>
      <c r="E2525" t="s">
        <v>3439</v>
      </c>
    </row>
    <row r="2526" spans="1:5" x14ac:dyDescent="0.3">
      <c r="A2526" t="s">
        <v>3460</v>
      </c>
      <c r="B2526" t="s">
        <v>3461</v>
      </c>
      <c r="C2526" t="s">
        <v>2696</v>
      </c>
      <c r="D2526" t="s">
        <v>2696</v>
      </c>
      <c r="E2526" t="s">
        <v>3462</v>
      </c>
    </row>
    <row r="2527" spans="1:5" x14ac:dyDescent="0.3">
      <c r="A2527" t="s">
        <v>6645</v>
      </c>
      <c r="B2527" t="s">
        <v>6646</v>
      </c>
      <c r="C2527" t="s">
        <v>4595</v>
      </c>
      <c r="D2527" t="s">
        <v>133</v>
      </c>
      <c r="E2527" t="s">
        <v>6647</v>
      </c>
    </row>
    <row r="2528" spans="1:5" x14ac:dyDescent="0.3">
      <c r="A2528" t="s">
        <v>6668</v>
      </c>
      <c r="B2528" t="s">
        <v>6669</v>
      </c>
      <c r="C2528" t="s">
        <v>4595</v>
      </c>
      <c r="D2528" t="s">
        <v>133</v>
      </c>
      <c r="E2528" t="s">
        <v>6670</v>
      </c>
    </row>
    <row r="2529" spans="1:5" x14ac:dyDescent="0.3">
      <c r="A2529" t="s">
        <v>6472</v>
      </c>
      <c r="B2529" t="s">
        <v>6473</v>
      </c>
      <c r="C2529" t="s">
        <v>2840</v>
      </c>
      <c r="D2529" t="s">
        <v>2841</v>
      </c>
      <c r="E2529" t="s">
        <v>6474</v>
      </c>
    </row>
    <row r="2530" spans="1:5" x14ac:dyDescent="0.3">
      <c r="A2530" t="s">
        <v>2315</v>
      </c>
      <c r="B2530" t="s">
        <v>2316</v>
      </c>
      <c r="C2530" t="s">
        <v>1110</v>
      </c>
      <c r="D2530" t="s">
        <v>1111</v>
      </c>
      <c r="E2530" t="s">
        <v>2317</v>
      </c>
    </row>
    <row r="2531" spans="1:5" x14ac:dyDescent="0.3">
      <c r="A2531" t="s">
        <v>7184</v>
      </c>
      <c r="B2531" t="s">
        <v>7185</v>
      </c>
      <c r="C2531" t="s">
        <v>6333</v>
      </c>
      <c r="D2531" t="s">
        <v>2709</v>
      </c>
      <c r="E2531" t="s">
        <v>7186</v>
      </c>
    </row>
    <row r="2532" spans="1:5" x14ac:dyDescent="0.3">
      <c r="A2532" t="s">
        <v>3483</v>
      </c>
      <c r="B2532" t="s">
        <v>2792</v>
      </c>
      <c r="C2532" t="s">
        <v>2696</v>
      </c>
      <c r="D2532" t="s">
        <v>2696</v>
      </c>
      <c r="E2532" t="s">
        <v>3484</v>
      </c>
    </row>
    <row r="2533" spans="1:5" x14ac:dyDescent="0.3">
      <c r="A2533" t="s">
        <v>3506</v>
      </c>
      <c r="B2533" t="s">
        <v>3507</v>
      </c>
      <c r="C2533" t="s">
        <v>2696</v>
      </c>
      <c r="D2533" t="s">
        <v>2696</v>
      </c>
      <c r="E2533" t="s">
        <v>3508</v>
      </c>
    </row>
    <row r="2534" spans="1:5" x14ac:dyDescent="0.3">
      <c r="A2534" t="s">
        <v>2156</v>
      </c>
      <c r="B2534" t="s">
        <v>2157</v>
      </c>
      <c r="C2534" t="s">
        <v>1533</v>
      </c>
      <c r="D2534" t="s">
        <v>1111</v>
      </c>
      <c r="E2534" t="s">
        <v>2158</v>
      </c>
    </row>
    <row r="2535" spans="1:5" x14ac:dyDescent="0.3">
      <c r="A2535" t="s">
        <v>6367</v>
      </c>
      <c r="B2535" t="s">
        <v>6368</v>
      </c>
      <c r="C2535" t="s">
        <v>6349</v>
      </c>
      <c r="D2535" t="s">
        <v>2841</v>
      </c>
      <c r="E2535" t="s">
        <v>6369</v>
      </c>
    </row>
    <row r="2536" spans="1:5" x14ac:dyDescent="0.3">
      <c r="A2536" t="s">
        <v>6691</v>
      </c>
      <c r="B2536" t="s">
        <v>6692</v>
      </c>
      <c r="C2536" t="s">
        <v>4625</v>
      </c>
      <c r="D2536" t="s">
        <v>133</v>
      </c>
      <c r="E2536" t="s">
        <v>6693</v>
      </c>
    </row>
    <row r="2537" spans="1:5" x14ac:dyDescent="0.3">
      <c r="A2537" t="s">
        <v>6713</v>
      </c>
      <c r="B2537" t="s">
        <v>6714</v>
      </c>
      <c r="C2537" t="s">
        <v>4207</v>
      </c>
      <c r="D2537" t="s">
        <v>133</v>
      </c>
      <c r="E2537" t="s">
        <v>6715</v>
      </c>
    </row>
    <row r="2538" spans="1:5" x14ac:dyDescent="0.3">
      <c r="A2538" t="s">
        <v>3529</v>
      </c>
      <c r="B2538" t="s">
        <v>3530</v>
      </c>
      <c r="C2538" t="s">
        <v>2696</v>
      </c>
      <c r="D2538" t="s">
        <v>2696</v>
      </c>
      <c r="E2538" t="s">
        <v>3531</v>
      </c>
    </row>
    <row r="2539" spans="1:5" x14ac:dyDescent="0.3">
      <c r="A2539" t="s">
        <v>3553</v>
      </c>
      <c r="B2539" t="s">
        <v>3554</v>
      </c>
      <c r="C2539" t="s">
        <v>2696</v>
      </c>
      <c r="D2539" t="s">
        <v>2696</v>
      </c>
      <c r="E2539" t="s">
        <v>3555</v>
      </c>
    </row>
    <row r="2540" spans="1:5" x14ac:dyDescent="0.3">
      <c r="A2540" t="s">
        <v>2318</v>
      </c>
      <c r="B2540" t="s">
        <v>2319</v>
      </c>
      <c r="C2540" t="s">
        <v>1110</v>
      </c>
      <c r="D2540" t="s">
        <v>1111</v>
      </c>
      <c r="E2540" t="s">
        <v>2320</v>
      </c>
    </row>
    <row r="2541" spans="1:5" x14ac:dyDescent="0.3">
      <c r="A2541" t="s">
        <v>6492</v>
      </c>
      <c r="B2541" t="s">
        <v>6493</v>
      </c>
      <c r="C2541" t="s">
        <v>3850</v>
      </c>
      <c r="D2541" t="s">
        <v>3712</v>
      </c>
      <c r="E2541" t="s">
        <v>6494</v>
      </c>
    </row>
    <row r="2542" spans="1:5" x14ac:dyDescent="0.3">
      <c r="A2542" t="s">
        <v>7206</v>
      </c>
      <c r="B2542" t="s">
        <v>7207</v>
      </c>
      <c r="C2542" t="s">
        <v>2851</v>
      </c>
      <c r="D2542" t="s">
        <v>2852</v>
      </c>
      <c r="E2542" t="s">
        <v>7208</v>
      </c>
    </row>
    <row r="2543" spans="1:5" x14ac:dyDescent="0.3">
      <c r="A2543" t="s">
        <v>2300</v>
      </c>
      <c r="B2543" t="s">
        <v>2301</v>
      </c>
      <c r="C2543" t="s">
        <v>1140</v>
      </c>
      <c r="D2543" t="s">
        <v>1088</v>
      </c>
      <c r="E2543" t="s">
        <v>2302</v>
      </c>
    </row>
    <row r="2544" spans="1:5" x14ac:dyDescent="0.3">
      <c r="A2544" t="s">
        <v>7248</v>
      </c>
      <c r="B2544" t="s">
        <v>7249</v>
      </c>
      <c r="C2544" t="s">
        <v>3768</v>
      </c>
      <c r="D2544" t="s">
        <v>2852</v>
      </c>
      <c r="E2544" t="s">
        <v>7250</v>
      </c>
    </row>
    <row r="2545" spans="1:5" x14ac:dyDescent="0.3">
      <c r="A2545" t="s">
        <v>7270</v>
      </c>
      <c r="B2545" t="s">
        <v>7271</v>
      </c>
      <c r="C2545" t="s">
        <v>3758</v>
      </c>
      <c r="D2545" t="s">
        <v>3712</v>
      </c>
      <c r="E2545" t="s">
        <v>7272</v>
      </c>
    </row>
    <row r="2546" spans="1:5" x14ac:dyDescent="0.3">
      <c r="A2546" t="s">
        <v>3577</v>
      </c>
      <c r="B2546" t="s">
        <v>3578</v>
      </c>
      <c r="C2546" t="s">
        <v>2696</v>
      </c>
      <c r="D2546" t="s">
        <v>2696</v>
      </c>
      <c r="E2546" t="s">
        <v>3579</v>
      </c>
    </row>
    <row r="2547" spans="1:5" x14ac:dyDescent="0.3">
      <c r="A2547" t="s">
        <v>3601</v>
      </c>
      <c r="B2547" t="s">
        <v>3602</v>
      </c>
      <c r="C2547" t="s">
        <v>2696</v>
      </c>
      <c r="D2547" t="s">
        <v>2696</v>
      </c>
      <c r="E2547" t="s">
        <v>3603</v>
      </c>
    </row>
    <row r="2548" spans="1:5" x14ac:dyDescent="0.3">
      <c r="A2548" t="s">
        <v>6730</v>
      </c>
      <c r="B2548" t="s">
        <v>3098</v>
      </c>
      <c r="C2548" t="s">
        <v>3860</v>
      </c>
      <c r="D2548" t="s">
        <v>2704</v>
      </c>
      <c r="E2548" t="s">
        <v>6731</v>
      </c>
    </row>
    <row r="2549" spans="1:5" x14ac:dyDescent="0.3">
      <c r="A2549" t="s">
        <v>7237</v>
      </c>
      <c r="B2549" t="s">
        <v>7238</v>
      </c>
      <c r="C2549" t="s">
        <v>3768</v>
      </c>
      <c r="D2549" t="s">
        <v>2852</v>
      </c>
      <c r="E2549" t="s">
        <v>7239</v>
      </c>
    </row>
    <row r="2550" spans="1:5" x14ac:dyDescent="0.3">
      <c r="A2550" t="s">
        <v>7259</v>
      </c>
      <c r="B2550" t="s">
        <v>3073</v>
      </c>
      <c r="C2550" t="s">
        <v>3768</v>
      </c>
      <c r="D2550" t="s">
        <v>2852</v>
      </c>
      <c r="E2550" t="s">
        <v>7260</v>
      </c>
    </row>
    <row r="2551" spans="1:5" x14ac:dyDescent="0.3">
      <c r="A2551" t="s">
        <v>7294</v>
      </c>
      <c r="B2551" t="s">
        <v>7295</v>
      </c>
      <c r="C2551" t="s">
        <v>3758</v>
      </c>
      <c r="D2551" t="s">
        <v>3712</v>
      </c>
      <c r="E2551" t="s">
        <v>7296</v>
      </c>
    </row>
    <row r="2552" spans="1:5" x14ac:dyDescent="0.3">
      <c r="A2552" t="s">
        <v>7318</v>
      </c>
      <c r="B2552" t="s">
        <v>7319</v>
      </c>
      <c r="C2552" t="s">
        <v>6574</v>
      </c>
      <c r="D2552" t="s">
        <v>2852</v>
      </c>
      <c r="E2552" t="s">
        <v>7320</v>
      </c>
    </row>
    <row r="2553" spans="1:5" x14ac:dyDescent="0.3">
      <c r="A2553" t="s">
        <v>3625</v>
      </c>
      <c r="B2553" t="s">
        <v>3626</v>
      </c>
      <c r="C2553" t="s">
        <v>2696</v>
      </c>
      <c r="D2553" t="s">
        <v>2696</v>
      </c>
      <c r="E2553" t="s">
        <v>3627</v>
      </c>
    </row>
    <row r="2554" spans="1:5" x14ac:dyDescent="0.3">
      <c r="A2554" t="s">
        <v>3648</v>
      </c>
      <c r="B2554" t="s">
        <v>3649</v>
      </c>
      <c r="C2554" t="s">
        <v>2696</v>
      </c>
      <c r="D2554" t="s">
        <v>2696</v>
      </c>
      <c r="E2554" t="s">
        <v>3650</v>
      </c>
    </row>
    <row r="2555" spans="1:5" x14ac:dyDescent="0.3">
      <c r="A2555" t="s">
        <v>6627</v>
      </c>
      <c r="B2555" t="s">
        <v>6628</v>
      </c>
      <c r="C2555" t="s">
        <v>4246</v>
      </c>
      <c r="D2555" t="s">
        <v>2709</v>
      </c>
      <c r="E2555" t="s">
        <v>6629</v>
      </c>
    </row>
    <row r="2556" spans="1:5" x14ac:dyDescent="0.3">
      <c r="A2556" t="s">
        <v>6651</v>
      </c>
      <c r="B2556" t="s">
        <v>6652</v>
      </c>
      <c r="C2556" t="s">
        <v>4595</v>
      </c>
      <c r="D2556" t="s">
        <v>133</v>
      </c>
      <c r="E2556" t="s">
        <v>6653</v>
      </c>
    </row>
    <row r="2557" spans="1:5" x14ac:dyDescent="0.3">
      <c r="A2557" t="s">
        <v>6515</v>
      </c>
      <c r="B2557" t="s">
        <v>6516</v>
      </c>
      <c r="C2557" t="s">
        <v>2840</v>
      </c>
      <c r="D2557" t="s">
        <v>2841</v>
      </c>
      <c r="E2557" t="s">
        <v>6517</v>
      </c>
    </row>
    <row r="2558" spans="1:5" x14ac:dyDescent="0.3">
      <c r="A2558" t="s">
        <v>6539</v>
      </c>
      <c r="B2558" t="s">
        <v>6540</v>
      </c>
      <c r="C2558" t="s">
        <v>2840</v>
      </c>
      <c r="D2558" t="s">
        <v>2841</v>
      </c>
      <c r="E2558" t="s">
        <v>6541</v>
      </c>
    </row>
    <row r="2559" spans="1:5" x14ac:dyDescent="0.3">
      <c r="A2559" t="s">
        <v>2162</v>
      </c>
      <c r="B2559" t="s">
        <v>2163</v>
      </c>
      <c r="C2559" t="s">
        <v>1209</v>
      </c>
      <c r="D2559" t="s">
        <v>1088</v>
      </c>
      <c r="E2559" t="s">
        <v>2164</v>
      </c>
    </row>
    <row r="2560" spans="1:5" x14ac:dyDescent="0.3">
      <c r="A2560" t="s">
        <v>2165</v>
      </c>
      <c r="B2560" t="s">
        <v>2166</v>
      </c>
      <c r="C2560" t="s">
        <v>1209</v>
      </c>
      <c r="D2560" t="s">
        <v>1088</v>
      </c>
      <c r="E2560" t="s">
        <v>2167</v>
      </c>
    </row>
    <row r="2561" spans="1:5" x14ac:dyDescent="0.3">
      <c r="A2561" t="s">
        <v>3672</v>
      </c>
      <c r="B2561" t="s">
        <v>3673</v>
      </c>
      <c r="C2561" t="s">
        <v>2696</v>
      </c>
      <c r="D2561" t="s">
        <v>2696</v>
      </c>
      <c r="E2561" t="s">
        <v>3674</v>
      </c>
    </row>
    <row r="2562" spans="1:5" x14ac:dyDescent="0.3">
      <c r="A2562" t="s">
        <v>2575</v>
      </c>
      <c r="B2562" t="s">
        <v>2576</v>
      </c>
      <c r="C2562" t="s">
        <v>1533</v>
      </c>
      <c r="D2562" t="s">
        <v>1111</v>
      </c>
      <c r="E2562" t="s">
        <v>2577</v>
      </c>
    </row>
    <row r="2563" spans="1:5" x14ac:dyDescent="0.3">
      <c r="A2563" t="s">
        <v>6751</v>
      </c>
      <c r="B2563" t="s">
        <v>6752</v>
      </c>
      <c r="C2563" t="s">
        <v>6747</v>
      </c>
      <c r="D2563" t="s">
        <v>133</v>
      </c>
      <c r="E2563" t="s">
        <v>6753</v>
      </c>
    </row>
    <row r="2564" spans="1:5" x14ac:dyDescent="0.3">
      <c r="A2564" t="s">
        <v>7282</v>
      </c>
      <c r="B2564" t="s">
        <v>7283</v>
      </c>
      <c r="C2564" t="s">
        <v>3758</v>
      </c>
      <c r="D2564" t="s">
        <v>3712</v>
      </c>
      <c r="E2564" t="s">
        <v>7284</v>
      </c>
    </row>
    <row r="2565" spans="1:5" x14ac:dyDescent="0.3">
      <c r="A2565" t="s">
        <v>7306</v>
      </c>
      <c r="B2565" t="s">
        <v>7307</v>
      </c>
      <c r="C2565" t="s">
        <v>3758</v>
      </c>
      <c r="D2565" t="s">
        <v>3712</v>
      </c>
      <c r="E2565" t="s">
        <v>7308</v>
      </c>
    </row>
    <row r="2566" spans="1:5" x14ac:dyDescent="0.3">
      <c r="A2566" t="s">
        <v>6674</v>
      </c>
      <c r="B2566" t="s">
        <v>6675</v>
      </c>
      <c r="C2566" t="s">
        <v>4595</v>
      </c>
      <c r="D2566" t="s">
        <v>133</v>
      </c>
      <c r="E2566" t="s">
        <v>6676</v>
      </c>
    </row>
    <row r="2567" spans="1:5" x14ac:dyDescent="0.3">
      <c r="A2567" t="s">
        <v>6562</v>
      </c>
      <c r="B2567" t="s">
        <v>6563</v>
      </c>
      <c r="C2567" t="s">
        <v>4469</v>
      </c>
      <c r="D2567" t="s">
        <v>2709</v>
      </c>
      <c r="E2567" t="s">
        <v>6564</v>
      </c>
    </row>
    <row r="2568" spans="1:5" x14ac:dyDescent="0.3">
      <c r="A2568" t="s">
        <v>6587</v>
      </c>
      <c r="B2568" t="s">
        <v>5285</v>
      </c>
      <c r="C2568" t="s">
        <v>6574</v>
      </c>
      <c r="D2568" t="s">
        <v>2852</v>
      </c>
      <c r="E2568" t="s">
        <v>6588</v>
      </c>
    </row>
    <row r="2569" spans="1:5" x14ac:dyDescent="0.3">
      <c r="A2569" t="s">
        <v>3696</v>
      </c>
      <c r="B2569" t="s">
        <v>3697</v>
      </c>
      <c r="C2569" t="s">
        <v>2696</v>
      </c>
      <c r="D2569" t="s">
        <v>2696</v>
      </c>
      <c r="E2569" t="s">
        <v>3698</v>
      </c>
    </row>
    <row r="2570" spans="1:5" x14ac:dyDescent="0.3">
      <c r="A2570" t="s">
        <v>3722</v>
      </c>
      <c r="B2570" t="s">
        <v>3723</v>
      </c>
      <c r="C2570" t="s">
        <v>3711</v>
      </c>
      <c r="D2570" t="s">
        <v>3712</v>
      </c>
      <c r="E2570" t="s">
        <v>3724</v>
      </c>
    </row>
    <row r="2571" spans="1:5" x14ac:dyDescent="0.3">
      <c r="A2571" t="s">
        <v>6773</v>
      </c>
      <c r="B2571" t="s">
        <v>6774</v>
      </c>
      <c r="C2571" t="s">
        <v>6747</v>
      </c>
      <c r="D2571" t="s">
        <v>133</v>
      </c>
      <c r="E2571" t="s">
        <v>6775</v>
      </c>
    </row>
    <row r="2572" spans="1:5" x14ac:dyDescent="0.3">
      <c r="A2572" t="s">
        <v>6797</v>
      </c>
      <c r="B2572" t="s">
        <v>6798</v>
      </c>
      <c r="C2572" t="s">
        <v>3936</v>
      </c>
      <c r="D2572" t="s">
        <v>3712</v>
      </c>
      <c r="E2572" t="s">
        <v>6799</v>
      </c>
    </row>
    <row r="2573" spans="1:5" x14ac:dyDescent="0.3">
      <c r="A2573" t="s">
        <v>6391</v>
      </c>
      <c r="B2573" t="s">
        <v>6207</v>
      </c>
      <c r="C2573" t="s">
        <v>4086</v>
      </c>
      <c r="D2573" t="s">
        <v>2704</v>
      </c>
      <c r="E2573" t="s">
        <v>6392</v>
      </c>
    </row>
    <row r="2574" spans="1:5" x14ac:dyDescent="0.3">
      <c r="A2574" t="s">
        <v>6414</v>
      </c>
      <c r="B2574" t="s">
        <v>6415</v>
      </c>
      <c r="C2574" t="s">
        <v>2708</v>
      </c>
      <c r="D2574" t="s">
        <v>2709</v>
      </c>
      <c r="E2574" t="s">
        <v>6416</v>
      </c>
    </row>
    <row r="2575" spans="1:5" x14ac:dyDescent="0.3">
      <c r="A2575" t="s">
        <v>7330</v>
      </c>
      <c r="B2575" t="s">
        <v>1090</v>
      </c>
      <c r="C2575" t="s">
        <v>6333</v>
      </c>
      <c r="D2575" t="s">
        <v>2709</v>
      </c>
      <c r="E2575" t="s">
        <v>7331</v>
      </c>
    </row>
    <row r="2576" spans="1:5" x14ac:dyDescent="0.3">
      <c r="A2576" t="s">
        <v>7354</v>
      </c>
      <c r="B2576" t="s">
        <v>7355</v>
      </c>
      <c r="C2576" t="s">
        <v>7344</v>
      </c>
      <c r="D2576" t="s">
        <v>2704</v>
      </c>
      <c r="E2576" t="s">
        <v>7356</v>
      </c>
    </row>
    <row r="2577" spans="1:5" x14ac:dyDescent="0.3">
      <c r="A2577" t="s">
        <v>6697</v>
      </c>
      <c r="B2577" t="s">
        <v>6698</v>
      </c>
      <c r="C2577" t="s">
        <v>6574</v>
      </c>
      <c r="D2577" t="s">
        <v>2852</v>
      </c>
      <c r="E2577" t="s">
        <v>6699</v>
      </c>
    </row>
    <row r="2578" spans="1:5" x14ac:dyDescent="0.3">
      <c r="A2578" t="s">
        <v>2403</v>
      </c>
      <c r="B2578" t="s">
        <v>2404</v>
      </c>
      <c r="C2578" t="s">
        <v>1209</v>
      </c>
      <c r="D2578" t="s">
        <v>1088</v>
      </c>
      <c r="E2578" t="s">
        <v>2405</v>
      </c>
    </row>
    <row r="2579" spans="1:5" x14ac:dyDescent="0.3">
      <c r="A2579" t="s">
        <v>3746</v>
      </c>
      <c r="B2579" t="s">
        <v>3747</v>
      </c>
      <c r="C2579" t="s">
        <v>3711</v>
      </c>
      <c r="D2579" t="s">
        <v>3712</v>
      </c>
      <c r="E2579" t="s">
        <v>3748</v>
      </c>
    </row>
    <row r="2580" spans="1:5" x14ac:dyDescent="0.3">
      <c r="A2580" t="s">
        <v>3772</v>
      </c>
      <c r="B2580" t="s">
        <v>3773</v>
      </c>
      <c r="C2580" t="s">
        <v>3768</v>
      </c>
      <c r="D2580" t="s">
        <v>2852</v>
      </c>
      <c r="E2580" t="s">
        <v>3774</v>
      </c>
    </row>
    <row r="2581" spans="1:5" x14ac:dyDescent="0.3">
      <c r="A2581" t="s">
        <v>2578</v>
      </c>
      <c r="B2581" t="s">
        <v>2579</v>
      </c>
      <c r="C2581" t="s">
        <v>1523</v>
      </c>
      <c r="D2581" t="s">
        <v>1111</v>
      </c>
      <c r="E2581" t="s">
        <v>2580</v>
      </c>
    </row>
    <row r="2582" spans="1:5" x14ac:dyDescent="0.3">
      <c r="A2582" t="s">
        <v>6821</v>
      </c>
      <c r="B2582" t="s">
        <v>6822</v>
      </c>
      <c r="C2582" t="s">
        <v>4246</v>
      </c>
      <c r="D2582" t="s">
        <v>2709</v>
      </c>
      <c r="E2582" t="s">
        <v>6823</v>
      </c>
    </row>
    <row r="2583" spans="1:5" x14ac:dyDescent="0.3">
      <c r="A2583" t="s">
        <v>6610</v>
      </c>
      <c r="B2583" t="s">
        <v>6611</v>
      </c>
      <c r="C2583" t="s">
        <v>6333</v>
      </c>
      <c r="D2583" t="s">
        <v>2709</v>
      </c>
      <c r="E2583" t="s">
        <v>6612</v>
      </c>
    </row>
    <row r="2584" spans="1:5" x14ac:dyDescent="0.3">
      <c r="A2584" t="s">
        <v>6618</v>
      </c>
      <c r="B2584" t="s">
        <v>6619</v>
      </c>
      <c r="C2584" t="s">
        <v>4246</v>
      </c>
      <c r="D2584" t="s">
        <v>2709</v>
      </c>
      <c r="E2584" t="s">
        <v>6620</v>
      </c>
    </row>
    <row r="2585" spans="1:5" x14ac:dyDescent="0.3">
      <c r="A2585" t="s">
        <v>7341</v>
      </c>
      <c r="B2585" t="s">
        <v>7342</v>
      </c>
      <c r="C2585" t="s">
        <v>7344</v>
      </c>
      <c r="D2585" t="s">
        <v>2704</v>
      </c>
      <c r="E2585" t="s">
        <v>7343</v>
      </c>
    </row>
    <row r="2586" spans="1:5" x14ac:dyDescent="0.3">
      <c r="A2586" t="s">
        <v>7366</v>
      </c>
      <c r="B2586" t="s">
        <v>7367</v>
      </c>
      <c r="C2586" t="s">
        <v>7344</v>
      </c>
      <c r="D2586" t="s">
        <v>2704</v>
      </c>
      <c r="E2586" t="s">
        <v>7368</v>
      </c>
    </row>
    <row r="2587" spans="1:5" x14ac:dyDescent="0.3">
      <c r="A2587" t="s">
        <v>2412</v>
      </c>
      <c r="B2587" t="s">
        <v>2413</v>
      </c>
      <c r="C2587" t="s">
        <v>1533</v>
      </c>
      <c r="D2587" t="s">
        <v>1111</v>
      </c>
      <c r="E2587" t="s">
        <v>2414</v>
      </c>
    </row>
    <row r="2588" spans="1:5" x14ac:dyDescent="0.3">
      <c r="A2588" t="s">
        <v>6734</v>
      </c>
      <c r="B2588" t="s">
        <v>1310</v>
      </c>
      <c r="C2588" t="s">
        <v>3906</v>
      </c>
      <c r="D2588" t="s">
        <v>133</v>
      </c>
      <c r="E2588" t="s">
        <v>6735</v>
      </c>
    </row>
    <row r="2589" spans="1:5" x14ac:dyDescent="0.3">
      <c r="A2589" t="s">
        <v>3796</v>
      </c>
      <c r="B2589" t="s">
        <v>3797</v>
      </c>
      <c r="C2589" t="s">
        <v>3768</v>
      </c>
      <c r="D2589" t="s">
        <v>2852</v>
      </c>
      <c r="E2589" t="s">
        <v>3798</v>
      </c>
    </row>
    <row r="2590" spans="1:5" x14ac:dyDescent="0.3">
      <c r="A2590" t="s">
        <v>3820</v>
      </c>
      <c r="B2590" t="s">
        <v>3821</v>
      </c>
      <c r="C2590" t="s">
        <v>3768</v>
      </c>
      <c r="D2590" t="s">
        <v>2852</v>
      </c>
      <c r="E2590" t="s">
        <v>3822</v>
      </c>
    </row>
    <row r="2591" spans="1:5" x14ac:dyDescent="0.3">
      <c r="A2591" t="s">
        <v>2581</v>
      </c>
      <c r="B2591" t="s">
        <v>2582</v>
      </c>
      <c r="C2591" t="s">
        <v>1523</v>
      </c>
      <c r="D2591" t="s">
        <v>1111</v>
      </c>
      <c r="E2591" t="s">
        <v>2583</v>
      </c>
    </row>
    <row r="2592" spans="1:5" x14ac:dyDescent="0.3">
      <c r="A2592" t="s">
        <v>2584</v>
      </c>
      <c r="B2592" t="s">
        <v>2585</v>
      </c>
      <c r="C2592" t="s">
        <v>1115</v>
      </c>
      <c r="D2592" t="s">
        <v>1111</v>
      </c>
      <c r="E2592" t="s">
        <v>2586</v>
      </c>
    </row>
    <row r="2593" spans="1:5" x14ac:dyDescent="0.3">
      <c r="A2593" t="s">
        <v>7378</v>
      </c>
      <c r="B2593" t="s">
        <v>4221</v>
      </c>
      <c r="C2593" t="s">
        <v>4229</v>
      </c>
      <c r="D2593" t="s">
        <v>2841</v>
      </c>
      <c r="E2593" t="s">
        <v>7379</v>
      </c>
    </row>
    <row r="2594" spans="1:5" x14ac:dyDescent="0.3">
      <c r="A2594" t="s">
        <v>2321</v>
      </c>
      <c r="B2594" t="s">
        <v>2322</v>
      </c>
      <c r="C2594" t="s">
        <v>1533</v>
      </c>
      <c r="D2594" t="s">
        <v>1111</v>
      </c>
      <c r="E2594" t="s">
        <v>2323</v>
      </c>
    </row>
    <row r="2595" spans="1:5" x14ac:dyDescent="0.3">
      <c r="A2595" t="s">
        <v>7388</v>
      </c>
      <c r="B2595" t="s">
        <v>7389</v>
      </c>
      <c r="C2595" t="s">
        <v>4229</v>
      </c>
      <c r="D2595" t="s">
        <v>2841</v>
      </c>
      <c r="E2595" t="s">
        <v>7390</v>
      </c>
    </row>
    <row r="2596" spans="1:5" x14ac:dyDescent="0.3">
      <c r="A2596" t="s">
        <v>3844</v>
      </c>
      <c r="B2596" t="s">
        <v>3845</v>
      </c>
      <c r="C2596" t="s">
        <v>3768</v>
      </c>
      <c r="D2596" t="s">
        <v>2852</v>
      </c>
      <c r="E2596" t="s">
        <v>3846</v>
      </c>
    </row>
    <row r="2597" spans="1:5" x14ac:dyDescent="0.3">
      <c r="A2597" t="s">
        <v>3870</v>
      </c>
      <c r="B2597" t="s">
        <v>3871</v>
      </c>
      <c r="C2597" t="s">
        <v>3860</v>
      </c>
      <c r="D2597" t="s">
        <v>2704</v>
      </c>
      <c r="E2597" t="s">
        <v>3872</v>
      </c>
    </row>
    <row r="2598" spans="1:5" x14ac:dyDescent="0.3">
      <c r="A2598" t="s">
        <v>7414</v>
      </c>
      <c r="B2598" t="s">
        <v>7415</v>
      </c>
      <c r="C2598" t="s">
        <v>7397</v>
      </c>
      <c r="D2598" t="s">
        <v>2704</v>
      </c>
      <c r="E2598" t="s">
        <v>7416</v>
      </c>
    </row>
    <row r="2599" spans="1:5" x14ac:dyDescent="0.3">
      <c r="A2599" t="s">
        <v>2350</v>
      </c>
      <c r="B2599" t="s">
        <v>2351</v>
      </c>
      <c r="C2599" t="s">
        <v>1087</v>
      </c>
      <c r="D2599" t="s">
        <v>1088</v>
      </c>
      <c r="E2599" t="s">
        <v>2352</v>
      </c>
    </row>
    <row r="2600" spans="1:5" x14ac:dyDescent="0.3">
      <c r="A2600" t="s">
        <v>6642</v>
      </c>
      <c r="B2600" t="s">
        <v>6643</v>
      </c>
      <c r="C2600" t="s">
        <v>4595</v>
      </c>
      <c r="D2600" t="s">
        <v>133</v>
      </c>
      <c r="E2600" t="s">
        <v>6644</v>
      </c>
    </row>
    <row r="2601" spans="1:5" x14ac:dyDescent="0.3">
      <c r="A2601" t="s">
        <v>7404</v>
      </c>
      <c r="B2601" t="s">
        <v>7405</v>
      </c>
      <c r="C2601" t="s">
        <v>7397</v>
      </c>
      <c r="D2601" t="s">
        <v>2704</v>
      </c>
      <c r="E2601" t="s">
        <v>7406</v>
      </c>
    </row>
    <row r="2602" spans="1:5" x14ac:dyDescent="0.3">
      <c r="A2602" t="s">
        <v>7425</v>
      </c>
      <c r="B2602" t="s">
        <v>7426</v>
      </c>
      <c r="C2602" t="s">
        <v>7397</v>
      </c>
      <c r="D2602" t="s">
        <v>2704</v>
      </c>
      <c r="E2602" t="s">
        <v>7427</v>
      </c>
    </row>
    <row r="2603" spans="1:5" x14ac:dyDescent="0.3">
      <c r="A2603" t="s">
        <v>3894</v>
      </c>
      <c r="B2603" t="s">
        <v>3895</v>
      </c>
      <c r="C2603" t="s">
        <v>3860</v>
      </c>
      <c r="D2603" t="s">
        <v>2704</v>
      </c>
      <c r="E2603" t="s">
        <v>3896</v>
      </c>
    </row>
    <row r="2604" spans="1:5" x14ac:dyDescent="0.3">
      <c r="A2604" t="s">
        <v>1154</v>
      </c>
      <c r="B2604" t="s">
        <v>1155</v>
      </c>
      <c r="C2604" t="s">
        <v>1110</v>
      </c>
      <c r="D2604" t="s">
        <v>1111</v>
      </c>
      <c r="E2604" t="s">
        <v>1156</v>
      </c>
    </row>
    <row r="2605" spans="1:5" x14ac:dyDescent="0.3">
      <c r="A2605" t="s">
        <v>2587</v>
      </c>
      <c r="B2605" t="s">
        <v>2588</v>
      </c>
      <c r="C2605" t="s">
        <v>1115</v>
      </c>
      <c r="D2605" t="s">
        <v>1111</v>
      </c>
      <c r="E2605" t="s">
        <v>2589</v>
      </c>
    </row>
    <row r="2606" spans="1:5" x14ac:dyDescent="0.3">
      <c r="A2606" t="s">
        <v>6839</v>
      </c>
      <c r="B2606" t="s">
        <v>6840</v>
      </c>
      <c r="C2606" t="s">
        <v>4207</v>
      </c>
      <c r="D2606" t="s">
        <v>133</v>
      </c>
      <c r="E2606" t="s">
        <v>6841</v>
      </c>
    </row>
    <row r="2607" spans="1:5" x14ac:dyDescent="0.3">
      <c r="A2607" t="s">
        <v>2353</v>
      </c>
      <c r="B2607" t="s">
        <v>2354</v>
      </c>
      <c r="C2607" t="s">
        <v>1087</v>
      </c>
      <c r="D2607" t="s">
        <v>1088</v>
      </c>
      <c r="E2607" t="s">
        <v>2355</v>
      </c>
    </row>
    <row r="2608" spans="1:5" x14ac:dyDescent="0.3">
      <c r="A2608" t="s">
        <v>7439</v>
      </c>
      <c r="B2608" t="s">
        <v>7440</v>
      </c>
      <c r="E2608" t="s">
        <v>7441</v>
      </c>
    </row>
    <row r="2609" spans="1:5" x14ac:dyDescent="0.3">
      <c r="A2609" t="s">
        <v>2222</v>
      </c>
      <c r="B2609" t="s">
        <v>2223</v>
      </c>
      <c r="C2609" t="s">
        <v>1087</v>
      </c>
      <c r="D2609" t="s">
        <v>1088</v>
      </c>
      <c r="E2609" t="s">
        <v>2224</v>
      </c>
    </row>
    <row r="2610" spans="1:5" x14ac:dyDescent="0.3">
      <c r="A2610" t="s">
        <v>7428</v>
      </c>
      <c r="B2610" t="s">
        <v>1560</v>
      </c>
      <c r="C2610" t="s">
        <v>3860</v>
      </c>
      <c r="D2610" t="s">
        <v>2704</v>
      </c>
      <c r="E2610" t="s">
        <v>7429</v>
      </c>
    </row>
    <row r="2611" spans="1:5" x14ac:dyDescent="0.3">
      <c r="A2611" t="s">
        <v>2590</v>
      </c>
      <c r="B2611" t="s">
        <v>2591</v>
      </c>
      <c r="C2611" t="s">
        <v>1523</v>
      </c>
      <c r="D2611" t="s">
        <v>1111</v>
      </c>
      <c r="E2611" t="s">
        <v>2592</v>
      </c>
    </row>
    <row r="2612" spans="1:5" x14ac:dyDescent="0.3">
      <c r="A2612" t="s">
        <v>6665</v>
      </c>
      <c r="B2612" t="s">
        <v>6666</v>
      </c>
      <c r="C2612" t="s">
        <v>4595</v>
      </c>
      <c r="D2612" t="s">
        <v>133</v>
      </c>
      <c r="E2612" t="s">
        <v>6667</v>
      </c>
    </row>
    <row r="2613" spans="1:5" x14ac:dyDescent="0.3">
      <c r="A2613" t="s">
        <v>6688</v>
      </c>
      <c r="B2613" t="s">
        <v>6689</v>
      </c>
      <c r="C2613" t="s">
        <v>4625</v>
      </c>
      <c r="D2613" t="s">
        <v>133</v>
      </c>
      <c r="E2613" t="s">
        <v>6690</v>
      </c>
    </row>
    <row r="2614" spans="1:5" x14ac:dyDescent="0.3">
      <c r="A2614" t="s">
        <v>7462</v>
      </c>
      <c r="B2614" t="s">
        <v>7463</v>
      </c>
      <c r="C2614" t="s">
        <v>4649</v>
      </c>
      <c r="D2614" t="s">
        <v>3712</v>
      </c>
      <c r="E2614" t="s">
        <v>7464</v>
      </c>
    </row>
    <row r="2615" spans="1:5" x14ac:dyDescent="0.3">
      <c r="A2615" t="s">
        <v>7483</v>
      </c>
      <c r="B2615" t="s">
        <v>7484</v>
      </c>
      <c r="C2615" t="s">
        <v>4246</v>
      </c>
      <c r="D2615" t="s">
        <v>2709</v>
      </c>
      <c r="E2615" t="s">
        <v>7485</v>
      </c>
    </row>
    <row r="2616" spans="1:5" x14ac:dyDescent="0.3">
      <c r="A2616" t="s">
        <v>7451</v>
      </c>
      <c r="B2616" t="s">
        <v>7452</v>
      </c>
      <c r="E2616" t="s">
        <v>7453</v>
      </c>
    </row>
    <row r="2617" spans="1:5" x14ac:dyDescent="0.3">
      <c r="A2617" t="s">
        <v>7474</v>
      </c>
      <c r="B2617" t="s">
        <v>7475</v>
      </c>
      <c r="C2617" t="s">
        <v>4649</v>
      </c>
      <c r="D2617" t="s">
        <v>3712</v>
      </c>
      <c r="E2617" t="s">
        <v>7476</v>
      </c>
    </row>
    <row r="2618" spans="1:5" x14ac:dyDescent="0.3">
      <c r="A2618" t="s">
        <v>6711</v>
      </c>
      <c r="B2618" t="s">
        <v>3883</v>
      </c>
      <c r="C2618" t="s">
        <v>4207</v>
      </c>
      <c r="D2618" t="s">
        <v>133</v>
      </c>
      <c r="E2618" t="s">
        <v>6712</v>
      </c>
    </row>
    <row r="2619" spans="1:5" x14ac:dyDescent="0.3">
      <c r="A2619" t="s">
        <v>6728</v>
      </c>
      <c r="B2619" t="s">
        <v>2774</v>
      </c>
      <c r="C2619" t="s">
        <v>3860</v>
      </c>
      <c r="D2619" t="s">
        <v>2704</v>
      </c>
      <c r="E2619" t="s">
        <v>6729</v>
      </c>
    </row>
    <row r="2620" spans="1:5" x14ac:dyDescent="0.3">
      <c r="A2620" t="s">
        <v>3927</v>
      </c>
      <c r="B2620" t="s">
        <v>3928</v>
      </c>
      <c r="C2620" t="s">
        <v>2851</v>
      </c>
      <c r="D2620" t="s">
        <v>2852</v>
      </c>
      <c r="E2620" t="s">
        <v>3929</v>
      </c>
    </row>
    <row r="2621" spans="1:5" x14ac:dyDescent="0.3">
      <c r="A2621" t="s">
        <v>1160</v>
      </c>
      <c r="B2621" t="s">
        <v>1161</v>
      </c>
      <c r="C2621" t="s">
        <v>1115</v>
      </c>
      <c r="D2621" t="s">
        <v>1111</v>
      </c>
      <c r="E2621" t="s">
        <v>1162</v>
      </c>
    </row>
    <row r="2622" spans="1:5" x14ac:dyDescent="0.3">
      <c r="A2622" t="s">
        <v>6437</v>
      </c>
      <c r="B2622" t="s">
        <v>6438</v>
      </c>
      <c r="C2622" t="s">
        <v>2708</v>
      </c>
      <c r="D2622" t="s">
        <v>2709</v>
      </c>
      <c r="E2622" t="s">
        <v>6439</v>
      </c>
    </row>
    <row r="2623" spans="1:5" x14ac:dyDescent="0.3">
      <c r="A2623" t="s">
        <v>7505</v>
      </c>
      <c r="B2623" t="s">
        <v>7506</v>
      </c>
      <c r="C2623" t="s">
        <v>4246</v>
      </c>
      <c r="D2623" t="s">
        <v>2709</v>
      </c>
      <c r="E2623" t="s">
        <v>7507</v>
      </c>
    </row>
    <row r="2624" spans="1:5" x14ac:dyDescent="0.3">
      <c r="A2624" t="s">
        <v>2719</v>
      </c>
      <c r="B2624" t="s">
        <v>2720</v>
      </c>
      <c r="C2624" t="s">
        <v>2708</v>
      </c>
      <c r="D2624" t="s">
        <v>2709</v>
      </c>
      <c r="E2624" t="s">
        <v>2721</v>
      </c>
    </row>
    <row r="2625" spans="1:5" x14ac:dyDescent="0.3">
      <c r="A2625" t="s">
        <v>7495</v>
      </c>
      <c r="B2625" t="s">
        <v>7496</v>
      </c>
      <c r="C2625" t="s">
        <v>4246</v>
      </c>
      <c r="D2625" t="s">
        <v>2709</v>
      </c>
      <c r="E2625" t="s">
        <v>7497</v>
      </c>
    </row>
    <row r="2626" spans="1:5" x14ac:dyDescent="0.3">
      <c r="A2626" t="s">
        <v>2705</v>
      </c>
      <c r="B2626" t="s">
        <v>2706</v>
      </c>
      <c r="C2626" t="s">
        <v>2708</v>
      </c>
      <c r="D2626" t="s">
        <v>2709</v>
      </c>
      <c r="E2626" t="s">
        <v>2707</v>
      </c>
    </row>
    <row r="2627" spans="1:5" x14ac:dyDescent="0.3">
      <c r="A2627" t="s">
        <v>2368</v>
      </c>
      <c r="B2627" t="s">
        <v>2369</v>
      </c>
      <c r="C2627" t="s">
        <v>1533</v>
      </c>
      <c r="D2627" t="s">
        <v>1111</v>
      </c>
      <c r="E2627" t="s">
        <v>2370</v>
      </c>
    </row>
    <row r="2628" spans="1:5" x14ac:dyDescent="0.3">
      <c r="A2628" t="s">
        <v>6748</v>
      </c>
      <c r="B2628" t="s">
        <v>6749</v>
      </c>
      <c r="C2628" t="s">
        <v>6747</v>
      </c>
      <c r="D2628" t="s">
        <v>133</v>
      </c>
      <c r="E2628" t="s">
        <v>6750</v>
      </c>
    </row>
    <row r="2629" spans="1:5" x14ac:dyDescent="0.3">
      <c r="A2629" t="s">
        <v>6860</v>
      </c>
      <c r="B2629" t="s">
        <v>6861</v>
      </c>
      <c r="C2629" t="s">
        <v>2851</v>
      </c>
      <c r="D2629" t="s">
        <v>2852</v>
      </c>
      <c r="E2629" t="s">
        <v>6862</v>
      </c>
    </row>
    <row r="2630" spans="1:5" x14ac:dyDescent="0.3">
      <c r="A2630" t="s">
        <v>6884</v>
      </c>
      <c r="B2630" t="s">
        <v>6885</v>
      </c>
      <c r="C2630" t="s">
        <v>2851</v>
      </c>
      <c r="D2630" t="s">
        <v>2852</v>
      </c>
      <c r="E2630" t="s">
        <v>6886</v>
      </c>
    </row>
    <row r="2631" spans="1:5" x14ac:dyDescent="0.3">
      <c r="A2631" t="s">
        <v>1169</v>
      </c>
      <c r="B2631" t="s">
        <v>1170</v>
      </c>
      <c r="C2631" t="s">
        <v>1115</v>
      </c>
      <c r="D2631" t="s">
        <v>1111</v>
      </c>
      <c r="E2631" t="s">
        <v>1171</v>
      </c>
    </row>
    <row r="2632" spans="1:5" x14ac:dyDescent="0.3">
      <c r="A2632" t="s">
        <v>1172</v>
      </c>
      <c r="B2632" t="s">
        <v>1173</v>
      </c>
      <c r="C2632" t="s">
        <v>1115</v>
      </c>
      <c r="D2632" t="s">
        <v>1111</v>
      </c>
      <c r="E2632" t="s">
        <v>1174</v>
      </c>
    </row>
    <row r="2633" spans="1:5" x14ac:dyDescent="0.3">
      <c r="A2633" t="s">
        <v>2731</v>
      </c>
      <c r="B2633" t="s">
        <v>2732</v>
      </c>
      <c r="C2633" t="s">
        <v>2708</v>
      </c>
      <c r="D2633" t="s">
        <v>2709</v>
      </c>
      <c r="E2633" t="s">
        <v>2733</v>
      </c>
    </row>
    <row r="2634" spans="1:5" x14ac:dyDescent="0.3">
      <c r="A2634" t="s">
        <v>2754</v>
      </c>
      <c r="B2634" t="s">
        <v>2755</v>
      </c>
      <c r="C2634" t="s">
        <v>2696</v>
      </c>
      <c r="D2634" t="s">
        <v>2696</v>
      </c>
      <c r="E2634" t="s">
        <v>2756</v>
      </c>
    </row>
    <row r="2635" spans="1:5" x14ac:dyDescent="0.3">
      <c r="A2635" t="s">
        <v>6770</v>
      </c>
      <c r="B2635" t="s">
        <v>6771</v>
      </c>
      <c r="C2635" t="s">
        <v>6747</v>
      </c>
      <c r="D2635" t="s">
        <v>133</v>
      </c>
      <c r="E2635" t="s">
        <v>6772</v>
      </c>
    </row>
    <row r="2636" spans="1:5" x14ac:dyDescent="0.3">
      <c r="A2636" t="s">
        <v>6794</v>
      </c>
      <c r="B2636" t="s">
        <v>6795</v>
      </c>
      <c r="C2636" t="s">
        <v>3936</v>
      </c>
      <c r="D2636" t="s">
        <v>3712</v>
      </c>
      <c r="E2636" t="s">
        <v>6796</v>
      </c>
    </row>
    <row r="2637" spans="1:5" x14ac:dyDescent="0.3">
      <c r="A2637" t="s">
        <v>6460</v>
      </c>
      <c r="B2637" t="s">
        <v>6461</v>
      </c>
      <c r="C2637" t="s">
        <v>2708</v>
      </c>
      <c r="D2637" t="s">
        <v>2709</v>
      </c>
      <c r="E2637" t="s">
        <v>6462</v>
      </c>
    </row>
    <row r="2638" spans="1:5" x14ac:dyDescent="0.3">
      <c r="A2638" t="s">
        <v>6483</v>
      </c>
      <c r="B2638" t="s">
        <v>6484</v>
      </c>
      <c r="C2638" t="s">
        <v>2840</v>
      </c>
      <c r="D2638" t="s">
        <v>2841</v>
      </c>
      <c r="E2638" t="s">
        <v>6485</v>
      </c>
    </row>
    <row r="2639" spans="1:5" x14ac:dyDescent="0.3">
      <c r="A2639" t="s">
        <v>3962</v>
      </c>
      <c r="B2639" t="s">
        <v>3963</v>
      </c>
      <c r="C2639" t="s">
        <v>2851</v>
      </c>
      <c r="D2639" t="s">
        <v>2852</v>
      </c>
      <c r="E2639" t="s">
        <v>3964</v>
      </c>
    </row>
    <row r="2640" spans="1:5" x14ac:dyDescent="0.3">
      <c r="A2640" t="s">
        <v>3987</v>
      </c>
      <c r="B2640" t="s">
        <v>3988</v>
      </c>
      <c r="C2640" t="s">
        <v>2851</v>
      </c>
      <c r="D2640" t="s">
        <v>2852</v>
      </c>
      <c r="E2640" t="s">
        <v>3989</v>
      </c>
    </row>
    <row r="2641" spans="1:5" x14ac:dyDescent="0.3">
      <c r="A2641" t="s">
        <v>2776</v>
      </c>
      <c r="B2641" t="s">
        <v>2777</v>
      </c>
      <c r="C2641" t="s">
        <v>2696</v>
      </c>
      <c r="D2641" t="s">
        <v>2696</v>
      </c>
      <c r="E2641" t="s">
        <v>2778</v>
      </c>
    </row>
    <row r="2642" spans="1:5" x14ac:dyDescent="0.3">
      <c r="A2642" t="s">
        <v>2800</v>
      </c>
      <c r="B2642" t="s">
        <v>2801</v>
      </c>
      <c r="C2642" t="s">
        <v>2708</v>
      </c>
      <c r="D2642" t="s">
        <v>2709</v>
      </c>
      <c r="E2642" t="s">
        <v>2802</v>
      </c>
    </row>
    <row r="2643" spans="1:5" x14ac:dyDescent="0.3">
      <c r="A2643" t="s">
        <v>2388</v>
      </c>
      <c r="B2643" t="s">
        <v>2389</v>
      </c>
      <c r="C2643" t="s">
        <v>1523</v>
      </c>
      <c r="D2643" t="s">
        <v>1111</v>
      </c>
      <c r="E2643" t="s">
        <v>2390</v>
      </c>
    </row>
    <row r="2644" spans="1:5" x14ac:dyDescent="0.3">
      <c r="A2644" t="s">
        <v>6818</v>
      </c>
      <c r="B2644" t="s">
        <v>6819</v>
      </c>
      <c r="C2644" t="s">
        <v>4246</v>
      </c>
      <c r="D2644" t="s">
        <v>2709</v>
      </c>
      <c r="E2644" t="s">
        <v>6820</v>
      </c>
    </row>
    <row r="2645" spans="1:5" x14ac:dyDescent="0.3">
      <c r="A2645" t="s">
        <v>2186</v>
      </c>
      <c r="B2645" t="s">
        <v>2187</v>
      </c>
      <c r="C2645" t="s">
        <v>1110</v>
      </c>
      <c r="D2645" t="s">
        <v>1111</v>
      </c>
      <c r="E2645" t="s">
        <v>2188</v>
      </c>
    </row>
    <row r="2646" spans="1:5" x14ac:dyDescent="0.3">
      <c r="A2646" t="s">
        <v>2192</v>
      </c>
      <c r="B2646" t="s">
        <v>2193</v>
      </c>
      <c r="C2646" t="s">
        <v>1110</v>
      </c>
      <c r="D2646" t="s">
        <v>1111</v>
      </c>
      <c r="E2646" t="s">
        <v>2194</v>
      </c>
    </row>
    <row r="2647" spans="1:5" x14ac:dyDescent="0.3">
      <c r="A2647" t="s">
        <v>4011</v>
      </c>
      <c r="B2647" t="s">
        <v>4012</v>
      </c>
      <c r="C2647" t="s">
        <v>3093</v>
      </c>
      <c r="D2647" t="s">
        <v>2852</v>
      </c>
      <c r="E2647" t="s">
        <v>4013</v>
      </c>
    </row>
    <row r="2648" spans="1:5" x14ac:dyDescent="0.3">
      <c r="A2648" t="s">
        <v>4034</v>
      </c>
      <c r="B2648" t="s">
        <v>4035</v>
      </c>
      <c r="C2648" t="s">
        <v>2840</v>
      </c>
      <c r="D2648" t="s">
        <v>2841</v>
      </c>
      <c r="E2648" t="s">
        <v>4036</v>
      </c>
    </row>
    <row r="2649" spans="1:5" x14ac:dyDescent="0.3">
      <c r="A2649" t="s">
        <v>6757</v>
      </c>
      <c r="B2649" t="s">
        <v>6758</v>
      </c>
      <c r="C2649" t="s">
        <v>6747</v>
      </c>
      <c r="D2649" t="s">
        <v>133</v>
      </c>
      <c r="E2649" t="s">
        <v>6759</v>
      </c>
    </row>
    <row r="2650" spans="1:5" x14ac:dyDescent="0.3">
      <c r="A2650" t="s">
        <v>6779</v>
      </c>
      <c r="B2650" t="s">
        <v>6780</v>
      </c>
      <c r="C2650" t="s">
        <v>6747</v>
      </c>
      <c r="D2650" t="s">
        <v>133</v>
      </c>
      <c r="E2650" t="s">
        <v>6781</v>
      </c>
    </row>
    <row r="2651" spans="1:5" x14ac:dyDescent="0.3">
      <c r="A2651" t="s">
        <v>6803</v>
      </c>
      <c r="B2651" t="s">
        <v>6804</v>
      </c>
      <c r="C2651" t="s">
        <v>3936</v>
      </c>
      <c r="D2651" t="s">
        <v>3712</v>
      </c>
      <c r="E2651" t="s">
        <v>6805</v>
      </c>
    </row>
    <row r="2652" spans="1:5" x14ac:dyDescent="0.3">
      <c r="A2652" t="s">
        <v>2825</v>
      </c>
      <c r="B2652" t="s">
        <v>2826</v>
      </c>
      <c r="C2652" t="s">
        <v>2821</v>
      </c>
      <c r="D2652" t="s">
        <v>133</v>
      </c>
      <c r="E2652" t="s">
        <v>2827</v>
      </c>
    </row>
    <row r="2653" spans="1:5" x14ac:dyDescent="0.3">
      <c r="A2653" t="s">
        <v>1089</v>
      </c>
      <c r="B2653" t="s">
        <v>1090</v>
      </c>
      <c r="C2653" t="s">
        <v>1087</v>
      </c>
      <c r="D2653" t="s">
        <v>1088</v>
      </c>
      <c r="E2653" t="s">
        <v>1091</v>
      </c>
    </row>
    <row r="2654" spans="1:5" x14ac:dyDescent="0.3">
      <c r="A2654" t="s">
        <v>2400</v>
      </c>
      <c r="B2654" t="s">
        <v>2401</v>
      </c>
      <c r="C2654" t="s">
        <v>1523</v>
      </c>
      <c r="D2654" t="s">
        <v>1111</v>
      </c>
      <c r="E2654" t="s">
        <v>2402</v>
      </c>
    </row>
    <row r="2655" spans="1:5" x14ac:dyDescent="0.3">
      <c r="A2655" t="s">
        <v>2406</v>
      </c>
      <c r="B2655" t="s">
        <v>2407</v>
      </c>
      <c r="C2655" t="s">
        <v>1115</v>
      </c>
      <c r="D2655" t="s">
        <v>1111</v>
      </c>
      <c r="E2655" t="s">
        <v>2408</v>
      </c>
    </row>
    <row r="2656" spans="1:5" x14ac:dyDescent="0.3">
      <c r="A2656" t="s">
        <v>2856</v>
      </c>
      <c r="B2656" t="s">
        <v>2857</v>
      </c>
      <c r="C2656" t="s">
        <v>2696</v>
      </c>
      <c r="D2656" t="s">
        <v>2696</v>
      </c>
      <c r="E2656" t="s">
        <v>2858</v>
      </c>
    </row>
    <row r="2657" spans="1:5" x14ac:dyDescent="0.3">
      <c r="A2657" t="s">
        <v>2879</v>
      </c>
      <c r="B2657" t="s">
        <v>2880</v>
      </c>
      <c r="C2657" t="s">
        <v>2696</v>
      </c>
      <c r="D2657" t="s">
        <v>2696</v>
      </c>
      <c r="E2657" t="s">
        <v>2881</v>
      </c>
    </row>
    <row r="2658" spans="1:5" x14ac:dyDescent="0.3">
      <c r="A2658" t="s">
        <v>4058</v>
      </c>
      <c r="B2658" t="s">
        <v>4059</v>
      </c>
      <c r="C2658" t="s">
        <v>3093</v>
      </c>
      <c r="D2658" t="s">
        <v>2852</v>
      </c>
      <c r="E2658" t="s">
        <v>4060</v>
      </c>
    </row>
    <row r="2659" spans="1:5" x14ac:dyDescent="0.3">
      <c r="A2659" t="s">
        <v>4081</v>
      </c>
      <c r="B2659" t="s">
        <v>4082</v>
      </c>
      <c r="C2659" t="s">
        <v>3946</v>
      </c>
      <c r="D2659" t="s">
        <v>2709</v>
      </c>
      <c r="E2659" t="s">
        <v>4083</v>
      </c>
    </row>
    <row r="2660" spans="1:5" x14ac:dyDescent="0.3">
      <c r="A2660" t="s">
        <v>6907</v>
      </c>
      <c r="B2660" t="s">
        <v>6908</v>
      </c>
      <c r="C2660" t="s">
        <v>4301</v>
      </c>
      <c r="D2660" t="s">
        <v>2841</v>
      </c>
      <c r="E2660" t="s">
        <v>6909</v>
      </c>
    </row>
    <row r="2661" spans="1:5" x14ac:dyDescent="0.3">
      <c r="A2661" t="s">
        <v>6931</v>
      </c>
      <c r="B2661" t="s">
        <v>6932</v>
      </c>
      <c r="C2661" t="s">
        <v>4301</v>
      </c>
      <c r="D2661" t="s">
        <v>2841</v>
      </c>
      <c r="E2661" t="s">
        <v>6933</v>
      </c>
    </row>
    <row r="2662" spans="1:5" x14ac:dyDescent="0.3">
      <c r="A2662" t="s">
        <v>2903</v>
      </c>
      <c r="B2662" t="s">
        <v>1951</v>
      </c>
      <c r="C2662" t="s">
        <v>2696</v>
      </c>
      <c r="D2662" t="s">
        <v>2696</v>
      </c>
      <c r="E2662" t="s">
        <v>2904</v>
      </c>
    </row>
    <row r="2663" spans="1:5" x14ac:dyDescent="0.3">
      <c r="A2663" t="s">
        <v>2926</v>
      </c>
      <c r="B2663" t="s">
        <v>2927</v>
      </c>
      <c r="C2663" t="s">
        <v>2696</v>
      </c>
      <c r="D2663" t="s">
        <v>2696</v>
      </c>
      <c r="E2663" t="s">
        <v>2928</v>
      </c>
    </row>
    <row r="2664" spans="1:5" x14ac:dyDescent="0.3">
      <c r="A2664" t="s">
        <v>2421</v>
      </c>
      <c r="B2664" t="s">
        <v>2422</v>
      </c>
      <c r="C2664" t="s">
        <v>1115</v>
      </c>
      <c r="D2664" t="s">
        <v>1111</v>
      </c>
      <c r="E2664" t="s">
        <v>2423</v>
      </c>
    </row>
    <row r="2665" spans="1:5" x14ac:dyDescent="0.3">
      <c r="A2665" t="s">
        <v>6836</v>
      </c>
      <c r="B2665" t="s">
        <v>6837</v>
      </c>
      <c r="C2665" t="s">
        <v>4207</v>
      </c>
      <c r="D2665" t="s">
        <v>133</v>
      </c>
      <c r="E2665" t="s">
        <v>6838</v>
      </c>
    </row>
    <row r="2666" spans="1:5" x14ac:dyDescent="0.3">
      <c r="A2666" t="s">
        <v>1288</v>
      </c>
      <c r="B2666" t="s">
        <v>1289</v>
      </c>
      <c r="C2666" t="s">
        <v>1140</v>
      </c>
      <c r="D2666" t="s">
        <v>1088</v>
      </c>
      <c r="E2666" t="s">
        <v>1290</v>
      </c>
    </row>
    <row r="2667" spans="1:5" x14ac:dyDescent="0.3">
      <c r="A2667" t="s">
        <v>1291</v>
      </c>
      <c r="B2667" t="s">
        <v>1292</v>
      </c>
      <c r="C2667" t="s">
        <v>1140</v>
      </c>
      <c r="D2667" t="s">
        <v>1088</v>
      </c>
      <c r="E2667" t="s">
        <v>1293</v>
      </c>
    </row>
    <row r="2668" spans="1:5" x14ac:dyDescent="0.3">
      <c r="A2668" t="s">
        <v>2950</v>
      </c>
      <c r="B2668" t="s">
        <v>1081</v>
      </c>
      <c r="C2668" t="s">
        <v>2696</v>
      </c>
      <c r="D2668" t="s">
        <v>2696</v>
      </c>
      <c r="E2668" t="s">
        <v>2951</v>
      </c>
    </row>
    <row r="2669" spans="1:5" x14ac:dyDescent="0.3">
      <c r="A2669" t="s">
        <v>2973</v>
      </c>
      <c r="B2669" t="s">
        <v>2974</v>
      </c>
      <c r="C2669" t="s">
        <v>2696</v>
      </c>
      <c r="D2669" t="s">
        <v>2696</v>
      </c>
      <c r="E2669" t="s">
        <v>2975</v>
      </c>
    </row>
    <row r="2670" spans="1:5" x14ac:dyDescent="0.3">
      <c r="A2670" t="s">
        <v>2442</v>
      </c>
      <c r="B2670" t="s">
        <v>2443</v>
      </c>
      <c r="C2670" t="s">
        <v>1523</v>
      </c>
      <c r="D2670" t="s">
        <v>1111</v>
      </c>
      <c r="E2670" t="s">
        <v>2444</v>
      </c>
    </row>
    <row r="2671" spans="1:5" x14ac:dyDescent="0.3">
      <c r="A2671" t="s">
        <v>6827</v>
      </c>
      <c r="B2671" t="s">
        <v>6828</v>
      </c>
      <c r="C2671" t="s">
        <v>4246</v>
      </c>
      <c r="D2671" t="s">
        <v>2709</v>
      </c>
      <c r="E2671" t="s">
        <v>6829</v>
      </c>
    </row>
    <row r="2672" spans="1:5" x14ac:dyDescent="0.3">
      <c r="A2672" t="s">
        <v>6953</v>
      </c>
      <c r="B2672" t="s">
        <v>6954</v>
      </c>
      <c r="C2672" t="s">
        <v>3093</v>
      </c>
      <c r="D2672" t="s">
        <v>2852</v>
      </c>
      <c r="E2672" t="s">
        <v>6955</v>
      </c>
    </row>
    <row r="2673" spans="1:5" x14ac:dyDescent="0.3">
      <c r="A2673" t="s">
        <v>6977</v>
      </c>
      <c r="B2673" t="s">
        <v>6978</v>
      </c>
      <c r="C2673" t="s">
        <v>3093</v>
      </c>
      <c r="D2673" t="s">
        <v>2852</v>
      </c>
      <c r="E2673" t="s">
        <v>6979</v>
      </c>
    </row>
    <row r="2674" spans="1:5" x14ac:dyDescent="0.3">
      <c r="A2674" t="s">
        <v>2424</v>
      </c>
      <c r="B2674" t="s">
        <v>2425</v>
      </c>
      <c r="C2674" t="s">
        <v>1523</v>
      </c>
      <c r="D2674" t="s">
        <v>1111</v>
      </c>
      <c r="E2674" t="s">
        <v>2426</v>
      </c>
    </row>
    <row r="2675" spans="1:5" x14ac:dyDescent="0.3">
      <c r="A2675" t="s">
        <v>6857</v>
      </c>
      <c r="B2675" t="s">
        <v>6858</v>
      </c>
      <c r="C2675" t="s">
        <v>2851</v>
      </c>
      <c r="D2675" t="s">
        <v>2852</v>
      </c>
      <c r="E2675" t="s">
        <v>6859</v>
      </c>
    </row>
    <row r="2676" spans="1:5" x14ac:dyDescent="0.3">
      <c r="A2676" t="s">
        <v>1318</v>
      </c>
      <c r="B2676" t="s">
        <v>1319</v>
      </c>
      <c r="C2676" t="s">
        <v>1153</v>
      </c>
      <c r="D2676" t="s">
        <v>1088</v>
      </c>
      <c r="E2676" t="s">
        <v>1320</v>
      </c>
    </row>
    <row r="2677" spans="1:5" x14ac:dyDescent="0.3">
      <c r="A2677" t="s">
        <v>2997</v>
      </c>
      <c r="B2677" t="s">
        <v>2998</v>
      </c>
      <c r="C2677" t="s">
        <v>2696</v>
      </c>
      <c r="D2677" t="s">
        <v>2696</v>
      </c>
      <c r="E2677" t="s">
        <v>2999</v>
      </c>
    </row>
    <row r="2678" spans="1:5" x14ac:dyDescent="0.3">
      <c r="A2678" t="s">
        <v>3021</v>
      </c>
      <c r="B2678" t="s">
        <v>3022</v>
      </c>
      <c r="C2678" t="s">
        <v>2696</v>
      </c>
      <c r="D2678" t="s">
        <v>2696</v>
      </c>
      <c r="E2678" t="s">
        <v>3023</v>
      </c>
    </row>
    <row r="2679" spans="1:5" x14ac:dyDescent="0.3">
      <c r="A2679" t="s">
        <v>2451</v>
      </c>
      <c r="B2679" t="s">
        <v>1862</v>
      </c>
      <c r="C2679" t="s">
        <v>1523</v>
      </c>
      <c r="D2679" t="s">
        <v>1111</v>
      </c>
      <c r="E2679" t="s">
        <v>2452</v>
      </c>
    </row>
    <row r="2680" spans="1:5" x14ac:dyDescent="0.3">
      <c r="A2680" t="s">
        <v>2453</v>
      </c>
      <c r="B2680" t="s">
        <v>2454</v>
      </c>
      <c r="C2680" t="s">
        <v>1115</v>
      </c>
      <c r="D2680" t="s">
        <v>1111</v>
      </c>
      <c r="E2680" t="s">
        <v>2455</v>
      </c>
    </row>
    <row r="2681" spans="1:5" x14ac:dyDescent="0.3">
      <c r="A2681" t="s">
        <v>7000</v>
      </c>
      <c r="B2681" t="s">
        <v>7001</v>
      </c>
      <c r="C2681" t="s">
        <v>6747</v>
      </c>
      <c r="D2681" t="s">
        <v>133</v>
      </c>
      <c r="E2681" t="s">
        <v>7002</v>
      </c>
    </row>
    <row r="2682" spans="1:5" x14ac:dyDescent="0.3">
      <c r="A2682" t="s">
        <v>2611</v>
      </c>
      <c r="B2682" t="s">
        <v>2612</v>
      </c>
      <c r="C2682" t="s">
        <v>1501</v>
      </c>
      <c r="D2682" t="s">
        <v>1088</v>
      </c>
      <c r="E2682" t="s">
        <v>2613</v>
      </c>
    </row>
    <row r="2683" spans="1:5" x14ac:dyDescent="0.3">
      <c r="A2683" t="s">
        <v>3045</v>
      </c>
      <c r="B2683" t="s">
        <v>3046</v>
      </c>
      <c r="C2683" t="s">
        <v>2696</v>
      </c>
      <c r="D2683" t="s">
        <v>2696</v>
      </c>
      <c r="E2683" t="s">
        <v>3047</v>
      </c>
    </row>
    <row r="2684" spans="1:5" x14ac:dyDescent="0.3">
      <c r="A2684" t="s">
        <v>6504</v>
      </c>
      <c r="B2684" t="s">
        <v>6505</v>
      </c>
      <c r="C2684" t="s">
        <v>3850</v>
      </c>
      <c r="D2684" t="s">
        <v>3712</v>
      </c>
      <c r="E2684" t="s">
        <v>6506</v>
      </c>
    </row>
    <row r="2685" spans="1:5" x14ac:dyDescent="0.3">
      <c r="A2685" t="s">
        <v>6527</v>
      </c>
      <c r="B2685" t="s">
        <v>6528</v>
      </c>
      <c r="C2685" t="s">
        <v>2840</v>
      </c>
      <c r="D2685" t="s">
        <v>2841</v>
      </c>
      <c r="E2685" t="s">
        <v>6529</v>
      </c>
    </row>
    <row r="2686" spans="1:5" x14ac:dyDescent="0.3">
      <c r="A2686" t="s">
        <v>4107</v>
      </c>
      <c r="B2686" t="s">
        <v>4108</v>
      </c>
      <c r="C2686" t="s">
        <v>3758</v>
      </c>
      <c r="D2686" t="s">
        <v>3712</v>
      </c>
      <c r="E2686" t="s">
        <v>4109</v>
      </c>
    </row>
    <row r="2687" spans="1:5" x14ac:dyDescent="0.3">
      <c r="A2687" t="s">
        <v>4131</v>
      </c>
      <c r="B2687" t="s">
        <v>4132</v>
      </c>
      <c r="C2687" t="s">
        <v>3946</v>
      </c>
      <c r="D2687" t="s">
        <v>2709</v>
      </c>
      <c r="E2687" t="s">
        <v>4133</v>
      </c>
    </row>
    <row r="2688" spans="1:5" x14ac:dyDescent="0.3">
      <c r="A2688" t="s">
        <v>2462</v>
      </c>
      <c r="B2688" t="s">
        <v>2463</v>
      </c>
      <c r="C2688" t="s">
        <v>1115</v>
      </c>
      <c r="D2688" t="s">
        <v>1111</v>
      </c>
      <c r="E2688" t="s">
        <v>2464</v>
      </c>
    </row>
    <row r="2689" spans="1:5" x14ac:dyDescent="0.3">
      <c r="A2689" t="s">
        <v>7024</v>
      </c>
      <c r="B2689" t="s">
        <v>7025</v>
      </c>
      <c r="C2689" t="s">
        <v>3946</v>
      </c>
      <c r="D2689" t="s">
        <v>2709</v>
      </c>
      <c r="E2689" t="s">
        <v>7026</v>
      </c>
    </row>
    <row r="2690" spans="1:5" x14ac:dyDescent="0.3">
      <c r="A2690" t="s">
        <v>2614</v>
      </c>
      <c r="B2690" t="s">
        <v>2615</v>
      </c>
      <c r="C2690" t="s">
        <v>1140</v>
      </c>
      <c r="D2690" t="s">
        <v>1088</v>
      </c>
      <c r="E2690" t="s">
        <v>2616</v>
      </c>
    </row>
    <row r="2691" spans="1:5" x14ac:dyDescent="0.3">
      <c r="A2691" t="s">
        <v>3069</v>
      </c>
      <c r="B2691" t="s">
        <v>3070</v>
      </c>
      <c r="C2691" t="s">
        <v>2696</v>
      </c>
      <c r="D2691" t="s">
        <v>2696</v>
      </c>
      <c r="E2691" t="s">
        <v>3071</v>
      </c>
    </row>
    <row r="2692" spans="1:5" x14ac:dyDescent="0.3">
      <c r="A2692" t="s">
        <v>3090</v>
      </c>
      <c r="B2692" t="s">
        <v>3091</v>
      </c>
      <c r="C2692" t="s">
        <v>3093</v>
      </c>
      <c r="D2692" t="s">
        <v>2852</v>
      </c>
      <c r="E2692" t="s">
        <v>3092</v>
      </c>
    </row>
    <row r="2693" spans="1:5" x14ac:dyDescent="0.3">
      <c r="A2693" t="s">
        <v>6881</v>
      </c>
      <c r="B2693" t="s">
        <v>6882</v>
      </c>
      <c r="C2693" t="s">
        <v>2851</v>
      </c>
      <c r="D2693" t="s">
        <v>2852</v>
      </c>
      <c r="E2693" t="s">
        <v>6883</v>
      </c>
    </row>
    <row r="2694" spans="1:5" x14ac:dyDescent="0.3">
      <c r="A2694" t="s">
        <v>7036</v>
      </c>
      <c r="B2694" t="s">
        <v>7037</v>
      </c>
      <c r="C2694" t="s">
        <v>2696</v>
      </c>
      <c r="D2694" t="s">
        <v>2696</v>
      </c>
      <c r="E2694" t="s">
        <v>7038</v>
      </c>
    </row>
    <row r="2695" spans="1:5" x14ac:dyDescent="0.3">
      <c r="A2695" t="s">
        <v>7058</v>
      </c>
      <c r="B2695" t="s">
        <v>7059</v>
      </c>
      <c r="C2695" t="s">
        <v>4308</v>
      </c>
      <c r="D2695" t="s">
        <v>133</v>
      </c>
      <c r="E2695" t="s">
        <v>7060</v>
      </c>
    </row>
    <row r="2696" spans="1:5" x14ac:dyDescent="0.3">
      <c r="A2696" t="s">
        <v>3114</v>
      </c>
      <c r="B2696" t="s">
        <v>3115</v>
      </c>
      <c r="C2696" t="s">
        <v>2696</v>
      </c>
      <c r="D2696" t="s">
        <v>2696</v>
      </c>
      <c r="E2696" t="s">
        <v>3116</v>
      </c>
    </row>
    <row r="2697" spans="1:5" x14ac:dyDescent="0.3">
      <c r="A2697" t="s">
        <v>3137</v>
      </c>
      <c r="B2697" t="s">
        <v>3138</v>
      </c>
      <c r="C2697" t="s">
        <v>2696</v>
      </c>
      <c r="D2697" t="s">
        <v>2696</v>
      </c>
      <c r="E2697" t="s">
        <v>3139</v>
      </c>
    </row>
    <row r="2698" spans="1:5" x14ac:dyDescent="0.3">
      <c r="A2698" t="s">
        <v>2743</v>
      </c>
      <c r="B2698" t="s">
        <v>2744</v>
      </c>
      <c r="C2698" t="s">
        <v>2708</v>
      </c>
      <c r="D2698" t="s">
        <v>2709</v>
      </c>
      <c r="E2698" t="s">
        <v>2745</v>
      </c>
    </row>
    <row r="2699" spans="1:5" x14ac:dyDescent="0.3">
      <c r="A2699" t="s">
        <v>2766</v>
      </c>
      <c r="B2699" t="s">
        <v>2103</v>
      </c>
      <c r="C2699" t="s">
        <v>2696</v>
      </c>
      <c r="D2699" t="s">
        <v>2696</v>
      </c>
      <c r="E2699" t="s">
        <v>2767</v>
      </c>
    </row>
    <row r="2700" spans="1:5" x14ac:dyDescent="0.3">
      <c r="A2700" t="s">
        <v>6905</v>
      </c>
      <c r="B2700" t="s">
        <v>4707</v>
      </c>
      <c r="C2700" t="s">
        <v>4301</v>
      </c>
      <c r="D2700" t="s">
        <v>2841</v>
      </c>
      <c r="E2700" t="s">
        <v>6906</v>
      </c>
    </row>
    <row r="2701" spans="1:5" x14ac:dyDescent="0.3">
      <c r="A2701" t="s">
        <v>6928</v>
      </c>
      <c r="B2701" t="s">
        <v>6929</v>
      </c>
      <c r="C2701" t="s">
        <v>4301</v>
      </c>
      <c r="D2701" t="s">
        <v>2841</v>
      </c>
      <c r="E2701" t="s">
        <v>6930</v>
      </c>
    </row>
    <row r="2702" spans="1:5" x14ac:dyDescent="0.3">
      <c r="A2702" t="s">
        <v>4155</v>
      </c>
      <c r="B2702" t="s">
        <v>4156</v>
      </c>
      <c r="C2702" t="s">
        <v>3946</v>
      </c>
      <c r="D2702" t="s">
        <v>2709</v>
      </c>
      <c r="E2702" t="s">
        <v>4157</v>
      </c>
    </row>
    <row r="2703" spans="1:5" x14ac:dyDescent="0.3">
      <c r="A2703" t="s">
        <v>1336</v>
      </c>
      <c r="B2703" t="s">
        <v>1337</v>
      </c>
      <c r="C2703" t="s">
        <v>1110</v>
      </c>
      <c r="D2703" t="s">
        <v>1111</v>
      </c>
      <c r="E2703" t="s">
        <v>1338</v>
      </c>
    </row>
    <row r="2704" spans="1:5" x14ac:dyDescent="0.3">
      <c r="A2704" t="s">
        <v>3161</v>
      </c>
      <c r="B2704" t="s">
        <v>3162</v>
      </c>
      <c r="C2704" t="s">
        <v>2696</v>
      </c>
      <c r="D2704" t="s">
        <v>2696</v>
      </c>
      <c r="E2704" t="s">
        <v>3163</v>
      </c>
    </row>
    <row r="2705" spans="1:5" x14ac:dyDescent="0.3">
      <c r="A2705" t="s">
        <v>3185</v>
      </c>
      <c r="B2705" t="s">
        <v>3186</v>
      </c>
      <c r="C2705" t="s">
        <v>2696</v>
      </c>
      <c r="D2705" t="s">
        <v>2696</v>
      </c>
      <c r="E2705" t="s">
        <v>3187</v>
      </c>
    </row>
    <row r="2706" spans="1:5" x14ac:dyDescent="0.3">
      <c r="A2706" t="s">
        <v>7080</v>
      </c>
      <c r="B2706" t="s">
        <v>7081</v>
      </c>
      <c r="C2706" t="s">
        <v>4308</v>
      </c>
      <c r="D2706" t="s">
        <v>133</v>
      </c>
      <c r="E2706" t="s">
        <v>7082</v>
      </c>
    </row>
    <row r="2707" spans="1:5" x14ac:dyDescent="0.3">
      <c r="A2707" t="s">
        <v>7104</v>
      </c>
      <c r="B2707" t="s">
        <v>7105</v>
      </c>
      <c r="C2707" t="s">
        <v>3758</v>
      </c>
      <c r="D2707" t="s">
        <v>3712</v>
      </c>
      <c r="E2707" t="s">
        <v>7106</v>
      </c>
    </row>
    <row r="2708" spans="1:5" x14ac:dyDescent="0.3">
      <c r="A2708" t="s">
        <v>4189</v>
      </c>
      <c r="B2708" t="s">
        <v>4190</v>
      </c>
      <c r="C2708" t="s">
        <v>3093</v>
      </c>
      <c r="D2708" t="s">
        <v>2852</v>
      </c>
      <c r="E2708" t="s">
        <v>4191</v>
      </c>
    </row>
    <row r="2709" spans="1:5" x14ac:dyDescent="0.3">
      <c r="A2709" t="s">
        <v>1417</v>
      </c>
      <c r="B2709" t="s">
        <v>1418</v>
      </c>
      <c r="C2709" t="s">
        <v>1196</v>
      </c>
      <c r="D2709" t="s">
        <v>1088</v>
      </c>
      <c r="E2709" t="s">
        <v>1419</v>
      </c>
    </row>
    <row r="2710" spans="1:5" x14ac:dyDescent="0.3">
      <c r="A2710" t="s">
        <v>2788</v>
      </c>
      <c r="B2710" t="s">
        <v>2789</v>
      </c>
      <c r="C2710" t="s">
        <v>2696</v>
      </c>
      <c r="D2710" t="s">
        <v>2696</v>
      </c>
      <c r="E2710" t="s">
        <v>2790</v>
      </c>
    </row>
    <row r="2711" spans="1:5" x14ac:dyDescent="0.3">
      <c r="A2711" t="s">
        <v>2812</v>
      </c>
      <c r="B2711" t="s">
        <v>2813</v>
      </c>
      <c r="C2711" t="s">
        <v>2708</v>
      </c>
      <c r="D2711" t="s">
        <v>2709</v>
      </c>
      <c r="E2711" t="s">
        <v>2814</v>
      </c>
    </row>
    <row r="2712" spans="1:5" x14ac:dyDescent="0.3">
      <c r="A2712" t="s">
        <v>6551</v>
      </c>
      <c r="B2712" t="s">
        <v>3266</v>
      </c>
      <c r="C2712" t="s">
        <v>2840</v>
      </c>
      <c r="D2712" t="s">
        <v>2841</v>
      </c>
      <c r="E2712" t="s">
        <v>6552</v>
      </c>
    </row>
    <row r="2713" spans="1:5" x14ac:dyDescent="0.3">
      <c r="A2713" t="s">
        <v>6575</v>
      </c>
      <c r="B2713" t="s">
        <v>6576</v>
      </c>
      <c r="C2713" t="s">
        <v>6574</v>
      </c>
      <c r="D2713" t="s">
        <v>2852</v>
      </c>
      <c r="E2713" t="s">
        <v>6577</v>
      </c>
    </row>
    <row r="2714" spans="1:5" x14ac:dyDescent="0.3">
      <c r="A2714" t="s">
        <v>7126</v>
      </c>
      <c r="B2714" t="s">
        <v>6932</v>
      </c>
      <c r="C2714" t="s">
        <v>4086</v>
      </c>
      <c r="D2714" t="s">
        <v>2704</v>
      </c>
      <c r="E2714" t="s">
        <v>7127</v>
      </c>
    </row>
    <row r="2715" spans="1:5" x14ac:dyDescent="0.3">
      <c r="A2715" t="s">
        <v>7147</v>
      </c>
      <c r="B2715" t="s">
        <v>7148</v>
      </c>
      <c r="C2715" t="s">
        <v>3711</v>
      </c>
      <c r="D2715" t="s">
        <v>3712</v>
      </c>
      <c r="E2715" t="s">
        <v>7149</v>
      </c>
    </row>
    <row r="2716" spans="1:5" x14ac:dyDescent="0.3">
      <c r="A2716" t="s">
        <v>6845</v>
      </c>
      <c r="B2716" t="s">
        <v>6846</v>
      </c>
      <c r="C2716" t="s">
        <v>4207</v>
      </c>
      <c r="D2716" t="s">
        <v>133</v>
      </c>
      <c r="E2716" t="s">
        <v>6847</v>
      </c>
    </row>
    <row r="2717" spans="1:5" x14ac:dyDescent="0.3">
      <c r="A2717" t="s">
        <v>2468</v>
      </c>
      <c r="B2717" t="s">
        <v>2469</v>
      </c>
      <c r="C2717" t="s">
        <v>1523</v>
      </c>
      <c r="D2717" t="s">
        <v>1111</v>
      </c>
      <c r="E2717" t="s">
        <v>2470</v>
      </c>
    </row>
    <row r="2718" spans="1:5" x14ac:dyDescent="0.3">
      <c r="A2718" t="s">
        <v>3209</v>
      </c>
      <c r="B2718" t="s">
        <v>3210</v>
      </c>
      <c r="C2718" t="s">
        <v>2696</v>
      </c>
      <c r="D2718" t="s">
        <v>2696</v>
      </c>
      <c r="E2718" t="s">
        <v>3211</v>
      </c>
    </row>
    <row r="2719" spans="1:5" x14ac:dyDescent="0.3">
      <c r="A2719" t="s">
        <v>3232</v>
      </c>
      <c r="B2719" t="s">
        <v>3233</v>
      </c>
      <c r="C2719" t="s">
        <v>2696</v>
      </c>
      <c r="D2719" t="s">
        <v>2696</v>
      </c>
      <c r="E2719" t="s">
        <v>3234</v>
      </c>
    </row>
    <row r="2720" spans="1:5" x14ac:dyDescent="0.3">
      <c r="A2720" t="s">
        <v>2837</v>
      </c>
      <c r="B2720" t="s">
        <v>2838</v>
      </c>
      <c r="C2720" t="s">
        <v>2840</v>
      </c>
      <c r="D2720" t="s">
        <v>2841</v>
      </c>
      <c r="E2720" t="s">
        <v>2839</v>
      </c>
    </row>
    <row r="2721" spans="1:5" x14ac:dyDescent="0.3">
      <c r="A2721" t="s">
        <v>7170</v>
      </c>
      <c r="B2721" t="s">
        <v>2469</v>
      </c>
      <c r="C2721" t="s">
        <v>4595</v>
      </c>
      <c r="D2721" t="s">
        <v>133</v>
      </c>
      <c r="E2721" t="s">
        <v>7171</v>
      </c>
    </row>
    <row r="2722" spans="1:5" x14ac:dyDescent="0.3">
      <c r="A2722" t="s">
        <v>7193</v>
      </c>
      <c r="B2722" t="s">
        <v>7194</v>
      </c>
      <c r="C2722" t="s">
        <v>6333</v>
      </c>
      <c r="D2722" t="s">
        <v>2709</v>
      </c>
      <c r="E2722" t="s">
        <v>7195</v>
      </c>
    </row>
    <row r="2723" spans="1:5" x14ac:dyDescent="0.3">
      <c r="A2723" t="s">
        <v>1426</v>
      </c>
      <c r="B2723" t="s">
        <v>1427</v>
      </c>
      <c r="C2723" t="s">
        <v>1196</v>
      </c>
      <c r="D2723" t="s">
        <v>1088</v>
      </c>
      <c r="E2723" t="s">
        <v>1428</v>
      </c>
    </row>
    <row r="2724" spans="1:5" x14ac:dyDescent="0.3">
      <c r="A2724" t="s">
        <v>1432</v>
      </c>
      <c r="B2724" t="s">
        <v>1433</v>
      </c>
      <c r="C2724" t="s">
        <v>1196</v>
      </c>
      <c r="D2724" t="s">
        <v>1088</v>
      </c>
      <c r="E2724" t="s">
        <v>1434</v>
      </c>
    </row>
    <row r="2725" spans="1:5" x14ac:dyDescent="0.3">
      <c r="A2725" t="s">
        <v>6950</v>
      </c>
      <c r="B2725" t="s">
        <v>6951</v>
      </c>
      <c r="C2725" t="s">
        <v>3093</v>
      </c>
      <c r="D2725" t="s">
        <v>2852</v>
      </c>
      <c r="E2725" t="s">
        <v>6952</v>
      </c>
    </row>
    <row r="2726" spans="1:5" x14ac:dyDescent="0.3">
      <c r="A2726" t="s">
        <v>6974</v>
      </c>
      <c r="B2726" t="s">
        <v>6975</v>
      </c>
      <c r="C2726" t="s">
        <v>3093</v>
      </c>
      <c r="D2726" t="s">
        <v>2852</v>
      </c>
      <c r="E2726" t="s">
        <v>6976</v>
      </c>
    </row>
    <row r="2727" spans="1:5" x14ac:dyDescent="0.3">
      <c r="A2727" t="s">
        <v>1101</v>
      </c>
      <c r="B2727" t="s">
        <v>1102</v>
      </c>
      <c r="C2727" t="s">
        <v>1087</v>
      </c>
      <c r="D2727" t="s">
        <v>1088</v>
      </c>
      <c r="E2727" t="s">
        <v>1103</v>
      </c>
    </row>
    <row r="2728" spans="1:5" x14ac:dyDescent="0.3">
      <c r="A2728" t="s">
        <v>2868</v>
      </c>
      <c r="B2728" t="s">
        <v>2869</v>
      </c>
      <c r="C2728" t="s">
        <v>2696</v>
      </c>
      <c r="D2728" t="s">
        <v>2696</v>
      </c>
      <c r="E2728" t="s">
        <v>2870</v>
      </c>
    </row>
    <row r="2729" spans="1:5" x14ac:dyDescent="0.3">
      <c r="A2729" t="s">
        <v>7215</v>
      </c>
      <c r="B2729" t="s">
        <v>7216</v>
      </c>
      <c r="C2729" t="s">
        <v>2851</v>
      </c>
      <c r="D2729" t="s">
        <v>2852</v>
      </c>
      <c r="E2729" t="s">
        <v>7217</v>
      </c>
    </row>
    <row r="2730" spans="1:5" x14ac:dyDescent="0.3">
      <c r="A2730" t="s">
        <v>7223</v>
      </c>
      <c r="B2730" t="s">
        <v>7224</v>
      </c>
      <c r="C2730" t="s">
        <v>3768</v>
      </c>
      <c r="D2730" t="s">
        <v>2852</v>
      </c>
      <c r="E2730" t="s">
        <v>7225</v>
      </c>
    </row>
    <row r="2731" spans="1:5" x14ac:dyDescent="0.3">
      <c r="A2731" t="s">
        <v>6866</v>
      </c>
      <c r="B2731" t="s">
        <v>6867</v>
      </c>
      <c r="C2731" t="s">
        <v>2851</v>
      </c>
      <c r="D2731" t="s">
        <v>2852</v>
      </c>
      <c r="E2731" t="s">
        <v>6868</v>
      </c>
    </row>
    <row r="2732" spans="1:5" x14ac:dyDescent="0.3">
      <c r="A2732" t="s">
        <v>6890</v>
      </c>
      <c r="B2732" t="s">
        <v>6891</v>
      </c>
      <c r="C2732" t="s">
        <v>2851</v>
      </c>
      <c r="D2732" t="s">
        <v>2852</v>
      </c>
      <c r="E2732" t="s">
        <v>6892</v>
      </c>
    </row>
    <row r="2733" spans="1:5" x14ac:dyDescent="0.3">
      <c r="A2733" t="s">
        <v>6997</v>
      </c>
      <c r="B2733" t="s">
        <v>6998</v>
      </c>
      <c r="C2733" t="s">
        <v>6747</v>
      </c>
      <c r="D2733" t="s">
        <v>133</v>
      </c>
      <c r="E2733" t="s">
        <v>6999</v>
      </c>
    </row>
    <row r="2734" spans="1:5" x14ac:dyDescent="0.3">
      <c r="A2734" t="s">
        <v>2433</v>
      </c>
      <c r="B2734" t="s">
        <v>2434</v>
      </c>
      <c r="C2734" t="s">
        <v>1501</v>
      </c>
      <c r="D2734" t="s">
        <v>1088</v>
      </c>
      <c r="E2734" t="s">
        <v>2435</v>
      </c>
    </row>
    <row r="2735" spans="1:5" x14ac:dyDescent="0.3">
      <c r="A2735" t="s">
        <v>4211</v>
      </c>
      <c r="B2735" t="s">
        <v>4212</v>
      </c>
      <c r="C2735" t="s">
        <v>4207</v>
      </c>
      <c r="D2735" t="s">
        <v>133</v>
      </c>
      <c r="E2735" t="s">
        <v>4213</v>
      </c>
    </row>
    <row r="2736" spans="1:5" x14ac:dyDescent="0.3">
      <c r="A2736" t="s">
        <v>1446</v>
      </c>
      <c r="B2736" t="s">
        <v>1447</v>
      </c>
      <c r="C2736" t="s">
        <v>1209</v>
      </c>
      <c r="D2736" t="s">
        <v>1088</v>
      </c>
      <c r="E2736" t="s">
        <v>1448</v>
      </c>
    </row>
    <row r="2737" spans="1:5" x14ac:dyDescent="0.3">
      <c r="A2737" t="s">
        <v>2891</v>
      </c>
      <c r="B2737" t="s">
        <v>2892</v>
      </c>
      <c r="C2737" t="s">
        <v>2696</v>
      </c>
      <c r="D2737" t="s">
        <v>2696</v>
      </c>
      <c r="E2737" t="s">
        <v>2893</v>
      </c>
    </row>
    <row r="2738" spans="1:5" x14ac:dyDescent="0.3">
      <c r="A2738" t="s">
        <v>2914</v>
      </c>
      <c r="B2738" t="s">
        <v>2915</v>
      </c>
      <c r="C2738" t="s">
        <v>2696</v>
      </c>
      <c r="D2738" t="s">
        <v>2696</v>
      </c>
      <c r="E2738" t="s">
        <v>2916</v>
      </c>
    </row>
    <row r="2739" spans="1:5" x14ac:dyDescent="0.3">
      <c r="A2739" t="s">
        <v>7245</v>
      </c>
      <c r="B2739" t="s">
        <v>7246</v>
      </c>
      <c r="C2739" t="s">
        <v>3768</v>
      </c>
      <c r="D2739" t="s">
        <v>2852</v>
      </c>
      <c r="E2739" t="s">
        <v>7247</v>
      </c>
    </row>
    <row r="2740" spans="1:5" x14ac:dyDescent="0.3">
      <c r="A2740" t="s">
        <v>7267</v>
      </c>
      <c r="B2740" t="s">
        <v>7268</v>
      </c>
      <c r="C2740" t="s">
        <v>3758</v>
      </c>
      <c r="D2740" t="s">
        <v>3712</v>
      </c>
      <c r="E2740" t="s">
        <v>7269</v>
      </c>
    </row>
    <row r="2741" spans="1:5" x14ac:dyDescent="0.3">
      <c r="A2741" t="s">
        <v>6913</v>
      </c>
      <c r="B2741" t="s">
        <v>6914</v>
      </c>
      <c r="C2741" t="s">
        <v>4301</v>
      </c>
      <c r="D2741" t="s">
        <v>2841</v>
      </c>
      <c r="E2741" t="s">
        <v>6915</v>
      </c>
    </row>
    <row r="2742" spans="1:5" x14ac:dyDescent="0.3">
      <c r="A2742" t="s">
        <v>6937</v>
      </c>
      <c r="B2742" t="s">
        <v>1214</v>
      </c>
      <c r="C2742" t="s">
        <v>4301</v>
      </c>
      <c r="D2742" t="s">
        <v>2841</v>
      </c>
      <c r="E2742" t="s">
        <v>6938</v>
      </c>
    </row>
    <row r="2743" spans="1:5" x14ac:dyDescent="0.3">
      <c r="A2743" t="s">
        <v>7021</v>
      </c>
      <c r="B2743" t="s">
        <v>7022</v>
      </c>
      <c r="C2743" t="s">
        <v>4679</v>
      </c>
      <c r="D2743" t="s">
        <v>2704</v>
      </c>
      <c r="E2743" t="s">
        <v>7023</v>
      </c>
    </row>
    <row r="2744" spans="1:5" x14ac:dyDescent="0.3">
      <c r="A2744" t="s">
        <v>2436</v>
      </c>
      <c r="B2744" t="s">
        <v>2437</v>
      </c>
      <c r="C2744" t="s">
        <v>1140</v>
      </c>
      <c r="D2744" t="s">
        <v>1088</v>
      </c>
      <c r="E2744" t="s">
        <v>2438</v>
      </c>
    </row>
    <row r="2745" spans="1:5" x14ac:dyDescent="0.3">
      <c r="A2745" t="s">
        <v>4233</v>
      </c>
      <c r="B2745" t="s">
        <v>3821</v>
      </c>
      <c r="C2745" t="s">
        <v>4229</v>
      </c>
      <c r="D2745" t="s">
        <v>2841</v>
      </c>
      <c r="E2745" t="s">
        <v>4234</v>
      </c>
    </row>
    <row r="2746" spans="1:5" x14ac:dyDescent="0.3">
      <c r="A2746" t="s">
        <v>4253</v>
      </c>
      <c r="B2746" t="s">
        <v>4254</v>
      </c>
      <c r="C2746" t="s">
        <v>4256</v>
      </c>
      <c r="D2746" t="s">
        <v>133</v>
      </c>
      <c r="E2746" t="s">
        <v>4255</v>
      </c>
    </row>
    <row r="2747" spans="1:5" x14ac:dyDescent="0.3">
      <c r="A2747" t="s">
        <v>2938</v>
      </c>
      <c r="B2747" t="s">
        <v>2939</v>
      </c>
      <c r="C2747" t="s">
        <v>2696</v>
      </c>
      <c r="D2747" t="s">
        <v>2696</v>
      </c>
      <c r="E2747" t="s">
        <v>2940</v>
      </c>
    </row>
    <row r="2748" spans="1:5" x14ac:dyDescent="0.3">
      <c r="A2748" t="s">
        <v>2961</v>
      </c>
      <c r="B2748" t="s">
        <v>2962</v>
      </c>
      <c r="C2748" t="s">
        <v>2696</v>
      </c>
      <c r="D2748" t="s">
        <v>2696</v>
      </c>
      <c r="E2748" t="s">
        <v>2963</v>
      </c>
    </row>
    <row r="2749" spans="1:5" x14ac:dyDescent="0.3">
      <c r="A2749" t="s">
        <v>7291</v>
      </c>
      <c r="B2749" t="s">
        <v>7292</v>
      </c>
      <c r="C2749" t="s">
        <v>3758</v>
      </c>
      <c r="D2749" t="s">
        <v>3712</v>
      </c>
      <c r="E2749" t="s">
        <v>7293</v>
      </c>
    </row>
    <row r="2750" spans="1:5" x14ac:dyDescent="0.3">
      <c r="A2750" t="s">
        <v>7315</v>
      </c>
      <c r="B2750" t="s">
        <v>7316</v>
      </c>
      <c r="C2750" t="s">
        <v>6574</v>
      </c>
      <c r="D2750" t="s">
        <v>2852</v>
      </c>
      <c r="E2750" t="s">
        <v>7317</v>
      </c>
    </row>
    <row r="2751" spans="1:5" x14ac:dyDescent="0.3">
      <c r="A2751" t="s">
        <v>2439</v>
      </c>
      <c r="B2751" t="s">
        <v>2440</v>
      </c>
      <c r="C2751" t="s">
        <v>1140</v>
      </c>
      <c r="D2751" t="s">
        <v>1088</v>
      </c>
      <c r="E2751" t="s">
        <v>2441</v>
      </c>
    </row>
    <row r="2752" spans="1:5" x14ac:dyDescent="0.3">
      <c r="A2752" t="s">
        <v>7055</v>
      </c>
      <c r="B2752" t="s">
        <v>7056</v>
      </c>
      <c r="C2752" t="s">
        <v>4308</v>
      </c>
      <c r="D2752" t="s">
        <v>133</v>
      </c>
      <c r="E2752" t="s">
        <v>7057</v>
      </c>
    </row>
    <row r="2753" spans="1:5" x14ac:dyDescent="0.3">
      <c r="A2753" t="s">
        <v>4277</v>
      </c>
      <c r="B2753" t="s">
        <v>4278</v>
      </c>
      <c r="C2753" t="s">
        <v>2851</v>
      </c>
      <c r="D2753" t="s">
        <v>2852</v>
      </c>
      <c r="E2753" t="s">
        <v>4279</v>
      </c>
    </row>
    <row r="2754" spans="1:5" x14ac:dyDescent="0.3">
      <c r="A2754" t="s">
        <v>4302</v>
      </c>
      <c r="B2754" t="s">
        <v>4303</v>
      </c>
      <c r="C2754" t="s">
        <v>4301</v>
      </c>
      <c r="D2754" t="s">
        <v>2841</v>
      </c>
      <c r="E2754" t="s">
        <v>4304</v>
      </c>
    </row>
    <row r="2755" spans="1:5" x14ac:dyDescent="0.3">
      <c r="A2755" t="s">
        <v>2985</v>
      </c>
      <c r="B2755" t="s">
        <v>2986</v>
      </c>
      <c r="C2755" t="s">
        <v>2696</v>
      </c>
      <c r="D2755" t="s">
        <v>2696</v>
      </c>
      <c r="E2755" t="s">
        <v>2987</v>
      </c>
    </row>
    <row r="2756" spans="1:5" x14ac:dyDescent="0.3">
      <c r="A2756" t="s">
        <v>3009</v>
      </c>
      <c r="B2756" t="s">
        <v>3010</v>
      </c>
      <c r="C2756" t="s">
        <v>2696</v>
      </c>
      <c r="D2756" t="s">
        <v>2696</v>
      </c>
      <c r="E2756" t="s">
        <v>3011</v>
      </c>
    </row>
    <row r="2757" spans="1:5" x14ac:dyDescent="0.3">
      <c r="A2757" t="s">
        <v>6959</v>
      </c>
      <c r="B2757" t="s">
        <v>6960</v>
      </c>
      <c r="C2757" t="s">
        <v>3093</v>
      </c>
      <c r="D2757" t="s">
        <v>2852</v>
      </c>
      <c r="E2757" t="s">
        <v>6961</v>
      </c>
    </row>
    <row r="2758" spans="1:5" x14ac:dyDescent="0.3">
      <c r="A2758" t="s">
        <v>6983</v>
      </c>
      <c r="B2758" t="s">
        <v>2360</v>
      </c>
      <c r="C2758" t="s">
        <v>3093</v>
      </c>
      <c r="D2758" t="s">
        <v>2852</v>
      </c>
      <c r="E2758" t="s">
        <v>6984</v>
      </c>
    </row>
    <row r="2759" spans="1:5" x14ac:dyDescent="0.3">
      <c r="A2759" t="s">
        <v>7077</v>
      </c>
      <c r="B2759" t="s">
        <v>7078</v>
      </c>
      <c r="C2759" t="s">
        <v>4256</v>
      </c>
      <c r="D2759" t="s">
        <v>133</v>
      </c>
      <c r="E2759" t="s">
        <v>7079</v>
      </c>
    </row>
    <row r="2760" spans="1:5" x14ac:dyDescent="0.3">
      <c r="A2760" t="s">
        <v>7101</v>
      </c>
      <c r="B2760" t="s">
        <v>7102</v>
      </c>
      <c r="C2760" t="s">
        <v>3758</v>
      </c>
      <c r="D2760" t="s">
        <v>3712</v>
      </c>
      <c r="E2760" t="s">
        <v>7103</v>
      </c>
    </row>
    <row r="2761" spans="1:5" x14ac:dyDescent="0.3">
      <c r="A2761" t="s">
        <v>6598</v>
      </c>
      <c r="B2761" t="s">
        <v>6599</v>
      </c>
      <c r="C2761" t="s">
        <v>4469</v>
      </c>
      <c r="D2761" t="s">
        <v>2709</v>
      </c>
      <c r="E2761" t="s">
        <v>6600</v>
      </c>
    </row>
    <row r="2762" spans="1:5" x14ac:dyDescent="0.3">
      <c r="A2762" t="s">
        <v>2195</v>
      </c>
      <c r="B2762" t="s">
        <v>2196</v>
      </c>
      <c r="C2762" t="s">
        <v>1140</v>
      </c>
      <c r="D2762" t="s">
        <v>1088</v>
      </c>
      <c r="E2762" t="s">
        <v>2197</v>
      </c>
    </row>
    <row r="2763" spans="1:5" x14ac:dyDescent="0.3">
      <c r="A2763" t="s">
        <v>3033</v>
      </c>
      <c r="B2763" t="s">
        <v>3034</v>
      </c>
      <c r="C2763" t="s">
        <v>2696</v>
      </c>
      <c r="D2763" t="s">
        <v>2696</v>
      </c>
      <c r="E2763" t="s">
        <v>3035</v>
      </c>
    </row>
    <row r="2764" spans="1:5" x14ac:dyDescent="0.3">
      <c r="A2764" t="s">
        <v>3057</v>
      </c>
      <c r="B2764" t="s">
        <v>3058</v>
      </c>
      <c r="C2764" t="s">
        <v>2696</v>
      </c>
      <c r="D2764" t="s">
        <v>2696</v>
      </c>
      <c r="E2764" t="s">
        <v>3059</v>
      </c>
    </row>
    <row r="2765" spans="1:5" x14ac:dyDescent="0.3">
      <c r="A2765" t="s">
        <v>7338</v>
      </c>
      <c r="B2765" t="s">
        <v>7339</v>
      </c>
      <c r="C2765" t="s">
        <v>6333</v>
      </c>
      <c r="D2765" t="s">
        <v>2709</v>
      </c>
      <c r="E2765" t="s">
        <v>7340</v>
      </c>
    </row>
    <row r="2766" spans="1:5" x14ac:dyDescent="0.3">
      <c r="A2766" t="s">
        <v>7363</v>
      </c>
      <c r="B2766" t="s">
        <v>7364</v>
      </c>
      <c r="C2766" t="s">
        <v>7344</v>
      </c>
      <c r="D2766" t="s">
        <v>2704</v>
      </c>
      <c r="E2766" t="s">
        <v>7365</v>
      </c>
    </row>
    <row r="2767" spans="1:5" x14ac:dyDescent="0.3">
      <c r="A2767" t="s">
        <v>6630</v>
      </c>
      <c r="B2767" t="s">
        <v>6631</v>
      </c>
      <c r="C2767" t="s">
        <v>4246</v>
      </c>
      <c r="D2767" t="s">
        <v>2709</v>
      </c>
      <c r="E2767" t="s">
        <v>6632</v>
      </c>
    </row>
    <row r="2768" spans="1:5" x14ac:dyDescent="0.3">
      <c r="A2768" t="s">
        <v>6654</v>
      </c>
      <c r="B2768" t="s">
        <v>6655</v>
      </c>
      <c r="C2768" t="s">
        <v>4595</v>
      </c>
      <c r="D2768" t="s">
        <v>133</v>
      </c>
      <c r="E2768" t="s">
        <v>6656</v>
      </c>
    </row>
    <row r="2769" spans="1:5" x14ac:dyDescent="0.3">
      <c r="A2769" t="s">
        <v>3080</v>
      </c>
      <c r="B2769" t="s">
        <v>3001</v>
      </c>
      <c r="C2769" t="s">
        <v>2696</v>
      </c>
      <c r="D2769" t="s">
        <v>2696</v>
      </c>
      <c r="E2769" t="s">
        <v>3081</v>
      </c>
    </row>
    <row r="2770" spans="1:5" x14ac:dyDescent="0.3">
      <c r="A2770" t="s">
        <v>3102</v>
      </c>
      <c r="B2770" t="s">
        <v>3103</v>
      </c>
      <c r="C2770" t="s">
        <v>2696</v>
      </c>
      <c r="D2770" t="s">
        <v>2696</v>
      </c>
      <c r="E2770" t="s">
        <v>3104</v>
      </c>
    </row>
    <row r="2771" spans="1:5" x14ac:dyDescent="0.3">
      <c r="A2771" t="s">
        <v>7385</v>
      </c>
      <c r="B2771" t="s">
        <v>7386</v>
      </c>
      <c r="C2771" t="s">
        <v>4229</v>
      </c>
      <c r="D2771" t="s">
        <v>2841</v>
      </c>
      <c r="E2771" t="s">
        <v>7387</v>
      </c>
    </row>
    <row r="2772" spans="1:5" x14ac:dyDescent="0.3">
      <c r="A2772" t="s">
        <v>7401</v>
      </c>
      <c r="B2772" t="s">
        <v>7402</v>
      </c>
      <c r="C2772" t="s">
        <v>7397</v>
      </c>
      <c r="D2772" t="s">
        <v>2704</v>
      </c>
      <c r="E2772" t="s">
        <v>7403</v>
      </c>
    </row>
    <row r="2773" spans="1:5" x14ac:dyDescent="0.3">
      <c r="A2773" t="s">
        <v>7423</v>
      </c>
      <c r="B2773" t="s">
        <v>4753</v>
      </c>
      <c r="C2773" t="s">
        <v>7397</v>
      </c>
      <c r="D2773" t="s">
        <v>2704</v>
      </c>
      <c r="E2773" t="s">
        <v>7424</v>
      </c>
    </row>
    <row r="2774" spans="1:5" x14ac:dyDescent="0.3">
      <c r="A2774" t="s">
        <v>2620</v>
      </c>
      <c r="B2774" t="s">
        <v>2621</v>
      </c>
      <c r="C2774" t="s">
        <v>1087</v>
      </c>
      <c r="D2774" t="s">
        <v>1088</v>
      </c>
      <c r="E2774" t="s">
        <v>2622</v>
      </c>
    </row>
    <row r="2775" spans="1:5" x14ac:dyDescent="0.3">
      <c r="A2775" t="s">
        <v>2626</v>
      </c>
      <c r="B2775" t="s">
        <v>2627</v>
      </c>
      <c r="C2775" t="s">
        <v>1087</v>
      </c>
      <c r="D2775" t="s">
        <v>1088</v>
      </c>
      <c r="E2775" t="s">
        <v>2628</v>
      </c>
    </row>
    <row r="2776" spans="1:5" x14ac:dyDescent="0.3">
      <c r="A2776" t="s">
        <v>3126</v>
      </c>
      <c r="B2776" t="s">
        <v>3127</v>
      </c>
      <c r="C2776" t="s">
        <v>2696</v>
      </c>
      <c r="D2776" t="s">
        <v>2696</v>
      </c>
      <c r="E2776" t="s">
        <v>3128</v>
      </c>
    </row>
    <row r="2777" spans="1:5" x14ac:dyDescent="0.3">
      <c r="A2777" t="s">
        <v>3149</v>
      </c>
      <c r="B2777" t="s">
        <v>3150</v>
      </c>
      <c r="C2777" t="s">
        <v>2696</v>
      </c>
      <c r="D2777" t="s">
        <v>2696</v>
      </c>
      <c r="E2777" t="s">
        <v>3151</v>
      </c>
    </row>
    <row r="2778" spans="1:5" x14ac:dyDescent="0.3">
      <c r="A2778" t="s">
        <v>6677</v>
      </c>
      <c r="B2778" t="s">
        <v>6678</v>
      </c>
      <c r="C2778" t="s">
        <v>4595</v>
      </c>
      <c r="D2778" t="s">
        <v>133</v>
      </c>
      <c r="E2778" t="s">
        <v>6679</v>
      </c>
    </row>
    <row r="2779" spans="1:5" x14ac:dyDescent="0.3">
      <c r="A2779" t="s">
        <v>7448</v>
      </c>
      <c r="B2779" t="s">
        <v>7449</v>
      </c>
      <c r="E2779" t="s">
        <v>7450</v>
      </c>
    </row>
    <row r="2780" spans="1:5" x14ac:dyDescent="0.3">
      <c r="A2780" t="s">
        <v>7471</v>
      </c>
      <c r="B2780" t="s">
        <v>7472</v>
      </c>
      <c r="C2780" t="s">
        <v>4649</v>
      </c>
      <c r="D2780" t="s">
        <v>3712</v>
      </c>
      <c r="E2780" t="s">
        <v>7473</v>
      </c>
    </row>
    <row r="2781" spans="1:5" x14ac:dyDescent="0.3">
      <c r="A2781" t="s">
        <v>6700</v>
      </c>
      <c r="B2781" t="s">
        <v>6701</v>
      </c>
      <c r="C2781" t="s">
        <v>6574</v>
      </c>
      <c r="D2781" t="s">
        <v>2852</v>
      </c>
      <c r="E2781" t="s">
        <v>6702</v>
      </c>
    </row>
    <row r="2782" spans="1:5" x14ac:dyDescent="0.3">
      <c r="A2782" t="s">
        <v>6719</v>
      </c>
      <c r="B2782" t="s">
        <v>4846</v>
      </c>
      <c r="C2782" t="s">
        <v>3860</v>
      </c>
      <c r="D2782" t="s">
        <v>2704</v>
      </c>
      <c r="E2782" t="s">
        <v>6720</v>
      </c>
    </row>
    <row r="2783" spans="1:5" x14ac:dyDescent="0.3">
      <c r="A2783" t="s">
        <v>7492</v>
      </c>
      <c r="B2783" t="s">
        <v>7493</v>
      </c>
      <c r="C2783" t="s">
        <v>4246</v>
      </c>
      <c r="D2783" t="s">
        <v>2709</v>
      </c>
      <c r="E2783" t="s">
        <v>7494</v>
      </c>
    </row>
    <row r="2784" spans="1:5" x14ac:dyDescent="0.3">
      <c r="A2784" t="s">
        <v>5248</v>
      </c>
      <c r="B2784" t="s">
        <v>5249</v>
      </c>
      <c r="C2784" t="s">
        <v>2696</v>
      </c>
      <c r="D2784" t="s">
        <v>2696</v>
      </c>
      <c r="E2784" t="s">
        <v>5250</v>
      </c>
    </row>
    <row r="2785" spans="1:5" x14ac:dyDescent="0.3">
      <c r="A2785" t="s">
        <v>2234</v>
      </c>
      <c r="B2785" t="s">
        <v>2235</v>
      </c>
      <c r="C2785" t="s">
        <v>1533</v>
      </c>
      <c r="D2785" t="s">
        <v>1111</v>
      </c>
      <c r="E2785" t="s">
        <v>2236</v>
      </c>
    </row>
    <row r="2786" spans="1:5" x14ac:dyDescent="0.3">
      <c r="A2786" t="s">
        <v>6736</v>
      </c>
      <c r="B2786" t="s">
        <v>3088</v>
      </c>
      <c r="C2786" t="s">
        <v>3906</v>
      </c>
      <c r="D2786" t="s">
        <v>133</v>
      </c>
      <c r="E2786" t="s">
        <v>6737</v>
      </c>
    </row>
    <row r="2787" spans="1:5" x14ac:dyDescent="0.3">
      <c r="A2787" t="s">
        <v>2728</v>
      </c>
      <c r="B2787" t="s">
        <v>2729</v>
      </c>
      <c r="C2787" t="s">
        <v>2708</v>
      </c>
      <c r="D2787" t="s">
        <v>2709</v>
      </c>
      <c r="E2787" t="s">
        <v>2730</v>
      </c>
    </row>
    <row r="2788" spans="1:5" x14ac:dyDescent="0.3">
      <c r="A2788" t="s">
        <v>2752</v>
      </c>
      <c r="B2788" t="s">
        <v>2753</v>
      </c>
      <c r="C2788" t="s">
        <v>2696</v>
      </c>
      <c r="D2788" t="s">
        <v>2696</v>
      </c>
    </row>
    <row r="2789" spans="1:5" x14ac:dyDescent="0.3">
      <c r="A2789" t="s">
        <v>6760</v>
      </c>
      <c r="B2789" t="s">
        <v>6761</v>
      </c>
      <c r="C2789" t="s">
        <v>6747</v>
      </c>
      <c r="D2789" t="s">
        <v>133</v>
      </c>
      <c r="E2789" t="s">
        <v>6762</v>
      </c>
    </row>
    <row r="2790" spans="1:5" x14ac:dyDescent="0.3">
      <c r="A2790" t="s">
        <v>6782</v>
      </c>
      <c r="B2790" t="s">
        <v>6783</v>
      </c>
      <c r="C2790" t="s">
        <v>6747</v>
      </c>
      <c r="D2790" t="s">
        <v>133</v>
      </c>
      <c r="E2790" t="s">
        <v>6784</v>
      </c>
    </row>
    <row r="2791" spans="1:5" x14ac:dyDescent="0.3">
      <c r="A2791" t="s">
        <v>7123</v>
      </c>
      <c r="B2791" t="s">
        <v>7124</v>
      </c>
      <c r="C2791" t="s">
        <v>4086</v>
      </c>
      <c r="D2791" t="s">
        <v>2704</v>
      </c>
      <c r="E2791" t="s">
        <v>7125</v>
      </c>
    </row>
    <row r="2792" spans="1:5" x14ac:dyDescent="0.3">
      <c r="A2792" t="s">
        <v>7144</v>
      </c>
      <c r="B2792" t="s">
        <v>7145</v>
      </c>
      <c r="C2792" t="s">
        <v>3711</v>
      </c>
      <c r="D2792" t="s">
        <v>3712</v>
      </c>
      <c r="E2792" t="s">
        <v>7146</v>
      </c>
    </row>
    <row r="2793" spans="1:5" x14ac:dyDescent="0.3">
      <c r="A2793" t="s">
        <v>2773</v>
      </c>
      <c r="B2793" t="s">
        <v>2774</v>
      </c>
      <c r="C2793" t="s">
        <v>2696</v>
      </c>
      <c r="D2793" t="s">
        <v>2696</v>
      </c>
      <c r="E2793" t="s">
        <v>2775</v>
      </c>
    </row>
    <row r="2794" spans="1:5" x14ac:dyDescent="0.3">
      <c r="A2794" t="s">
        <v>2797</v>
      </c>
      <c r="B2794" t="s">
        <v>2798</v>
      </c>
      <c r="C2794" t="s">
        <v>2708</v>
      </c>
      <c r="D2794" t="s">
        <v>2709</v>
      </c>
      <c r="E2794" t="s">
        <v>2799</v>
      </c>
    </row>
    <row r="2795" spans="1:5" x14ac:dyDescent="0.3">
      <c r="A2795" t="s">
        <v>6806</v>
      </c>
      <c r="B2795" t="s">
        <v>6807</v>
      </c>
      <c r="C2795" t="s">
        <v>3936</v>
      </c>
      <c r="D2795" t="s">
        <v>3712</v>
      </c>
      <c r="E2795" t="s">
        <v>6808</v>
      </c>
    </row>
    <row r="2796" spans="1:5" x14ac:dyDescent="0.3">
      <c r="A2796" t="s">
        <v>2252</v>
      </c>
      <c r="B2796" t="s">
        <v>2253</v>
      </c>
      <c r="C2796" t="s">
        <v>1523</v>
      </c>
      <c r="D2796" t="s">
        <v>1111</v>
      </c>
      <c r="E2796" t="s">
        <v>2254</v>
      </c>
    </row>
    <row r="2797" spans="1:5" x14ac:dyDescent="0.3">
      <c r="A2797" t="s">
        <v>7167</v>
      </c>
      <c r="B2797" t="s">
        <v>7168</v>
      </c>
      <c r="C2797" t="s">
        <v>4595</v>
      </c>
      <c r="D2797" t="s">
        <v>133</v>
      </c>
      <c r="E2797" t="s">
        <v>7169</v>
      </c>
    </row>
    <row r="2798" spans="1:5" x14ac:dyDescent="0.3">
      <c r="A2798" t="s">
        <v>7190</v>
      </c>
      <c r="B2798" t="s">
        <v>7191</v>
      </c>
      <c r="C2798" t="s">
        <v>6333</v>
      </c>
      <c r="D2798" t="s">
        <v>2709</v>
      </c>
      <c r="E2798" t="s">
        <v>7192</v>
      </c>
    </row>
    <row r="2799" spans="1:5" x14ac:dyDescent="0.3">
      <c r="A2799" t="s">
        <v>7006</v>
      </c>
      <c r="B2799" t="s">
        <v>7007</v>
      </c>
      <c r="C2799" t="s">
        <v>6747</v>
      </c>
      <c r="D2799" t="s">
        <v>133</v>
      </c>
      <c r="E2799" t="s">
        <v>7008</v>
      </c>
    </row>
    <row r="2800" spans="1:5" x14ac:dyDescent="0.3">
      <c r="A2800" t="s">
        <v>2492</v>
      </c>
      <c r="B2800" t="s">
        <v>2493</v>
      </c>
      <c r="C2800" t="s">
        <v>1501</v>
      </c>
      <c r="D2800" t="s">
        <v>1088</v>
      </c>
      <c r="E2800" t="s">
        <v>2494</v>
      </c>
    </row>
    <row r="2801" spans="1:5" x14ac:dyDescent="0.3">
      <c r="A2801" t="s">
        <v>2822</v>
      </c>
      <c r="B2801" t="s">
        <v>2823</v>
      </c>
      <c r="C2801" t="s">
        <v>2821</v>
      </c>
      <c r="D2801" t="s">
        <v>133</v>
      </c>
      <c r="E2801" t="s">
        <v>2824</v>
      </c>
    </row>
    <row r="2802" spans="1:5" x14ac:dyDescent="0.3">
      <c r="A2802" t="s">
        <v>1095</v>
      </c>
      <c r="B2802" t="s">
        <v>1096</v>
      </c>
      <c r="C2802" t="s">
        <v>1087</v>
      </c>
      <c r="D2802" t="s">
        <v>1088</v>
      </c>
      <c r="E2802" t="s">
        <v>1097</v>
      </c>
    </row>
    <row r="2803" spans="1:5" x14ac:dyDescent="0.3">
      <c r="A2803" t="s">
        <v>6830</v>
      </c>
      <c r="B2803" t="s">
        <v>6831</v>
      </c>
      <c r="C2803" t="s">
        <v>4246</v>
      </c>
      <c r="D2803" t="s">
        <v>2709</v>
      </c>
      <c r="E2803" t="s">
        <v>6832</v>
      </c>
    </row>
    <row r="2804" spans="1:5" x14ac:dyDescent="0.3">
      <c r="A2804" t="s">
        <v>2261</v>
      </c>
      <c r="B2804" t="s">
        <v>2262</v>
      </c>
      <c r="C2804" t="s">
        <v>1115</v>
      </c>
      <c r="D2804" t="s">
        <v>1111</v>
      </c>
      <c r="E2804" t="s">
        <v>2263</v>
      </c>
    </row>
    <row r="2805" spans="1:5" x14ac:dyDescent="0.3">
      <c r="A2805" t="s">
        <v>3173</v>
      </c>
      <c r="B2805" t="s">
        <v>3174</v>
      </c>
      <c r="C2805" t="s">
        <v>2696</v>
      </c>
      <c r="D2805" t="s">
        <v>2696</v>
      </c>
      <c r="E2805" t="s">
        <v>3175</v>
      </c>
    </row>
    <row r="2806" spans="1:5" x14ac:dyDescent="0.3">
      <c r="A2806" t="s">
        <v>3197</v>
      </c>
      <c r="B2806" t="s">
        <v>3198</v>
      </c>
      <c r="C2806" t="s">
        <v>2696</v>
      </c>
      <c r="D2806" t="s">
        <v>2696</v>
      </c>
      <c r="E2806" t="s">
        <v>3199</v>
      </c>
    </row>
    <row r="2807" spans="1:5" x14ac:dyDescent="0.3">
      <c r="A2807" t="s">
        <v>3170</v>
      </c>
      <c r="B2807" t="s">
        <v>3171</v>
      </c>
      <c r="C2807" t="s">
        <v>2696</v>
      </c>
      <c r="D2807" t="s">
        <v>2696</v>
      </c>
      <c r="E2807" t="s">
        <v>3172</v>
      </c>
    </row>
    <row r="2808" spans="1:5" x14ac:dyDescent="0.3">
      <c r="A2808" t="s">
        <v>3194</v>
      </c>
      <c r="B2808" t="s">
        <v>3195</v>
      </c>
      <c r="C2808" t="s">
        <v>2696</v>
      </c>
      <c r="D2808" t="s">
        <v>2696</v>
      </c>
      <c r="E2808" t="s">
        <v>3196</v>
      </c>
    </row>
    <row r="2809" spans="1:5" x14ac:dyDescent="0.3">
      <c r="A2809" t="s">
        <v>7030</v>
      </c>
      <c r="B2809" t="s">
        <v>7031</v>
      </c>
      <c r="C2809" t="s">
        <v>3946</v>
      </c>
      <c r="D2809" t="s">
        <v>2709</v>
      </c>
      <c r="E2809" t="s">
        <v>7032</v>
      </c>
    </row>
    <row r="2810" spans="1:5" x14ac:dyDescent="0.3">
      <c r="A2810" t="s">
        <v>2495</v>
      </c>
      <c r="B2810" t="s">
        <v>2496</v>
      </c>
      <c r="C2810" t="s">
        <v>1140</v>
      </c>
      <c r="D2810" t="s">
        <v>1088</v>
      </c>
      <c r="E2810" t="s">
        <v>2497</v>
      </c>
    </row>
    <row r="2811" spans="1:5" x14ac:dyDescent="0.3">
      <c r="A2811" t="s">
        <v>3256</v>
      </c>
      <c r="B2811" t="s">
        <v>3257</v>
      </c>
      <c r="C2811" t="s">
        <v>2696</v>
      </c>
      <c r="D2811" t="s">
        <v>2696</v>
      </c>
      <c r="E2811" t="s">
        <v>3258</v>
      </c>
    </row>
    <row r="2812" spans="1:5" x14ac:dyDescent="0.3">
      <c r="A2812" t="s">
        <v>3280</v>
      </c>
      <c r="B2812" t="s">
        <v>3281</v>
      </c>
      <c r="C2812" t="s">
        <v>2696</v>
      </c>
      <c r="D2812" t="s">
        <v>2696</v>
      </c>
      <c r="E2812" t="s">
        <v>3282</v>
      </c>
    </row>
    <row r="2813" spans="1:5" x14ac:dyDescent="0.3">
      <c r="A2813" t="s">
        <v>2264</v>
      </c>
      <c r="B2813" t="s">
        <v>2265</v>
      </c>
      <c r="C2813" t="s">
        <v>1115</v>
      </c>
      <c r="D2813" t="s">
        <v>1111</v>
      </c>
      <c r="E2813" t="s">
        <v>2266</v>
      </c>
    </row>
    <row r="2814" spans="1:5" x14ac:dyDescent="0.3">
      <c r="A2814" t="s">
        <v>2270</v>
      </c>
      <c r="B2814" t="s">
        <v>2271</v>
      </c>
      <c r="C2814" t="s">
        <v>1115</v>
      </c>
      <c r="D2814" t="s">
        <v>1111</v>
      </c>
      <c r="E2814" t="s">
        <v>2272</v>
      </c>
    </row>
    <row r="2815" spans="1:5" x14ac:dyDescent="0.3">
      <c r="A2815" t="s">
        <v>3221</v>
      </c>
      <c r="B2815" t="s">
        <v>3222</v>
      </c>
      <c r="C2815" t="s">
        <v>2696</v>
      </c>
      <c r="D2815" t="s">
        <v>2696</v>
      </c>
      <c r="E2815" t="s">
        <v>3223</v>
      </c>
    </row>
    <row r="2816" spans="1:5" x14ac:dyDescent="0.3">
      <c r="A2816" t="s">
        <v>3244</v>
      </c>
      <c r="B2816" t="s">
        <v>3245</v>
      </c>
      <c r="C2816" t="s">
        <v>2696</v>
      </c>
      <c r="D2816" t="s">
        <v>2696</v>
      </c>
      <c r="E2816" t="s">
        <v>3246</v>
      </c>
    </row>
    <row r="2817" spans="1:5" x14ac:dyDescent="0.3">
      <c r="A2817" t="s">
        <v>7212</v>
      </c>
      <c r="B2817" t="s">
        <v>7213</v>
      </c>
      <c r="C2817" t="s">
        <v>2851</v>
      </c>
      <c r="D2817" t="s">
        <v>2852</v>
      </c>
      <c r="E2817" t="s">
        <v>7214</v>
      </c>
    </row>
    <row r="2818" spans="1:5" x14ac:dyDescent="0.3">
      <c r="A2818" t="s">
        <v>7221</v>
      </c>
      <c r="B2818" t="s">
        <v>3019</v>
      </c>
      <c r="C2818" t="s">
        <v>3768</v>
      </c>
      <c r="D2818" t="s">
        <v>2852</v>
      </c>
      <c r="E2818" t="s">
        <v>7222</v>
      </c>
    </row>
    <row r="2819" spans="1:5" x14ac:dyDescent="0.3">
      <c r="A2819" t="s">
        <v>7042</v>
      </c>
      <c r="B2819" t="s">
        <v>7043</v>
      </c>
      <c r="C2819" t="s">
        <v>4308</v>
      </c>
      <c r="D2819" t="s">
        <v>133</v>
      </c>
      <c r="E2819" t="s">
        <v>7044</v>
      </c>
    </row>
    <row r="2820" spans="1:5" x14ac:dyDescent="0.3">
      <c r="A2820" t="s">
        <v>6848</v>
      </c>
      <c r="B2820" t="s">
        <v>6849</v>
      </c>
      <c r="C2820" t="s">
        <v>4207</v>
      </c>
      <c r="D2820" t="s">
        <v>133</v>
      </c>
      <c r="E2820" t="s">
        <v>6850</v>
      </c>
    </row>
    <row r="2821" spans="1:5" x14ac:dyDescent="0.3">
      <c r="A2821" t="s">
        <v>2276</v>
      </c>
      <c r="B2821" t="s">
        <v>2277</v>
      </c>
      <c r="C2821" t="s">
        <v>1523</v>
      </c>
      <c r="D2821" t="s">
        <v>1111</v>
      </c>
      <c r="E2821" t="s">
        <v>2278</v>
      </c>
    </row>
    <row r="2822" spans="1:5" x14ac:dyDescent="0.3">
      <c r="A2822" t="s">
        <v>3268</v>
      </c>
      <c r="B2822" t="s">
        <v>3269</v>
      </c>
      <c r="C2822" t="s">
        <v>2696</v>
      </c>
      <c r="D2822" t="s">
        <v>2696</v>
      </c>
      <c r="E2822" t="s">
        <v>3270</v>
      </c>
    </row>
    <row r="2823" spans="1:5" x14ac:dyDescent="0.3">
      <c r="A2823" t="s">
        <v>3292</v>
      </c>
      <c r="B2823" t="s">
        <v>3293</v>
      </c>
      <c r="C2823" t="s">
        <v>2696</v>
      </c>
      <c r="D2823" t="s">
        <v>2696</v>
      </c>
      <c r="E2823" t="s">
        <v>3294</v>
      </c>
    </row>
    <row r="2824" spans="1:5" x14ac:dyDescent="0.3">
      <c r="A2824" t="s">
        <v>3218</v>
      </c>
      <c r="B2824" t="s">
        <v>3219</v>
      </c>
      <c r="C2824" t="s">
        <v>2696</v>
      </c>
      <c r="D2824" t="s">
        <v>2696</v>
      </c>
      <c r="E2824" t="s">
        <v>3220</v>
      </c>
    </row>
    <row r="2825" spans="1:5" x14ac:dyDescent="0.3">
      <c r="A2825" t="s">
        <v>3241</v>
      </c>
      <c r="B2825" t="s">
        <v>3242</v>
      </c>
      <c r="C2825" t="s">
        <v>2696</v>
      </c>
      <c r="D2825" t="s">
        <v>2696</v>
      </c>
      <c r="E2825" t="s">
        <v>3243</v>
      </c>
    </row>
    <row r="2826" spans="1:5" x14ac:dyDescent="0.3">
      <c r="A2826" t="s">
        <v>7242</v>
      </c>
      <c r="B2826" t="s">
        <v>7243</v>
      </c>
      <c r="C2826" t="s">
        <v>3768</v>
      </c>
      <c r="D2826" t="s">
        <v>2852</v>
      </c>
      <c r="E2826" t="s">
        <v>7244</v>
      </c>
    </row>
    <row r="2827" spans="1:5" x14ac:dyDescent="0.3">
      <c r="A2827" t="s">
        <v>7264</v>
      </c>
      <c r="B2827" t="s">
        <v>7265</v>
      </c>
      <c r="C2827" t="s">
        <v>3758</v>
      </c>
      <c r="D2827" t="s">
        <v>3712</v>
      </c>
      <c r="E2827" t="s">
        <v>7266</v>
      </c>
    </row>
    <row r="2828" spans="1:5" x14ac:dyDescent="0.3">
      <c r="A2828" t="s">
        <v>7064</v>
      </c>
      <c r="B2828" t="s">
        <v>5285</v>
      </c>
      <c r="C2828" t="s">
        <v>4308</v>
      </c>
      <c r="D2828" t="s">
        <v>133</v>
      </c>
      <c r="E2828" t="s">
        <v>7065</v>
      </c>
    </row>
    <row r="2829" spans="1:5" x14ac:dyDescent="0.3">
      <c r="A2829" t="s">
        <v>7086</v>
      </c>
      <c r="B2829" t="s">
        <v>7087</v>
      </c>
      <c r="C2829" t="s">
        <v>3758</v>
      </c>
      <c r="D2829" t="s">
        <v>3712</v>
      </c>
      <c r="E2829" t="s">
        <v>7088</v>
      </c>
    </row>
    <row r="2830" spans="1:5" x14ac:dyDescent="0.3">
      <c r="A2830" t="s">
        <v>3315</v>
      </c>
      <c r="B2830" t="s">
        <v>3316</v>
      </c>
      <c r="C2830" t="s">
        <v>2696</v>
      </c>
      <c r="D2830" t="s">
        <v>2696</v>
      </c>
      <c r="E2830" t="s">
        <v>3317</v>
      </c>
    </row>
    <row r="2831" spans="1:5" x14ac:dyDescent="0.3">
      <c r="A2831" t="s">
        <v>3339</v>
      </c>
      <c r="B2831" t="s">
        <v>3340</v>
      </c>
      <c r="C2831" t="s">
        <v>2696</v>
      </c>
      <c r="D2831" t="s">
        <v>2696</v>
      </c>
      <c r="E2831" t="s">
        <v>3341</v>
      </c>
    </row>
    <row r="2832" spans="1:5" x14ac:dyDescent="0.3">
      <c r="A2832" t="s">
        <v>2853</v>
      </c>
      <c r="B2832" t="s">
        <v>2854</v>
      </c>
      <c r="C2832" t="s">
        <v>2696</v>
      </c>
      <c r="D2832" t="s">
        <v>2696</v>
      </c>
      <c r="E2832" t="s">
        <v>2855</v>
      </c>
    </row>
    <row r="2833" spans="1:5" x14ac:dyDescent="0.3">
      <c r="A2833" t="s">
        <v>2877</v>
      </c>
      <c r="B2833" t="s">
        <v>1081</v>
      </c>
      <c r="C2833" t="s">
        <v>2696</v>
      </c>
      <c r="D2833" t="s">
        <v>2696</v>
      </c>
      <c r="E2833" t="s">
        <v>2878</v>
      </c>
    </row>
    <row r="2834" spans="1:5" x14ac:dyDescent="0.3">
      <c r="A2834" t="s">
        <v>4327</v>
      </c>
      <c r="B2834" t="s">
        <v>4328</v>
      </c>
      <c r="C2834" t="s">
        <v>2851</v>
      </c>
      <c r="D2834" t="s">
        <v>2852</v>
      </c>
      <c r="E2834" t="s">
        <v>4329</v>
      </c>
    </row>
    <row r="2835" spans="1:5" x14ac:dyDescent="0.3">
      <c r="A2835" t="s">
        <v>1464</v>
      </c>
      <c r="B2835" t="s">
        <v>1465</v>
      </c>
      <c r="C2835" t="s">
        <v>1110</v>
      </c>
      <c r="D2835" t="s">
        <v>1111</v>
      </c>
      <c r="E2835" t="s">
        <v>1466</v>
      </c>
    </row>
    <row r="2836" spans="1:5" x14ac:dyDescent="0.3">
      <c r="A2836" t="s">
        <v>3265</v>
      </c>
      <c r="B2836" t="s">
        <v>3266</v>
      </c>
      <c r="C2836" t="s">
        <v>2696</v>
      </c>
      <c r="D2836" t="s">
        <v>2696</v>
      </c>
      <c r="E2836" t="s">
        <v>3267</v>
      </c>
    </row>
    <row r="2837" spans="1:5" x14ac:dyDescent="0.3">
      <c r="A2837" t="s">
        <v>3289</v>
      </c>
      <c r="B2837" t="s">
        <v>3290</v>
      </c>
      <c r="C2837" t="s">
        <v>2696</v>
      </c>
      <c r="D2837" t="s">
        <v>2696</v>
      </c>
      <c r="E2837" t="s">
        <v>3291</v>
      </c>
    </row>
    <row r="2838" spans="1:5" x14ac:dyDescent="0.3">
      <c r="A2838" t="s">
        <v>7288</v>
      </c>
      <c r="B2838" t="s">
        <v>7289</v>
      </c>
      <c r="C2838" t="s">
        <v>3758</v>
      </c>
      <c r="D2838" t="s">
        <v>3712</v>
      </c>
      <c r="E2838" t="s">
        <v>7290</v>
      </c>
    </row>
    <row r="2839" spans="1:5" x14ac:dyDescent="0.3">
      <c r="A2839" t="s">
        <v>7312</v>
      </c>
      <c r="B2839" t="s">
        <v>7313</v>
      </c>
      <c r="C2839" t="s">
        <v>6574</v>
      </c>
      <c r="D2839" t="s">
        <v>2852</v>
      </c>
      <c r="E2839" t="s">
        <v>7314</v>
      </c>
    </row>
    <row r="2840" spans="1:5" x14ac:dyDescent="0.3">
      <c r="A2840" t="s">
        <v>3363</v>
      </c>
      <c r="B2840" t="s">
        <v>3364</v>
      </c>
      <c r="C2840" t="s">
        <v>2696</v>
      </c>
      <c r="D2840" t="s">
        <v>2696</v>
      </c>
      <c r="E2840" t="s">
        <v>3365</v>
      </c>
    </row>
    <row r="2841" spans="1:5" x14ac:dyDescent="0.3">
      <c r="A2841" t="s">
        <v>3386</v>
      </c>
      <c r="B2841" t="s">
        <v>3387</v>
      </c>
      <c r="C2841" t="s">
        <v>2696</v>
      </c>
      <c r="D2841" t="s">
        <v>2696</v>
      </c>
      <c r="E2841" t="s">
        <v>3388</v>
      </c>
    </row>
    <row r="2842" spans="1:5" x14ac:dyDescent="0.3">
      <c r="A2842" t="s">
        <v>2900</v>
      </c>
      <c r="B2842" t="s">
        <v>2901</v>
      </c>
      <c r="C2842" t="s">
        <v>2696</v>
      </c>
      <c r="D2842" t="s">
        <v>2696</v>
      </c>
      <c r="E2842" t="s">
        <v>2902</v>
      </c>
    </row>
    <row r="2843" spans="1:5" x14ac:dyDescent="0.3">
      <c r="A2843" t="s">
        <v>2923</v>
      </c>
      <c r="B2843" t="s">
        <v>2924</v>
      </c>
      <c r="C2843" t="s">
        <v>2696</v>
      </c>
      <c r="D2843" t="s">
        <v>2696</v>
      </c>
      <c r="E2843" t="s">
        <v>2925</v>
      </c>
    </row>
    <row r="2844" spans="1:5" x14ac:dyDescent="0.3">
      <c r="A2844" t="s">
        <v>3312</v>
      </c>
      <c r="B2844" t="s">
        <v>3313</v>
      </c>
      <c r="C2844" t="s">
        <v>2696</v>
      </c>
      <c r="D2844" t="s">
        <v>2696</v>
      </c>
      <c r="E2844" t="s">
        <v>3314</v>
      </c>
    </row>
    <row r="2845" spans="1:5" x14ac:dyDescent="0.3">
      <c r="A2845" t="s">
        <v>3336</v>
      </c>
      <c r="B2845" t="s">
        <v>3337</v>
      </c>
      <c r="C2845" t="s">
        <v>2696</v>
      </c>
      <c r="D2845" t="s">
        <v>2696</v>
      </c>
      <c r="E2845" t="s">
        <v>3338</v>
      </c>
    </row>
    <row r="2846" spans="1:5" x14ac:dyDescent="0.3">
      <c r="A2846" t="s">
        <v>7335</v>
      </c>
      <c r="B2846" t="s">
        <v>7336</v>
      </c>
      <c r="C2846" t="s">
        <v>6333</v>
      </c>
      <c r="D2846" t="s">
        <v>2709</v>
      </c>
      <c r="E2846" t="s">
        <v>7337</v>
      </c>
    </row>
    <row r="2847" spans="1:5" x14ac:dyDescent="0.3">
      <c r="A2847" t="s">
        <v>7360</v>
      </c>
      <c r="B2847" t="s">
        <v>7361</v>
      </c>
      <c r="C2847" t="s">
        <v>7344</v>
      </c>
      <c r="D2847" t="s">
        <v>2704</v>
      </c>
      <c r="E2847" t="s">
        <v>7362</v>
      </c>
    </row>
    <row r="2848" spans="1:5" x14ac:dyDescent="0.3">
      <c r="A2848" t="s">
        <v>3410</v>
      </c>
      <c r="B2848" t="s">
        <v>3411</v>
      </c>
      <c r="C2848" t="s">
        <v>2696</v>
      </c>
      <c r="D2848" t="s">
        <v>2696</v>
      </c>
      <c r="E2848" t="s">
        <v>3412</v>
      </c>
    </row>
    <row r="2849" spans="1:5" x14ac:dyDescent="0.3">
      <c r="A2849" t="s">
        <v>2947</v>
      </c>
      <c r="B2849" t="s">
        <v>2948</v>
      </c>
      <c r="C2849" t="s">
        <v>2696</v>
      </c>
      <c r="D2849" t="s">
        <v>2696</v>
      </c>
      <c r="E2849" t="s">
        <v>2949</v>
      </c>
    </row>
    <row r="2850" spans="1:5" x14ac:dyDescent="0.3">
      <c r="A2850" t="s">
        <v>2970</v>
      </c>
      <c r="B2850" t="s">
        <v>2971</v>
      </c>
      <c r="C2850" t="s">
        <v>2696</v>
      </c>
      <c r="D2850" t="s">
        <v>2696</v>
      </c>
      <c r="E2850" t="s">
        <v>2972</v>
      </c>
    </row>
    <row r="2851" spans="1:5" x14ac:dyDescent="0.3">
      <c r="A2851" t="s">
        <v>3360</v>
      </c>
      <c r="B2851" t="s">
        <v>3361</v>
      </c>
      <c r="C2851" t="s">
        <v>2696</v>
      </c>
      <c r="D2851" t="s">
        <v>2696</v>
      </c>
      <c r="E2851" t="s">
        <v>3362</v>
      </c>
    </row>
    <row r="2852" spans="1:5" x14ac:dyDescent="0.3">
      <c r="A2852" t="s">
        <v>3383</v>
      </c>
      <c r="B2852" t="s">
        <v>3384</v>
      </c>
      <c r="C2852" t="s">
        <v>2696</v>
      </c>
      <c r="D2852" t="s">
        <v>2696</v>
      </c>
      <c r="E2852" t="s">
        <v>3385</v>
      </c>
    </row>
    <row r="2853" spans="1:5" x14ac:dyDescent="0.3">
      <c r="A2853" t="s">
        <v>7382</v>
      </c>
      <c r="B2853" t="s">
        <v>7383</v>
      </c>
      <c r="C2853" t="s">
        <v>4229</v>
      </c>
      <c r="D2853" t="s">
        <v>2841</v>
      </c>
      <c r="E2853" t="s">
        <v>7384</v>
      </c>
    </row>
    <row r="2854" spans="1:5" x14ac:dyDescent="0.3">
      <c r="A2854" t="s">
        <v>7398</v>
      </c>
      <c r="B2854" t="s">
        <v>7399</v>
      </c>
      <c r="C2854" t="s">
        <v>7397</v>
      </c>
      <c r="D2854" t="s">
        <v>2704</v>
      </c>
      <c r="E2854" t="s">
        <v>7400</v>
      </c>
    </row>
    <row r="2855" spans="1:5" x14ac:dyDescent="0.3">
      <c r="A2855" t="s">
        <v>3434</v>
      </c>
      <c r="B2855" t="s">
        <v>3435</v>
      </c>
      <c r="C2855" t="s">
        <v>2696</v>
      </c>
      <c r="D2855" t="s">
        <v>2696</v>
      </c>
      <c r="E2855" t="s">
        <v>3436</v>
      </c>
    </row>
    <row r="2856" spans="1:5" x14ac:dyDescent="0.3">
      <c r="A2856" t="s">
        <v>3458</v>
      </c>
      <c r="B2856" t="s">
        <v>3195</v>
      </c>
      <c r="C2856" t="s">
        <v>2696</v>
      </c>
      <c r="D2856" t="s">
        <v>2696</v>
      </c>
      <c r="E2856" t="s">
        <v>3459</v>
      </c>
    </row>
    <row r="2857" spans="1:5" x14ac:dyDescent="0.3">
      <c r="A2857" t="s">
        <v>2994</v>
      </c>
      <c r="B2857" t="s">
        <v>2995</v>
      </c>
      <c r="C2857" t="s">
        <v>2696</v>
      </c>
      <c r="D2857" t="s">
        <v>2696</v>
      </c>
      <c r="E2857" t="s">
        <v>2996</v>
      </c>
    </row>
    <row r="2858" spans="1:5" x14ac:dyDescent="0.3">
      <c r="A2858" t="s">
        <v>3018</v>
      </c>
      <c r="B2858" t="s">
        <v>3019</v>
      </c>
      <c r="C2858" t="s">
        <v>2696</v>
      </c>
      <c r="D2858" t="s">
        <v>2696</v>
      </c>
      <c r="E2858" t="s">
        <v>3020</v>
      </c>
    </row>
    <row r="2859" spans="1:5" x14ac:dyDescent="0.3">
      <c r="A2859" t="s">
        <v>3407</v>
      </c>
      <c r="B2859" t="s">
        <v>3408</v>
      </c>
      <c r="C2859" t="s">
        <v>2696</v>
      </c>
      <c r="D2859" t="s">
        <v>2696</v>
      </c>
      <c r="E2859" t="s">
        <v>3409</v>
      </c>
    </row>
    <row r="2860" spans="1:5" x14ac:dyDescent="0.3">
      <c r="A2860" t="s">
        <v>7420</v>
      </c>
      <c r="B2860" t="s">
        <v>7421</v>
      </c>
      <c r="C2860" t="s">
        <v>7397</v>
      </c>
      <c r="D2860" t="s">
        <v>2704</v>
      </c>
      <c r="E2860" t="s">
        <v>7422</v>
      </c>
    </row>
    <row r="2861" spans="1:5" x14ac:dyDescent="0.3">
      <c r="A2861" t="s">
        <v>2536</v>
      </c>
      <c r="B2861" t="s">
        <v>2537</v>
      </c>
      <c r="C2861" t="s">
        <v>1087</v>
      </c>
      <c r="D2861" t="s">
        <v>1088</v>
      </c>
      <c r="E2861" t="s">
        <v>2538</v>
      </c>
    </row>
    <row r="2862" spans="1:5" x14ac:dyDescent="0.3">
      <c r="A2862" t="s">
        <v>3480</v>
      </c>
      <c r="B2862" t="s">
        <v>3481</v>
      </c>
      <c r="C2862" t="s">
        <v>2696</v>
      </c>
      <c r="D2862" t="s">
        <v>2696</v>
      </c>
      <c r="E2862" t="s">
        <v>3482</v>
      </c>
    </row>
    <row r="2863" spans="1:5" x14ac:dyDescent="0.3">
      <c r="A2863" t="s">
        <v>3503</v>
      </c>
      <c r="B2863" t="s">
        <v>3504</v>
      </c>
      <c r="C2863" t="s">
        <v>2696</v>
      </c>
      <c r="D2863" t="s">
        <v>2696</v>
      </c>
      <c r="E2863" t="s">
        <v>3505</v>
      </c>
    </row>
    <row r="2864" spans="1:5" x14ac:dyDescent="0.3">
      <c r="A2864" t="s">
        <v>3304</v>
      </c>
      <c r="B2864" t="s">
        <v>3305</v>
      </c>
      <c r="C2864" t="s">
        <v>2696</v>
      </c>
      <c r="D2864" t="s">
        <v>2696</v>
      </c>
      <c r="E2864" t="s">
        <v>3306</v>
      </c>
    </row>
    <row r="2865" spans="1:5" x14ac:dyDescent="0.3">
      <c r="A2865" t="s">
        <v>3327</v>
      </c>
      <c r="B2865" t="s">
        <v>3328</v>
      </c>
      <c r="C2865" t="s">
        <v>2696</v>
      </c>
      <c r="D2865" t="s">
        <v>2696</v>
      </c>
      <c r="E2865" t="s">
        <v>3329</v>
      </c>
    </row>
    <row r="2866" spans="1:5" x14ac:dyDescent="0.3">
      <c r="A2866" t="s">
        <v>3431</v>
      </c>
      <c r="B2866" t="s">
        <v>3432</v>
      </c>
      <c r="C2866" t="s">
        <v>2696</v>
      </c>
      <c r="D2866" t="s">
        <v>2696</v>
      </c>
      <c r="E2866" t="s">
        <v>3433</v>
      </c>
    </row>
    <row r="2867" spans="1:5" x14ac:dyDescent="0.3">
      <c r="A2867" t="s">
        <v>3455</v>
      </c>
      <c r="B2867" t="s">
        <v>3456</v>
      </c>
      <c r="C2867" t="s">
        <v>2696</v>
      </c>
      <c r="D2867" t="s">
        <v>2696</v>
      </c>
      <c r="E2867" t="s">
        <v>3457</v>
      </c>
    </row>
    <row r="2868" spans="1:5" x14ac:dyDescent="0.3">
      <c r="A2868" t="s">
        <v>3042</v>
      </c>
      <c r="B2868" t="s">
        <v>3043</v>
      </c>
      <c r="C2868" t="s">
        <v>2696</v>
      </c>
      <c r="D2868" t="s">
        <v>2696</v>
      </c>
      <c r="E2868" t="s">
        <v>3044</v>
      </c>
    </row>
    <row r="2869" spans="1:5" x14ac:dyDescent="0.3">
      <c r="A2869" t="s">
        <v>3066</v>
      </c>
      <c r="B2869" t="s">
        <v>3067</v>
      </c>
      <c r="C2869" t="s">
        <v>2696</v>
      </c>
      <c r="D2869" t="s">
        <v>2696</v>
      </c>
      <c r="E2869" t="s">
        <v>3068</v>
      </c>
    </row>
    <row r="2870" spans="1:5" x14ac:dyDescent="0.3">
      <c r="A2870" t="s">
        <v>7110</v>
      </c>
      <c r="B2870" t="s">
        <v>4328</v>
      </c>
      <c r="C2870" t="s">
        <v>3758</v>
      </c>
      <c r="D2870" t="s">
        <v>3712</v>
      </c>
      <c r="E2870" t="s">
        <v>7111</v>
      </c>
    </row>
    <row r="2871" spans="1:5" x14ac:dyDescent="0.3">
      <c r="A2871" t="s">
        <v>7131</v>
      </c>
      <c r="B2871" t="s">
        <v>1805</v>
      </c>
      <c r="C2871" t="s">
        <v>4086</v>
      </c>
      <c r="D2871" t="s">
        <v>2704</v>
      </c>
      <c r="E2871" t="s">
        <v>7132</v>
      </c>
    </row>
    <row r="2872" spans="1:5" x14ac:dyDescent="0.3">
      <c r="A2872" t="s">
        <v>3526</v>
      </c>
      <c r="B2872" t="s">
        <v>3527</v>
      </c>
      <c r="C2872" t="s">
        <v>2696</v>
      </c>
      <c r="D2872" t="s">
        <v>2696</v>
      </c>
      <c r="E2872" t="s">
        <v>3528</v>
      </c>
    </row>
    <row r="2873" spans="1:5" x14ac:dyDescent="0.3">
      <c r="A2873" t="s">
        <v>3550</v>
      </c>
      <c r="B2873" t="s">
        <v>3551</v>
      </c>
      <c r="C2873" t="s">
        <v>2696</v>
      </c>
      <c r="D2873" t="s">
        <v>2696</v>
      </c>
      <c r="E2873" t="s">
        <v>3552</v>
      </c>
    </row>
    <row r="2874" spans="1:5" x14ac:dyDescent="0.3">
      <c r="A2874" t="s">
        <v>3477</v>
      </c>
      <c r="B2874" t="s">
        <v>3478</v>
      </c>
      <c r="C2874" t="s">
        <v>2696</v>
      </c>
      <c r="D2874" t="s">
        <v>2696</v>
      </c>
      <c r="E2874" t="s">
        <v>3479</v>
      </c>
    </row>
    <row r="2875" spans="1:5" x14ac:dyDescent="0.3">
      <c r="A2875" t="s">
        <v>3500</v>
      </c>
      <c r="B2875" t="s">
        <v>3501</v>
      </c>
      <c r="C2875" t="s">
        <v>2696</v>
      </c>
      <c r="D2875" t="s">
        <v>2696</v>
      </c>
      <c r="E2875" t="s">
        <v>3502</v>
      </c>
    </row>
    <row r="2876" spans="1:5" x14ac:dyDescent="0.3">
      <c r="A2876" t="s">
        <v>3087</v>
      </c>
      <c r="B2876" t="s">
        <v>3088</v>
      </c>
      <c r="C2876" t="s">
        <v>2696</v>
      </c>
      <c r="D2876" t="s">
        <v>2696</v>
      </c>
      <c r="E2876" t="s">
        <v>3089</v>
      </c>
    </row>
    <row r="2877" spans="1:5" x14ac:dyDescent="0.3">
      <c r="A2877" t="s">
        <v>3111</v>
      </c>
      <c r="B2877" t="s">
        <v>3112</v>
      </c>
      <c r="C2877" t="s">
        <v>2696</v>
      </c>
      <c r="D2877" t="s">
        <v>2696</v>
      </c>
      <c r="E2877" t="s">
        <v>3113</v>
      </c>
    </row>
    <row r="2878" spans="1:5" x14ac:dyDescent="0.3">
      <c r="A2878" t="s">
        <v>7153</v>
      </c>
      <c r="B2878" t="s">
        <v>7154</v>
      </c>
      <c r="C2878" t="s">
        <v>4595</v>
      </c>
      <c r="D2878" t="s">
        <v>133</v>
      </c>
      <c r="E2878" t="s">
        <v>7155</v>
      </c>
    </row>
    <row r="2879" spans="1:5" x14ac:dyDescent="0.3">
      <c r="A2879" t="s">
        <v>7175</v>
      </c>
      <c r="B2879" t="s">
        <v>7176</v>
      </c>
      <c r="C2879" t="s">
        <v>3758</v>
      </c>
      <c r="D2879" t="s">
        <v>3712</v>
      </c>
      <c r="E2879" t="s">
        <v>7177</v>
      </c>
    </row>
    <row r="2880" spans="1:5" x14ac:dyDescent="0.3">
      <c r="A2880" t="s">
        <v>3574</v>
      </c>
      <c r="B2880" t="s">
        <v>3575</v>
      </c>
      <c r="C2880" t="s">
        <v>2696</v>
      </c>
      <c r="D2880" t="s">
        <v>2696</v>
      </c>
      <c r="E2880" t="s">
        <v>3576</v>
      </c>
    </row>
    <row r="2881" spans="1:5" x14ac:dyDescent="0.3">
      <c r="A2881" t="s">
        <v>3598</v>
      </c>
      <c r="B2881" t="s">
        <v>3599</v>
      </c>
      <c r="C2881" t="s">
        <v>2696</v>
      </c>
      <c r="D2881" t="s">
        <v>2696</v>
      </c>
      <c r="E2881" t="s">
        <v>3600</v>
      </c>
    </row>
    <row r="2882" spans="1:5" x14ac:dyDescent="0.3">
      <c r="A2882" t="s">
        <v>3524</v>
      </c>
      <c r="B2882" t="s">
        <v>1090</v>
      </c>
      <c r="C2882" t="s">
        <v>2696</v>
      </c>
      <c r="D2882" t="s">
        <v>2696</v>
      </c>
      <c r="E2882" t="s">
        <v>3525</v>
      </c>
    </row>
    <row r="2883" spans="1:5" x14ac:dyDescent="0.3">
      <c r="A2883" t="s">
        <v>3547</v>
      </c>
      <c r="B2883" t="s">
        <v>3548</v>
      </c>
      <c r="C2883" t="s">
        <v>2696</v>
      </c>
      <c r="D2883" t="s">
        <v>2696</v>
      </c>
      <c r="E2883" t="s">
        <v>3549</v>
      </c>
    </row>
    <row r="2884" spans="1:5" x14ac:dyDescent="0.3">
      <c r="A2884" t="s">
        <v>3134</v>
      </c>
      <c r="B2884" t="s">
        <v>3135</v>
      </c>
      <c r="C2884" t="s">
        <v>2696</v>
      </c>
      <c r="D2884" t="s">
        <v>2696</v>
      </c>
      <c r="E2884" t="s">
        <v>3136</v>
      </c>
    </row>
    <row r="2885" spans="1:5" x14ac:dyDescent="0.3">
      <c r="A2885" t="s">
        <v>3158</v>
      </c>
      <c r="B2885" t="s">
        <v>3159</v>
      </c>
      <c r="C2885" t="s">
        <v>2696</v>
      </c>
      <c r="D2885" t="s">
        <v>2696</v>
      </c>
      <c r="E2885" t="s">
        <v>3160</v>
      </c>
    </row>
    <row r="2886" spans="1:5" x14ac:dyDescent="0.3">
      <c r="A2886" t="s">
        <v>7198</v>
      </c>
      <c r="B2886" t="s">
        <v>7199</v>
      </c>
      <c r="C2886" t="s">
        <v>6333</v>
      </c>
      <c r="D2886" t="s">
        <v>2709</v>
      </c>
      <c r="E2886" t="s">
        <v>7200</v>
      </c>
    </row>
    <row r="2887" spans="1:5" x14ac:dyDescent="0.3">
      <c r="A2887" t="s">
        <v>2503</v>
      </c>
      <c r="B2887" t="s">
        <v>2504</v>
      </c>
      <c r="C2887" t="s">
        <v>1140</v>
      </c>
      <c r="D2887" t="s">
        <v>1088</v>
      </c>
      <c r="E2887" t="s">
        <v>2505</v>
      </c>
    </row>
    <row r="2888" spans="1:5" x14ac:dyDescent="0.3">
      <c r="A2888" t="s">
        <v>3622</v>
      </c>
      <c r="B2888" t="s">
        <v>3623</v>
      </c>
      <c r="C2888" t="s">
        <v>2696</v>
      </c>
      <c r="D2888" t="s">
        <v>2696</v>
      </c>
      <c r="E2888" t="s">
        <v>3624</v>
      </c>
    </row>
    <row r="2889" spans="1:5" x14ac:dyDescent="0.3">
      <c r="A2889" t="s">
        <v>3645</v>
      </c>
      <c r="B2889" t="s">
        <v>3646</v>
      </c>
      <c r="C2889" t="s">
        <v>2696</v>
      </c>
      <c r="D2889" t="s">
        <v>2696</v>
      </c>
      <c r="E2889" t="s">
        <v>3647</v>
      </c>
    </row>
    <row r="2890" spans="1:5" x14ac:dyDescent="0.3">
      <c r="A2890" t="s">
        <v>3351</v>
      </c>
      <c r="B2890" t="s">
        <v>3352</v>
      </c>
      <c r="C2890" t="s">
        <v>2696</v>
      </c>
      <c r="D2890" t="s">
        <v>2696</v>
      </c>
      <c r="E2890" t="s">
        <v>3353</v>
      </c>
    </row>
    <row r="2891" spans="1:5" x14ac:dyDescent="0.3">
      <c r="A2891" t="s">
        <v>3375</v>
      </c>
      <c r="B2891" t="s">
        <v>1325</v>
      </c>
      <c r="C2891" t="s">
        <v>2696</v>
      </c>
      <c r="D2891" t="s">
        <v>2696</v>
      </c>
      <c r="E2891" t="s">
        <v>3376</v>
      </c>
    </row>
    <row r="2892" spans="1:5" x14ac:dyDescent="0.3">
      <c r="A2892" t="s">
        <v>3571</v>
      </c>
      <c r="B2892" t="s">
        <v>3572</v>
      </c>
      <c r="C2892" t="s">
        <v>2696</v>
      </c>
      <c r="D2892" t="s">
        <v>2696</v>
      </c>
      <c r="E2892" t="s">
        <v>3573</v>
      </c>
    </row>
    <row r="2893" spans="1:5" x14ac:dyDescent="0.3">
      <c r="A2893" t="s">
        <v>3595</v>
      </c>
      <c r="B2893" t="s">
        <v>3596</v>
      </c>
      <c r="C2893" t="s">
        <v>2696</v>
      </c>
      <c r="D2893" t="s">
        <v>2696</v>
      </c>
      <c r="E2893" t="s">
        <v>3597</v>
      </c>
    </row>
    <row r="2894" spans="1:5" x14ac:dyDescent="0.3">
      <c r="A2894" t="s">
        <v>3182</v>
      </c>
      <c r="B2894" t="s">
        <v>3183</v>
      </c>
      <c r="C2894" t="s">
        <v>2696</v>
      </c>
      <c r="D2894" t="s">
        <v>2696</v>
      </c>
      <c r="E2894" t="s">
        <v>3184</v>
      </c>
    </row>
    <row r="2895" spans="1:5" x14ac:dyDescent="0.3">
      <c r="A2895" t="s">
        <v>3206</v>
      </c>
      <c r="B2895" t="s">
        <v>3207</v>
      </c>
      <c r="C2895" t="s">
        <v>2696</v>
      </c>
      <c r="D2895" t="s">
        <v>2696</v>
      </c>
      <c r="E2895" t="s">
        <v>3208</v>
      </c>
    </row>
    <row r="2896" spans="1:5" x14ac:dyDescent="0.3">
      <c r="A2896" t="s">
        <v>7229</v>
      </c>
      <c r="B2896" t="s">
        <v>7230</v>
      </c>
      <c r="C2896" t="s">
        <v>3768</v>
      </c>
      <c r="D2896" t="s">
        <v>2852</v>
      </c>
      <c r="E2896" t="s">
        <v>7231</v>
      </c>
    </row>
    <row r="2897" spans="1:5" x14ac:dyDescent="0.3">
      <c r="A2897" t="s">
        <v>7251</v>
      </c>
      <c r="B2897" t="s">
        <v>7252</v>
      </c>
      <c r="C2897" t="s">
        <v>3768</v>
      </c>
      <c r="D2897" t="s">
        <v>2852</v>
      </c>
      <c r="E2897" t="s">
        <v>7253</v>
      </c>
    </row>
    <row r="2898" spans="1:5" x14ac:dyDescent="0.3">
      <c r="A2898" t="s">
        <v>3398</v>
      </c>
      <c r="B2898" t="s">
        <v>3399</v>
      </c>
      <c r="C2898" t="s">
        <v>2696</v>
      </c>
      <c r="D2898" t="s">
        <v>2696</v>
      </c>
      <c r="E2898" t="s">
        <v>3400</v>
      </c>
    </row>
    <row r="2899" spans="1:5" x14ac:dyDescent="0.3">
      <c r="A2899" t="s">
        <v>3422</v>
      </c>
      <c r="B2899" t="s">
        <v>3423</v>
      </c>
      <c r="C2899" t="s">
        <v>2696</v>
      </c>
      <c r="D2899" t="s">
        <v>2696</v>
      </c>
      <c r="E2899" t="s">
        <v>3424</v>
      </c>
    </row>
    <row r="2900" spans="1:5" x14ac:dyDescent="0.3">
      <c r="A2900" t="s">
        <v>3619</v>
      </c>
      <c r="B2900" t="s">
        <v>3620</v>
      </c>
      <c r="C2900" t="s">
        <v>2696</v>
      </c>
      <c r="D2900" t="s">
        <v>2696</v>
      </c>
      <c r="E2900" t="s">
        <v>3621</v>
      </c>
    </row>
    <row r="2901" spans="1:5" x14ac:dyDescent="0.3">
      <c r="A2901" t="s">
        <v>3642</v>
      </c>
      <c r="B2901" t="s">
        <v>3643</v>
      </c>
      <c r="C2901" t="s">
        <v>2696</v>
      </c>
      <c r="D2901" t="s">
        <v>2696</v>
      </c>
      <c r="E2901" t="s">
        <v>3644</v>
      </c>
    </row>
    <row r="2902" spans="1:5" x14ac:dyDescent="0.3">
      <c r="A2902" t="s">
        <v>2539</v>
      </c>
      <c r="B2902" t="s">
        <v>2540</v>
      </c>
      <c r="C2902" t="s">
        <v>1087</v>
      </c>
      <c r="D2902" t="s">
        <v>1088</v>
      </c>
      <c r="E2902" t="s">
        <v>2541</v>
      </c>
    </row>
    <row r="2903" spans="1:5" x14ac:dyDescent="0.3">
      <c r="A2903" t="s">
        <v>7273</v>
      </c>
      <c r="B2903" t="s">
        <v>7274</v>
      </c>
      <c r="C2903" t="s">
        <v>6333</v>
      </c>
      <c r="D2903" t="s">
        <v>2709</v>
      </c>
      <c r="E2903" t="s">
        <v>7275</v>
      </c>
    </row>
    <row r="2904" spans="1:5" x14ac:dyDescent="0.3">
      <c r="A2904" t="s">
        <v>7297</v>
      </c>
      <c r="B2904" t="s">
        <v>7298</v>
      </c>
      <c r="C2904" t="s">
        <v>3758</v>
      </c>
      <c r="D2904" t="s">
        <v>3712</v>
      </c>
      <c r="E2904" t="s">
        <v>7299</v>
      </c>
    </row>
    <row r="2905" spans="1:5" x14ac:dyDescent="0.3">
      <c r="A2905" t="s">
        <v>1470</v>
      </c>
      <c r="B2905" t="s">
        <v>1082</v>
      </c>
      <c r="C2905" t="s">
        <v>1110</v>
      </c>
      <c r="D2905" t="s">
        <v>1111</v>
      </c>
      <c r="E2905" t="s">
        <v>1471</v>
      </c>
    </row>
    <row r="2906" spans="1:5" x14ac:dyDescent="0.3">
      <c r="A2906" t="s">
        <v>4354</v>
      </c>
      <c r="B2906" t="s">
        <v>4355</v>
      </c>
      <c r="C2906" t="s">
        <v>3983</v>
      </c>
      <c r="D2906" t="s">
        <v>3712</v>
      </c>
      <c r="E2906" t="s">
        <v>4356</v>
      </c>
    </row>
    <row r="2907" spans="1:5" x14ac:dyDescent="0.3">
      <c r="A2907" t="s">
        <v>3446</v>
      </c>
      <c r="B2907" t="s">
        <v>3447</v>
      </c>
      <c r="C2907" t="s">
        <v>2696</v>
      </c>
      <c r="D2907" t="s">
        <v>2696</v>
      </c>
      <c r="E2907" t="s">
        <v>3448</v>
      </c>
    </row>
    <row r="2908" spans="1:5" x14ac:dyDescent="0.3">
      <c r="A2908" t="s">
        <v>3468</v>
      </c>
      <c r="B2908" t="s">
        <v>3469</v>
      </c>
      <c r="C2908" t="s">
        <v>2696</v>
      </c>
      <c r="D2908" t="s">
        <v>2696</v>
      </c>
      <c r="E2908" t="s">
        <v>3470</v>
      </c>
    </row>
    <row r="2909" spans="1:5" x14ac:dyDescent="0.3">
      <c r="A2909" t="s">
        <v>3666</v>
      </c>
      <c r="B2909" t="s">
        <v>3667</v>
      </c>
      <c r="C2909" t="s">
        <v>2696</v>
      </c>
      <c r="D2909" t="s">
        <v>2696</v>
      </c>
      <c r="E2909" t="s">
        <v>3668</v>
      </c>
    </row>
    <row r="2910" spans="1:5" x14ac:dyDescent="0.3">
      <c r="A2910" t="s">
        <v>3690</v>
      </c>
      <c r="B2910" t="s">
        <v>3691</v>
      </c>
      <c r="C2910" t="s">
        <v>2696</v>
      </c>
      <c r="D2910" t="s">
        <v>2696</v>
      </c>
      <c r="E2910" t="s">
        <v>3692</v>
      </c>
    </row>
    <row r="2911" spans="1:5" x14ac:dyDescent="0.3">
      <c r="A2911" t="s">
        <v>3669</v>
      </c>
      <c r="B2911" t="s">
        <v>3670</v>
      </c>
      <c r="C2911" t="s">
        <v>2696</v>
      </c>
      <c r="D2911" t="s">
        <v>2696</v>
      </c>
      <c r="E2911" t="s">
        <v>3671</v>
      </c>
    </row>
    <row r="2912" spans="1:5" x14ac:dyDescent="0.3">
      <c r="A2912" t="s">
        <v>3693</v>
      </c>
      <c r="B2912" t="s">
        <v>3694</v>
      </c>
      <c r="C2912" t="s">
        <v>2696</v>
      </c>
      <c r="D2912" t="s">
        <v>2696</v>
      </c>
      <c r="E2912" t="s">
        <v>3695</v>
      </c>
    </row>
    <row r="2913" spans="1:5" x14ac:dyDescent="0.3">
      <c r="A2913" t="s">
        <v>6869</v>
      </c>
      <c r="B2913" t="s">
        <v>6870</v>
      </c>
      <c r="C2913" t="s">
        <v>4595</v>
      </c>
      <c r="D2913" t="s">
        <v>133</v>
      </c>
      <c r="E2913" t="s">
        <v>6871</v>
      </c>
    </row>
    <row r="2914" spans="1:5" x14ac:dyDescent="0.3">
      <c r="A2914" t="s">
        <v>6893</v>
      </c>
      <c r="B2914" t="s">
        <v>6894</v>
      </c>
      <c r="C2914" t="s">
        <v>2851</v>
      </c>
      <c r="D2914" t="s">
        <v>2852</v>
      </c>
      <c r="E2914" t="s">
        <v>6895</v>
      </c>
    </row>
    <row r="2915" spans="1:5" x14ac:dyDescent="0.3">
      <c r="A2915" t="s">
        <v>3229</v>
      </c>
      <c r="B2915" t="s">
        <v>3230</v>
      </c>
      <c r="C2915" t="s">
        <v>2696</v>
      </c>
      <c r="D2915" t="s">
        <v>2696</v>
      </c>
      <c r="E2915" t="s">
        <v>3231</v>
      </c>
    </row>
    <row r="2916" spans="1:5" x14ac:dyDescent="0.3">
      <c r="A2916" t="s">
        <v>3491</v>
      </c>
      <c r="B2916" t="s">
        <v>3492</v>
      </c>
      <c r="C2916" t="s">
        <v>2696</v>
      </c>
      <c r="D2916" t="s">
        <v>2696</v>
      </c>
      <c r="E2916" t="s">
        <v>3493</v>
      </c>
    </row>
    <row r="2917" spans="1:5" x14ac:dyDescent="0.3">
      <c r="A2917" t="s">
        <v>3515</v>
      </c>
      <c r="B2917" t="s">
        <v>3516</v>
      </c>
      <c r="C2917" t="s">
        <v>2696</v>
      </c>
      <c r="D2917" t="s">
        <v>2696</v>
      </c>
      <c r="E2917" t="s">
        <v>3517</v>
      </c>
    </row>
    <row r="2918" spans="1:5" x14ac:dyDescent="0.3">
      <c r="A2918" t="s">
        <v>3716</v>
      </c>
      <c r="B2918" t="s">
        <v>3717</v>
      </c>
      <c r="C2918" t="s">
        <v>3711</v>
      </c>
      <c r="D2918" t="s">
        <v>3712</v>
      </c>
      <c r="E2918" t="s">
        <v>3718</v>
      </c>
    </row>
    <row r="2919" spans="1:5" x14ac:dyDescent="0.3">
      <c r="A2919" t="s">
        <v>3740</v>
      </c>
      <c r="B2919" t="s">
        <v>3741</v>
      </c>
      <c r="C2919" t="s">
        <v>3711</v>
      </c>
      <c r="D2919" t="s">
        <v>3712</v>
      </c>
      <c r="E2919" t="s">
        <v>3742</v>
      </c>
    </row>
    <row r="2920" spans="1:5" x14ac:dyDescent="0.3">
      <c r="A2920" t="s">
        <v>7321</v>
      </c>
      <c r="B2920" t="s">
        <v>7322</v>
      </c>
      <c r="C2920" t="s">
        <v>6574</v>
      </c>
      <c r="D2920" t="s">
        <v>2852</v>
      </c>
      <c r="E2920" t="s">
        <v>7323</v>
      </c>
    </row>
    <row r="2921" spans="1:5" x14ac:dyDescent="0.3">
      <c r="A2921" t="s">
        <v>7345</v>
      </c>
      <c r="B2921" t="s">
        <v>7346</v>
      </c>
      <c r="C2921" t="s">
        <v>7344</v>
      </c>
      <c r="D2921" t="s">
        <v>2704</v>
      </c>
      <c r="E2921" t="s">
        <v>7347</v>
      </c>
    </row>
    <row r="2922" spans="1:5" x14ac:dyDescent="0.3">
      <c r="A2922" t="s">
        <v>4378</v>
      </c>
      <c r="B2922" t="s">
        <v>4379</v>
      </c>
      <c r="C2922" t="s">
        <v>3983</v>
      </c>
      <c r="D2922" t="s">
        <v>3712</v>
      </c>
      <c r="E2922" t="s">
        <v>4380</v>
      </c>
    </row>
    <row r="2923" spans="1:5" x14ac:dyDescent="0.3">
      <c r="A2923" t="s">
        <v>4402</v>
      </c>
      <c r="B2923" t="s">
        <v>4403</v>
      </c>
      <c r="C2923" t="s">
        <v>2696</v>
      </c>
      <c r="D2923" t="s">
        <v>2696</v>
      </c>
      <c r="E2923" t="s">
        <v>4404</v>
      </c>
    </row>
    <row r="2924" spans="1:5" x14ac:dyDescent="0.3">
      <c r="A2924" t="s">
        <v>3538</v>
      </c>
      <c r="B2924" t="s">
        <v>3539</v>
      </c>
      <c r="C2924" t="s">
        <v>2696</v>
      </c>
      <c r="D2924" t="s">
        <v>2696</v>
      </c>
      <c r="E2924" t="s">
        <v>3540</v>
      </c>
    </row>
    <row r="2925" spans="1:5" x14ac:dyDescent="0.3">
      <c r="A2925" t="s">
        <v>3562</v>
      </c>
      <c r="B2925" t="s">
        <v>3563</v>
      </c>
      <c r="C2925" t="s">
        <v>2696</v>
      </c>
      <c r="D2925" t="s">
        <v>2696</v>
      </c>
      <c r="E2925" t="s">
        <v>3564</v>
      </c>
    </row>
    <row r="2926" spans="1:5" x14ac:dyDescent="0.3">
      <c r="A2926" t="s">
        <v>3765</v>
      </c>
      <c r="B2926" t="s">
        <v>3766</v>
      </c>
      <c r="C2926" t="s">
        <v>3768</v>
      </c>
      <c r="D2926" t="s">
        <v>2852</v>
      </c>
      <c r="E2926" t="s">
        <v>3767</v>
      </c>
    </row>
    <row r="2927" spans="1:5" x14ac:dyDescent="0.3">
      <c r="A2927" t="s">
        <v>3790</v>
      </c>
      <c r="B2927" t="s">
        <v>3791</v>
      </c>
      <c r="C2927" t="s">
        <v>3768</v>
      </c>
      <c r="D2927" t="s">
        <v>2852</v>
      </c>
      <c r="E2927" t="s">
        <v>3792</v>
      </c>
    </row>
    <row r="2928" spans="1:5" x14ac:dyDescent="0.3">
      <c r="A2928" t="s">
        <v>3719</v>
      </c>
      <c r="B2928" t="s">
        <v>3720</v>
      </c>
      <c r="C2928" t="s">
        <v>3711</v>
      </c>
      <c r="D2928" t="s">
        <v>3712</v>
      </c>
      <c r="E2928" t="s">
        <v>3721</v>
      </c>
    </row>
    <row r="2929" spans="1:5" x14ac:dyDescent="0.3">
      <c r="A2929" t="s">
        <v>3743</v>
      </c>
      <c r="B2929" t="s">
        <v>3744</v>
      </c>
      <c r="C2929" t="s">
        <v>3711</v>
      </c>
      <c r="D2929" t="s">
        <v>3712</v>
      </c>
      <c r="E2929" t="s">
        <v>3745</v>
      </c>
    </row>
    <row r="2930" spans="1:5" x14ac:dyDescent="0.3">
      <c r="A2930" t="s">
        <v>7369</v>
      </c>
      <c r="B2930" t="s">
        <v>7370</v>
      </c>
      <c r="C2930" t="s">
        <v>4229</v>
      </c>
      <c r="D2930" t="s">
        <v>2841</v>
      </c>
      <c r="E2930" t="s">
        <v>7371</v>
      </c>
    </row>
    <row r="2931" spans="1:5" x14ac:dyDescent="0.3">
      <c r="A2931" t="s">
        <v>7391</v>
      </c>
      <c r="B2931" t="s">
        <v>7392</v>
      </c>
      <c r="C2931" t="s">
        <v>4229</v>
      </c>
      <c r="D2931" t="s">
        <v>2841</v>
      </c>
      <c r="E2931" t="s">
        <v>7393</v>
      </c>
    </row>
    <row r="2932" spans="1:5" x14ac:dyDescent="0.3">
      <c r="A2932" t="s">
        <v>3253</v>
      </c>
      <c r="B2932" t="s">
        <v>3254</v>
      </c>
      <c r="C2932" t="s">
        <v>2696</v>
      </c>
      <c r="D2932" t="s">
        <v>2696</v>
      </c>
      <c r="E2932" t="s">
        <v>3255</v>
      </c>
    </row>
    <row r="2933" spans="1:5" x14ac:dyDescent="0.3">
      <c r="A2933" t="s">
        <v>3277</v>
      </c>
      <c r="B2933" t="s">
        <v>3278</v>
      </c>
      <c r="C2933" t="s">
        <v>2696</v>
      </c>
      <c r="D2933" t="s">
        <v>2696</v>
      </c>
      <c r="E2933" t="s">
        <v>3279</v>
      </c>
    </row>
    <row r="2934" spans="1:5" x14ac:dyDescent="0.3">
      <c r="A2934" t="s">
        <v>3586</v>
      </c>
      <c r="B2934" t="s">
        <v>3587</v>
      </c>
      <c r="C2934" t="s">
        <v>2696</v>
      </c>
      <c r="D2934" t="s">
        <v>2696</v>
      </c>
      <c r="E2934" t="s">
        <v>3588</v>
      </c>
    </row>
    <row r="2935" spans="1:5" x14ac:dyDescent="0.3">
      <c r="A2935" t="s">
        <v>3610</v>
      </c>
      <c r="B2935" t="s">
        <v>3611</v>
      </c>
      <c r="C2935" t="s">
        <v>2696</v>
      </c>
      <c r="D2935" t="s">
        <v>2696</v>
      </c>
      <c r="E2935" t="s">
        <v>3612</v>
      </c>
    </row>
    <row r="2936" spans="1:5" x14ac:dyDescent="0.3">
      <c r="A2936" t="s">
        <v>4426</v>
      </c>
      <c r="B2936" t="s">
        <v>4427</v>
      </c>
      <c r="C2936" t="s">
        <v>2696</v>
      </c>
      <c r="D2936" t="s">
        <v>2696</v>
      </c>
      <c r="E2936" t="s">
        <v>4428</v>
      </c>
    </row>
    <row r="2937" spans="1:5" x14ac:dyDescent="0.3">
      <c r="A2937" t="s">
        <v>4449</v>
      </c>
      <c r="B2937" t="s">
        <v>4450</v>
      </c>
      <c r="C2937" t="s">
        <v>4167</v>
      </c>
      <c r="D2937" t="s">
        <v>2852</v>
      </c>
      <c r="E2937" t="s">
        <v>4451</v>
      </c>
    </row>
    <row r="2938" spans="1:5" x14ac:dyDescent="0.3">
      <c r="A2938" t="s">
        <v>3769</v>
      </c>
      <c r="B2938" t="s">
        <v>3770</v>
      </c>
      <c r="C2938" t="s">
        <v>3768</v>
      </c>
      <c r="D2938" t="s">
        <v>2852</v>
      </c>
      <c r="E2938" t="s">
        <v>3771</v>
      </c>
    </row>
    <row r="2939" spans="1:5" x14ac:dyDescent="0.3">
      <c r="A2939" t="s">
        <v>3793</v>
      </c>
      <c r="B2939" t="s">
        <v>3794</v>
      </c>
      <c r="C2939" t="s">
        <v>3768</v>
      </c>
      <c r="D2939" t="s">
        <v>2852</v>
      </c>
      <c r="E2939" t="s">
        <v>3795</v>
      </c>
    </row>
    <row r="2940" spans="1:5" x14ac:dyDescent="0.3">
      <c r="A2940" t="s">
        <v>7407</v>
      </c>
      <c r="B2940" t="s">
        <v>1990</v>
      </c>
      <c r="C2940" t="s">
        <v>7397</v>
      </c>
      <c r="D2940" t="s">
        <v>2704</v>
      </c>
      <c r="E2940" t="s">
        <v>7408</v>
      </c>
    </row>
    <row r="2941" spans="1:5" x14ac:dyDescent="0.3">
      <c r="A2941" t="s">
        <v>2527</v>
      </c>
      <c r="B2941" t="s">
        <v>2528</v>
      </c>
      <c r="C2941" t="s">
        <v>1087</v>
      </c>
      <c r="D2941" t="s">
        <v>1088</v>
      </c>
      <c r="E2941" t="s">
        <v>2529</v>
      </c>
    </row>
    <row r="2942" spans="1:5" x14ac:dyDescent="0.3">
      <c r="A2942" t="s">
        <v>3814</v>
      </c>
      <c r="B2942" t="s">
        <v>3815</v>
      </c>
      <c r="C2942" t="s">
        <v>3768</v>
      </c>
      <c r="D2942" t="s">
        <v>2852</v>
      </c>
      <c r="E2942" t="s">
        <v>3816</v>
      </c>
    </row>
    <row r="2943" spans="1:5" x14ac:dyDescent="0.3">
      <c r="A2943" t="s">
        <v>3838</v>
      </c>
      <c r="B2943" t="s">
        <v>3839</v>
      </c>
      <c r="C2943" t="s">
        <v>3768</v>
      </c>
      <c r="D2943" t="s">
        <v>2852</v>
      </c>
      <c r="E2943" t="s">
        <v>3840</v>
      </c>
    </row>
    <row r="2944" spans="1:5" x14ac:dyDescent="0.3">
      <c r="A2944" t="s">
        <v>3634</v>
      </c>
      <c r="B2944" t="s">
        <v>3040</v>
      </c>
      <c r="C2944" t="s">
        <v>2696</v>
      </c>
      <c r="D2944" t="s">
        <v>2696</v>
      </c>
      <c r="E2944" t="s">
        <v>3635</v>
      </c>
    </row>
    <row r="2945" spans="1:5" x14ac:dyDescent="0.3">
      <c r="A2945" t="s">
        <v>4473</v>
      </c>
      <c r="B2945" t="s">
        <v>4474</v>
      </c>
      <c r="C2945" t="s">
        <v>4469</v>
      </c>
      <c r="D2945" t="s">
        <v>2709</v>
      </c>
      <c r="E2945" t="s">
        <v>4475</v>
      </c>
    </row>
    <row r="2946" spans="1:5" x14ac:dyDescent="0.3">
      <c r="A2946" t="s">
        <v>1483</v>
      </c>
      <c r="B2946" t="s">
        <v>1484</v>
      </c>
      <c r="C2946" t="s">
        <v>1110</v>
      </c>
      <c r="D2946" t="s">
        <v>1111</v>
      </c>
      <c r="E2946" t="s">
        <v>1485</v>
      </c>
    </row>
    <row r="2947" spans="1:5" x14ac:dyDescent="0.3">
      <c r="A2947" t="s">
        <v>3817</v>
      </c>
      <c r="B2947" t="s">
        <v>3818</v>
      </c>
      <c r="C2947" t="s">
        <v>3768</v>
      </c>
      <c r="D2947" t="s">
        <v>2852</v>
      </c>
      <c r="E2947" t="s">
        <v>3819</v>
      </c>
    </row>
    <row r="2948" spans="1:5" x14ac:dyDescent="0.3">
      <c r="A2948" t="s">
        <v>3841</v>
      </c>
      <c r="B2948" t="s">
        <v>3842</v>
      </c>
      <c r="C2948" t="s">
        <v>3768</v>
      </c>
      <c r="D2948" t="s">
        <v>2852</v>
      </c>
      <c r="E2948" t="s">
        <v>3843</v>
      </c>
    </row>
    <row r="2949" spans="1:5" x14ac:dyDescent="0.3">
      <c r="A2949" t="s">
        <v>3864</v>
      </c>
      <c r="B2949" t="s">
        <v>3865</v>
      </c>
      <c r="C2949" t="s">
        <v>3860</v>
      </c>
      <c r="D2949" t="s">
        <v>2704</v>
      </c>
      <c r="E2949" t="s">
        <v>3866</v>
      </c>
    </row>
    <row r="2950" spans="1:5" x14ac:dyDescent="0.3">
      <c r="A2950" t="s">
        <v>3888</v>
      </c>
      <c r="B2950" t="s">
        <v>3889</v>
      </c>
      <c r="C2950" t="s">
        <v>3860</v>
      </c>
      <c r="D2950" t="s">
        <v>2704</v>
      </c>
      <c r="E2950" t="s">
        <v>3890</v>
      </c>
    </row>
    <row r="2951" spans="1:5" x14ac:dyDescent="0.3">
      <c r="A2951" t="s">
        <v>4503</v>
      </c>
      <c r="B2951" t="s">
        <v>4504</v>
      </c>
      <c r="C2951" t="s">
        <v>4229</v>
      </c>
      <c r="D2951" t="s">
        <v>2841</v>
      </c>
      <c r="E2951" t="s">
        <v>4505</v>
      </c>
    </row>
    <row r="2952" spans="1:5" x14ac:dyDescent="0.3">
      <c r="A2952" t="s">
        <v>7445</v>
      </c>
      <c r="B2952" t="s">
        <v>7446</v>
      </c>
      <c r="E2952" t="s">
        <v>7447</v>
      </c>
    </row>
    <row r="2953" spans="1:5" x14ac:dyDescent="0.3">
      <c r="A2953" t="s">
        <v>7468</v>
      </c>
      <c r="B2953" t="s">
        <v>7469</v>
      </c>
      <c r="C2953" t="s">
        <v>4649</v>
      </c>
      <c r="D2953" t="s">
        <v>3712</v>
      </c>
      <c r="E2953" t="s">
        <v>7470</v>
      </c>
    </row>
    <row r="2954" spans="1:5" x14ac:dyDescent="0.3">
      <c r="A2954" t="s">
        <v>3913</v>
      </c>
      <c r="B2954" t="s">
        <v>3914</v>
      </c>
      <c r="C2954" t="s">
        <v>3906</v>
      </c>
      <c r="D2954" t="s">
        <v>133</v>
      </c>
      <c r="E2954" t="s">
        <v>3915</v>
      </c>
    </row>
    <row r="2955" spans="1:5" x14ac:dyDescent="0.3">
      <c r="A2955" t="s">
        <v>3867</v>
      </c>
      <c r="B2955" t="s">
        <v>3868</v>
      </c>
      <c r="C2955" t="s">
        <v>3860</v>
      </c>
      <c r="D2955" t="s">
        <v>2704</v>
      </c>
      <c r="E2955" t="s">
        <v>3869</v>
      </c>
    </row>
    <row r="2956" spans="1:5" x14ac:dyDescent="0.3">
      <c r="A2956" t="s">
        <v>3891</v>
      </c>
      <c r="B2956" t="s">
        <v>3892</v>
      </c>
      <c r="C2956" t="s">
        <v>3860</v>
      </c>
      <c r="D2956" t="s">
        <v>2704</v>
      </c>
      <c r="E2956" t="s">
        <v>3893</v>
      </c>
    </row>
    <row r="2957" spans="1:5" x14ac:dyDescent="0.3">
      <c r="A2957" t="s">
        <v>3301</v>
      </c>
      <c r="B2957" t="s">
        <v>3302</v>
      </c>
      <c r="C2957" t="s">
        <v>2696</v>
      </c>
      <c r="D2957" t="s">
        <v>2696</v>
      </c>
      <c r="E2957" t="s">
        <v>3303</v>
      </c>
    </row>
    <row r="2958" spans="1:5" x14ac:dyDescent="0.3">
      <c r="A2958" t="s">
        <v>3324</v>
      </c>
      <c r="B2958" t="s">
        <v>3325</v>
      </c>
      <c r="C2958" t="s">
        <v>2696</v>
      </c>
      <c r="D2958" t="s">
        <v>2696</v>
      </c>
      <c r="E2958" t="s">
        <v>3326</v>
      </c>
    </row>
    <row r="2959" spans="1:5" x14ac:dyDescent="0.3">
      <c r="A2959" t="s">
        <v>2530</v>
      </c>
      <c r="B2959" t="s">
        <v>2531</v>
      </c>
      <c r="C2959" t="s">
        <v>1087</v>
      </c>
      <c r="D2959" t="s">
        <v>1088</v>
      </c>
      <c r="E2959" t="s">
        <v>2532</v>
      </c>
    </row>
    <row r="2960" spans="1:5" x14ac:dyDescent="0.3">
      <c r="A2960" t="s">
        <v>7430</v>
      </c>
      <c r="B2960" t="s">
        <v>7431</v>
      </c>
      <c r="C2960" t="s">
        <v>3860</v>
      </c>
      <c r="D2960" t="s">
        <v>2704</v>
      </c>
      <c r="E2960" t="s">
        <v>7432</v>
      </c>
    </row>
    <row r="2961" spans="1:5" x14ac:dyDescent="0.3">
      <c r="A2961" t="s">
        <v>3922</v>
      </c>
      <c r="B2961" t="s">
        <v>2729</v>
      </c>
      <c r="C2961" t="s">
        <v>2851</v>
      </c>
      <c r="D2961" t="s">
        <v>2852</v>
      </c>
      <c r="E2961" t="s">
        <v>3923</v>
      </c>
    </row>
    <row r="2962" spans="1:5" x14ac:dyDescent="0.3">
      <c r="A2962" t="s">
        <v>1345</v>
      </c>
      <c r="B2962" t="s">
        <v>1346</v>
      </c>
      <c r="C2962" t="s">
        <v>1115</v>
      </c>
      <c r="D2962" t="s">
        <v>1111</v>
      </c>
      <c r="E2962" t="s">
        <v>1347</v>
      </c>
    </row>
    <row r="2963" spans="1:5" x14ac:dyDescent="0.3">
      <c r="A2963" t="s">
        <v>6916</v>
      </c>
      <c r="B2963" t="s">
        <v>6917</v>
      </c>
      <c r="C2963" t="s">
        <v>4301</v>
      </c>
      <c r="D2963" t="s">
        <v>2841</v>
      </c>
      <c r="E2963" t="s">
        <v>6918</v>
      </c>
    </row>
    <row r="2964" spans="1:5" x14ac:dyDescent="0.3">
      <c r="A2964" t="s">
        <v>6939</v>
      </c>
      <c r="B2964" t="s">
        <v>6940</v>
      </c>
      <c r="C2964" t="s">
        <v>4301</v>
      </c>
      <c r="D2964" t="s">
        <v>2841</v>
      </c>
      <c r="E2964" t="s">
        <v>6941</v>
      </c>
    </row>
    <row r="2965" spans="1:5" x14ac:dyDescent="0.3">
      <c r="A2965" t="s">
        <v>3348</v>
      </c>
      <c r="B2965" t="s">
        <v>3349</v>
      </c>
      <c r="C2965" t="s">
        <v>2696</v>
      </c>
      <c r="D2965" t="s">
        <v>2696</v>
      </c>
      <c r="E2965" t="s">
        <v>3350</v>
      </c>
    </row>
    <row r="2966" spans="1:5" x14ac:dyDescent="0.3">
      <c r="A2966" t="s">
        <v>3372</v>
      </c>
      <c r="B2966" t="s">
        <v>3373</v>
      </c>
      <c r="C2966" t="s">
        <v>2696</v>
      </c>
      <c r="D2966" t="s">
        <v>2696</v>
      </c>
      <c r="E2966" t="s">
        <v>3374</v>
      </c>
    </row>
    <row r="2967" spans="1:5" x14ac:dyDescent="0.3">
      <c r="A2967" t="s">
        <v>1125</v>
      </c>
      <c r="B2967" t="s">
        <v>1126</v>
      </c>
      <c r="C2967" t="s">
        <v>1110</v>
      </c>
      <c r="D2967" t="s">
        <v>1111</v>
      </c>
      <c r="E2967" t="s">
        <v>1127</v>
      </c>
    </row>
    <row r="2968" spans="1:5" x14ac:dyDescent="0.3">
      <c r="A2968" t="s">
        <v>3924</v>
      </c>
      <c r="B2968" t="s">
        <v>3925</v>
      </c>
      <c r="C2968" t="s">
        <v>2851</v>
      </c>
      <c r="D2968" t="s">
        <v>2852</v>
      </c>
      <c r="E2968" t="s">
        <v>3926</v>
      </c>
    </row>
    <row r="2969" spans="1:5" x14ac:dyDescent="0.3">
      <c r="A2969" t="s">
        <v>7454</v>
      </c>
      <c r="B2969" t="s">
        <v>3393</v>
      </c>
      <c r="E2969" t="s">
        <v>7455</v>
      </c>
    </row>
    <row r="2970" spans="1:5" x14ac:dyDescent="0.3">
      <c r="A2970" t="s">
        <v>2545</v>
      </c>
      <c r="B2970" t="s">
        <v>2546</v>
      </c>
      <c r="C2970" t="s">
        <v>1110</v>
      </c>
      <c r="D2970" t="s">
        <v>1111</v>
      </c>
      <c r="E2970" t="s">
        <v>2547</v>
      </c>
    </row>
    <row r="2971" spans="1:5" x14ac:dyDescent="0.3">
      <c r="A2971" t="s">
        <v>1348</v>
      </c>
      <c r="B2971" t="s">
        <v>1349</v>
      </c>
      <c r="C2971" t="s">
        <v>1115</v>
      </c>
      <c r="D2971" t="s">
        <v>1111</v>
      </c>
      <c r="E2971" t="s">
        <v>1350</v>
      </c>
    </row>
    <row r="2972" spans="1:5" x14ac:dyDescent="0.3">
      <c r="A2972" t="s">
        <v>1351</v>
      </c>
      <c r="B2972" t="s">
        <v>1352</v>
      </c>
      <c r="C2972" t="s">
        <v>1115</v>
      </c>
      <c r="D2972" t="s">
        <v>1111</v>
      </c>
      <c r="E2972" t="s">
        <v>1353</v>
      </c>
    </row>
    <row r="2973" spans="1:5" x14ac:dyDescent="0.3">
      <c r="A2973" t="s">
        <v>3395</v>
      </c>
      <c r="B2973" t="s">
        <v>3396</v>
      </c>
      <c r="C2973" t="s">
        <v>2696</v>
      </c>
      <c r="D2973" t="s">
        <v>2696</v>
      </c>
      <c r="E2973" t="s">
        <v>3397</v>
      </c>
    </row>
    <row r="2974" spans="1:5" x14ac:dyDescent="0.3">
      <c r="A2974" t="s">
        <v>3419</v>
      </c>
      <c r="B2974" t="s">
        <v>3420</v>
      </c>
      <c r="C2974" t="s">
        <v>2696</v>
      </c>
      <c r="D2974" t="s">
        <v>2696</v>
      </c>
      <c r="E2974" t="s">
        <v>3421</v>
      </c>
    </row>
    <row r="2975" spans="1:5" x14ac:dyDescent="0.3">
      <c r="A2975" t="s">
        <v>3657</v>
      </c>
      <c r="B2975" t="s">
        <v>3658</v>
      </c>
      <c r="C2975" t="s">
        <v>2696</v>
      </c>
      <c r="D2975" t="s">
        <v>2696</v>
      </c>
      <c r="E2975" t="s">
        <v>3659</v>
      </c>
    </row>
    <row r="2976" spans="1:5" x14ac:dyDescent="0.3">
      <c r="A2976" t="s">
        <v>3681</v>
      </c>
      <c r="B2976" t="s">
        <v>3682</v>
      </c>
      <c r="C2976" t="s">
        <v>2696</v>
      </c>
      <c r="D2976" t="s">
        <v>2696</v>
      </c>
      <c r="E2976" t="s">
        <v>3683</v>
      </c>
    </row>
    <row r="2977" spans="1:5" x14ac:dyDescent="0.3">
      <c r="A2977" t="s">
        <v>7498</v>
      </c>
      <c r="B2977" t="s">
        <v>7499</v>
      </c>
      <c r="C2977" t="s">
        <v>4246</v>
      </c>
      <c r="D2977" t="s">
        <v>2709</v>
      </c>
      <c r="E2977" t="s">
        <v>7500</v>
      </c>
    </row>
    <row r="2978" spans="1:5" x14ac:dyDescent="0.3">
      <c r="A2978" t="s">
        <v>2710</v>
      </c>
      <c r="B2978" t="s">
        <v>2711</v>
      </c>
      <c r="C2978" t="s">
        <v>2708</v>
      </c>
      <c r="D2978" t="s">
        <v>2709</v>
      </c>
      <c r="E2978" t="s">
        <v>2712</v>
      </c>
    </row>
    <row r="2979" spans="1:5" x14ac:dyDescent="0.3">
      <c r="A2979" t="s">
        <v>3956</v>
      </c>
      <c r="B2979" t="s">
        <v>3957</v>
      </c>
      <c r="C2979" t="s">
        <v>2851</v>
      </c>
      <c r="D2979" t="s">
        <v>2852</v>
      </c>
      <c r="E2979" t="s">
        <v>3958</v>
      </c>
    </row>
    <row r="2980" spans="1:5" x14ac:dyDescent="0.3">
      <c r="A2980" t="s">
        <v>3980</v>
      </c>
      <c r="B2980" t="s">
        <v>3981</v>
      </c>
      <c r="C2980" t="s">
        <v>3983</v>
      </c>
      <c r="D2980" t="s">
        <v>3712</v>
      </c>
      <c r="E2980" t="s">
        <v>3982</v>
      </c>
    </row>
    <row r="2981" spans="1:5" x14ac:dyDescent="0.3">
      <c r="A2981" t="s">
        <v>6962</v>
      </c>
      <c r="B2981" t="s">
        <v>6963</v>
      </c>
      <c r="C2981" t="s">
        <v>3093</v>
      </c>
      <c r="D2981" t="s">
        <v>2852</v>
      </c>
      <c r="E2981" t="s">
        <v>6964</v>
      </c>
    </row>
    <row r="2982" spans="1:5" x14ac:dyDescent="0.3">
      <c r="A2982" t="s">
        <v>6985</v>
      </c>
      <c r="B2982" t="s">
        <v>6986</v>
      </c>
      <c r="C2982" t="s">
        <v>3093</v>
      </c>
      <c r="D2982" t="s">
        <v>2852</v>
      </c>
      <c r="E2982" t="s">
        <v>6987</v>
      </c>
    </row>
    <row r="2983" spans="1:5" x14ac:dyDescent="0.3">
      <c r="A2983" t="s">
        <v>7489</v>
      </c>
      <c r="B2983" t="s">
        <v>7490</v>
      </c>
      <c r="C2983" t="s">
        <v>4246</v>
      </c>
      <c r="D2983" t="s">
        <v>2709</v>
      </c>
      <c r="E2983" t="s">
        <v>7491</v>
      </c>
    </row>
    <row r="2984" spans="1:5" x14ac:dyDescent="0.3">
      <c r="A2984" t="s">
        <v>7511</v>
      </c>
      <c r="B2984" t="s">
        <v>4132</v>
      </c>
      <c r="C2984" t="s">
        <v>4246</v>
      </c>
      <c r="D2984" t="s">
        <v>2709</v>
      </c>
      <c r="E2984" t="s">
        <v>7512</v>
      </c>
    </row>
    <row r="2985" spans="1:5" x14ac:dyDescent="0.3">
      <c r="A2985" t="s">
        <v>2734</v>
      </c>
      <c r="B2985" t="s">
        <v>2735</v>
      </c>
      <c r="C2985" t="s">
        <v>2708</v>
      </c>
      <c r="D2985" t="s">
        <v>2709</v>
      </c>
      <c r="E2985" t="s">
        <v>2736</v>
      </c>
    </row>
    <row r="2986" spans="1:5" x14ac:dyDescent="0.3">
      <c r="A2986" t="s">
        <v>2757</v>
      </c>
      <c r="B2986" t="s">
        <v>2758</v>
      </c>
      <c r="C2986" t="s">
        <v>2696</v>
      </c>
      <c r="D2986" t="s">
        <v>2696</v>
      </c>
      <c r="E2986" t="s">
        <v>2759</v>
      </c>
    </row>
    <row r="2987" spans="1:5" x14ac:dyDescent="0.3">
      <c r="A2987" t="s">
        <v>1128</v>
      </c>
      <c r="B2987" t="s">
        <v>1129</v>
      </c>
      <c r="C2987" t="s">
        <v>1115</v>
      </c>
      <c r="D2987" t="s">
        <v>1111</v>
      </c>
      <c r="E2987" t="s">
        <v>1130</v>
      </c>
    </row>
    <row r="2988" spans="1:5" x14ac:dyDescent="0.3">
      <c r="A2988" t="s">
        <v>1131</v>
      </c>
      <c r="B2988" t="s">
        <v>1132</v>
      </c>
      <c r="C2988" t="s">
        <v>1115</v>
      </c>
      <c r="D2988" t="s">
        <v>1111</v>
      </c>
      <c r="E2988" t="s">
        <v>1133</v>
      </c>
    </row>
    <row r="2989" spans="1:5" x14ac:dyDescent="0.3">
      <c r="A2989" t="s">
        <v>4005</v>
      </c>
      <c r="B2989" t="s">
        <v>4006</v>
      </c>
      <c r="C2989" t="s">
        <v>3093</v>
      </c>
      <c r="D2989" t="s">
        <v>2852</v>
      </c>
      <c r="E2989" t="s">
        <v>4007</v>
      </c>
    </row>
    <row r="2990" spans="1:5" x14ac:dyDescent="0.3">
      <c r="A2990" t="s">
        <v>4028</v>
      </c>
      <c r="B2990" t="s">
        <v>4029</v>
      </c>
      <c r="C2990" t="s">
        <v>3093</v>
      </c>
      <c r="D2990" t="s">
        <v>2852</v>
      </c>
      <c r="E2990" t="s">
        <v>4030</v>
      </c>
    </row>
    <row r="2991" spans="1:5" x14ac:dyDescent="0.3">
      <c r="A2991" t="s">
        <v>1141</v>
      </c>
      <c r="B2991" t="s">
        <v>1142</v>
      </c>
      <c r="C2991" t="s">
        <v>1115</v>
      </c>
      <c r="D2991" t="s">
        <v>1111</v>
      </c>
      <c r="E2991" t="s">
        <v>1143</v>
      </c>
    </row>
    <row r="2992" spans="1:5" x14ac:dyDescent="0.3">
      <c r="A2992" t="s">
        <v>3959</v>
      </c>
      <c r="B2992" t="s">
        <v>3960</v>
      </c>
      <c r="C2992" t="s">
        <v>2851</v>
      </c>
      <c r="D2992" t="s">
        <v>2852</v>
      </c>
      <c r="E2992" t="s">
        <v>3961</v>
      </c>
    </row>
    <row r="2993" spans="1:5" x14ac:dyDescent="0.3">
      <c r="A2993" t="s">
        <v>2725</v>
      </c>
      <c r="B2993" t="s">
        <v>2726</v>
      </c>
      <c r="C2993" t="s">
        <v>2708</v>
      </c>
      <c r="D2993" t="s">
        <v>2709</v>
      </c>
      <c r="E2993" t="s">
        <v>2727</v>
      </c>
    </row>
    <row r="2994" spans="1:5" x14ac:dyDescent="0.3">
      <c r="A2994" t="s">
        <v>2749</v>
      </c>
      <c r="B2994" t="s">
        <v>2750</v>
      </c>
      <c r="C2994" t="s">
        <v>2696</v>
      </c>
      <c r="D2994" t="s">
        <v>2696</v>
      </c>
      <c r="E2994" t="s">
        <v>2751</v>
      </c>
    </row>
    <row r="2995" spans="1:5" x14ac:dyDescent="0.3">
      <c r="A2995" t="s">
        <v>4052</v>
      </c>
      <c r="B2995" t="s">
        <v>4053</v>
      </c>
      <c r="C2995" t="s">
        <v>3093</v>
      </c>
      <c r="D2995" t="s">
        <v>2852</v>
      </c>
      <c r="E2995" t="s">
        <v>4054</v>
      </c>
    </row>
    <row r="2996" spans="1:5" x14ac:dyDescent="0.3">
      <c r="A2996" t="s">
        <v>4075</v>
      </c>
      <c r="B2996" t="s">
        <v>4076</v>
      </c>
      <c r="C2996" t="s">
        <v>3946</v>
      </c>
      <c r="D2996" t="s">
        <v>2709</v>
      </c>
      <c r="E2996" t="s">
        <v>4077</v>
      </c>
    </row>
    <row r="2997" spans="1:5" x14ac:dyDescent="0.3">
      <c r="A2997" t="s">
        <v>2779</v>
      </c>
      <c r="B2997" t="s">
        <v>2780</v>
      </c>
      <c r="C2997" t="s">
        <v>2696</v>
      </c>
      <c r="D2997" t="s">
        <v>2696</v>
      </c>
      <c r="E2997" t="s">
        <v>2781</v>
      </c>
    </row>
    <row r="2998" spans="1:5" x14ac:dyDescent="0.3">
      <c r="A2998" t="s">
        <v>3443</v>
      </c>
      <c r="B2998" t="s">
        <v>3444</v>
      </c>
      <c r="C2998" t="s">
        <v>2696</v>
      </c>
      <c r="D2998" t="s">
        <v>2696</v>
      </c>
      <c r="E2998" t="s">
        <v>3445</v>
      </c>
    </row>
    <row r="2999" spans="1:5" x14ac:dyDescent="0.3">
      <c r="A2999" t="s">
        <v>3466</v>
      </c>
      <c r="B2999" t="s">
        <v>1090</v>
      </c>
      <c r="C2999" t="s">
        <v>2696</v>
      </c>
      <c r="D2999" t="s">
        <v>2696</v>
      </c>
      <c r="E2999" t="s">
        <v>3467</v>
      </c>
    </row>
    <row r="3000" spans="1:5" x14ac:dyDescent="0.3">
      <c r="A3000" t="s">
        <v>7009</v>
      </c>
      <c r="B3000" t="s">
        <v>7010</v>
      </c>
      <c r="C3000" t="s">
        <v>6747</v>
      </c>
      <c r="D3000" t="s">
        <v>133</v>
      </c>
      <c r="E3000" t="s">
        <v>7011</v>
      </c>
    </row>
    <row r="3001" spans="1:5" x14ac:dyDescent="0.3">
      <c r="A3001" t="s">
        <v>2306</v>
      </c>
      <c r="B3001" t="s">
        <v>2307</v>
      </c>
      <c r="C3001" t="s">
        <v>1501</v>
      </c>
      <c r="D3001" t="s">
        <v>1088</v>
      </c>
      <c r="E3001" t="s">
        <v>2308</v>
      </c>
    </row>
    <row r="3002" spans="1:5" x14ac:dyDescent="0.3">
      <c r="A3002" t="s">
        <v>1438</v>
      </c>
      <c r="B3002" t="s">
        <v>1439</v>
      </c>
      <c r="C3002" t="s">
        <v>1140</v>
      </c>
      <c r="D3002" t="s">
        <v>1088</v>
      </c>
      <c r="E3002" t="s">
        <v>1440</v>
      </c>
    </row>
    <row r="3003" spans="1:5" x14ac:dyDescent="0.3">
      <c r="A3003" t="s">
        <v>1477</v>
      </c>
      <c r="B3003" t="s">
        <v>1478</v>
      </c>
      <c r="C3003" t="s">
        <v>1140</v>
      </c>
      <c r="D3003" t="s">
        <v>1088</v>
      </c>
      <c r="E3003" t="s">
        <v>1479</v>
      </c>
    </row>
    <row r="3004" spans="1:5" x14ac:dyDescent="0.3">
      <c r="A3004" t="s">
        <v>2803</v>
      </c>
      <c r="B3004" t="s">
        <v>2804</v>
      </c>
      <c r="C3004" t="s">
        <v>2708</v>
      </c>
      <c r="D3004" t="s">
        <v>2709</v>
      </c>
      <c r="E3004" t="s">
        <v>2805</v>
      </c>
    </row>
    <row r="3005" spans="1:5" x14ac:dyDescent="0.3">
      <c r="A3005" t="s">
        <v>2828</v>
      </c>
      <c r="B3005" t="s">
        <v>2829</v>
      </c>
      <c r="C3005" t="s">
        <v>2821</v>
      </c>
      <c r="D3005" t="s">
        <v>133</v>
      </c>
      <c r="E3005" t="s">
        <v>2830</v>
      </c>
    </row>
    <row r="3006" spans="1:5" x14ac:dyDescent="0.3">
      <c r="A3006" t="s">
        <v>4527</v>
      </c>
      <c r="B3006" t="s">
        <v>4528</v>
      </c>
      <c r="C3006" t="s">
        <v>3850</v>
      </c>
      <c r="D3006" t="s">
        <v>3712</v>
      </c>
      <c r="E3006" t="s">
        <v>4529</v>
      </c>
    </row>
    <row r="3007" spans="1:5" x14ac:dyDescent="0.3">
      <c r="A3007" t="s">
        <v>4551</v>
      </c>
      <c r="B3007" t="s">
        <v>4552</v>
      </c>
      <c r="C3007" t="s">
        <v>2840</v>
      </c>
      <c r="D3007" t="s">
        <v>2841</v>
      </c>
      <c r="E3007" t="s">
        <v>4553</v>
      </c>
    </row>
    <row r="3008" spans="1:5" x14ac:dyDescent="0.3">
      <c r="A3008" t="s">
        <v>3488</v>
      </c>
      <c r="B3008" t="s">
        <v>3489</v>
      </c>
      <c r="C3008" t="s">
        <v>2696</v>
      </c>
      <c r="D3008" t="s">
        <v>2696</v>
      </c>
      <c r="E3008" t="s">
        <v>3490</v>
      </c>
    </row>
    <row r="3009" spans="1:5" x14ac:dyDescent="0.3">
      <c r="A3009" t="s">
        <v>3512</v>
      </c>
      <c r="B3009" t="s">
        <v>3513</v>
      </c>
      <c r="C3009" t="s">
        <v>2696</v>
      </c>
      <c r="D3009" t="s">
        <v>2696</v>
      </c>
      <c r="E3009" t="s">
        <v>3514</v>
      </c>
    </row>
    <row r="3010" spans="1:5" x14ac:dyDescent="0.3">
      <c r="A3010" t="s">
        <v>3984</v>
      </c>
      <c r="B3010" t="s">
        <v>3985</v>
      </c>
      <c r="C3010" t="s">
        <v>2851</v>
      </c>
      <c r="D3010" t="s">
        <v>2852</v>
      </c>
      <c r="E3010" t="s">
        <v>3986</v>
      </c>
    </row>
    <row r="3011" spans="1:5" x14ac:dyDescent="0.3">
      <c r="A3011" t="s">
        <v>1492</v>
      </c>
      <c r="B3011" t="s">
        <v>1493</v>
      </c>
      <c r="C3011" t="s">
        <v>1153</v>
      </c>
      <c r="D3011" t="s">
        <v>1088</v>
      </c>
      <c r="E3011" t="s">
        <v>1494</v>
      </c>
    </row>
    <row r="3012" spans="1:5" x14ac:dyDescent="0.3">
      <c r="A3012" t="s">
        <v>4101</v>
      </c>
      <c r="B3012" t="s">
        <v>4102</v>
      </c>
      <c r="C3012" t="s">
        <v>3758</v>
      </c>
      <c r="D3012" t="s">
        <v>3712</v>
      </c>
      <c r="E3012" t="s">
        <v>4103</v>
      </c>
    </row>
    <row r="3013" spans="1:5" x14ac:dyDescent="0.3">
      <c r="A3013" t="s">
        <v>1092</v>
      </c>
      <c r="B3013" t="s">
        <v>1093</v>
      </c>
      <c r="C3013" t="s">
        <v>1087</v>
      </c>
      <c r="D3013" t="s">
        <v>1088</v>
      </c>
      <c r="E3013" t="s">
        <v>1094</v>
      </c>
    </row>
    <row r="3014" spans="1:5" x14ac:dyDescent="0.3">
      <c r="A3014" t="s">
        <v>2859</v>
      </c>
      <c r="B3014" t="s">
        <v>2860</v>
      </c>
      <c r="C3014" t="s">
        <v>2696</v>
      </c>
      <c r="D3014" t="s">
        <v>2696</v>
      </c>
      <c r="E3014" t="s">
        <v>2861</v>
      </c>
    </row>
    <row r="3015" spans="1:5" x14ac:dyDescent="0.3">
      <c r="A3015" t="s">
        <v>4574</v>
      </c>
      <c r="B3015" t="s">
        <v>4575</v>
      </c>
      <c r="C3015" t="s">
        <v>2840</v>
      </c>
      <c r="D3015" t="s">
        <v>2841</v>
      </c>
      <c r="E3015" t="s">
        <v>4576</v>
      </c>
    </row>
    <row r="3016" spans="1:5" x14ac:dyDescent="0.3">
      <c r="A3016" t="s">
        <v>4599</v>
      </c>
      <c r="B3016" t="s">
        <v>4600</v>
      </c>
      <c r="C3016" t="s">
        <v>4595</v>
      </c>
      <c r="D3016" t="s">
        <v>133</v>
      </c>
      <c r="E3016" t="s">
        <v>4601</v>
      </c>
    </row>
    <row r="3017" spans="1:5" x14ac:dyDescent="0.3">
      <c r="A3017" t="s">
        <v>4008</v>
      </c>
      <c r="B3017" t="s">
        <v>4009</v>
      </c>
      <c r="C3017" t="s">
        <v>3093</v>
      </c>
      <c r="D3017" t="s">
        <v>2852</v>
      </c>
      <c r="E3017" t="s">
        <v>4010</v>
      </c>
    </row>
    <row r="3018" spans="1:5" x14ac:dyDescent="0.3">
      <c r="A3018" t="s">
        <v>4031</v>
      </c>
      <c r="B3018" t="s">
        <v>4032</v>
      </c>
      <c r="C3018" t="s">
        <v>3093</v>
      </c>
      <c r="D3018" t="s">
        <v>2852</v>
      </c>
      <c r="E3018" t="s">
        <v>4033</v>
      </c>
    </row>
    <row r="3019" spans="1:5" x14ac:dyDescent="0.3">
      <c r="A3019" t="s">
        <v>3705</v>
      </c>
      <c r="B3019" t="s">
        <v>3706</v>
      </c>
      <c r="C3019" t="s">
        <v>2696</v>
      </c>
      <c r="D3019" t="s">
        <v>2696</v>
      </c>
      <c r="E3019" t="s">
        <v>3707</v>
      </c>
    </row>
    <row r="3020" spans="1:5" x14ac:dyDescent="0.3">
      <c r="A3020" t="s">
        <v>3731</v>
      </c>
      <c r="B3020" t="s">
        <v>3732</v>
      </c>
      <c r="C3020" t="s">
        <v>3711</v>
      </c>
      <c r="D3020" t="s">
        <v>3712</v>
      </c>
      <c r="E3020" t="s">
        <v>3733</v>
      </c>
    </row>
    <row r="3021" spans="1:5" x14ac:dyDescent="0.3">
      <c r="A3021" t="s">
        <v>4125</v>
      </c>
      <c r="B3021" t="s">
        <v>4126</v>
      </c>
      <c r="C3021" t="s">
        <v>2696</v>
      </c>
      <c r="D3021" t="s">
        <v>2696</v>
      </c>
      <c r="E3021" t="s">
        <v>4127</v>
      </c>
    </row>
    <row r="3022" spans="1:5" x14ac:dyDescent="0.3">
      <c r="A3022" t="s">
        <v>4149</v>
      </c>
      <c r="B3022" t="s">
        <v>4150</v>
      </c>
      <c r="C3022" t="s">
        <v>3946</v>
      </c>
      <c r="D3022" t="s">
        <v>2709</v>
      </c>
      <c r="E3022" t="s">
        <v>4151</v>
      </c>
    </row>
    <row r="3023" spans="1:5" x14ac:dyDescent="0.3">
      <c r="A3023" t="s">
        <v>2882</v>
      </c>
      <c r="B3023" t="s">
        <v>2883</v>
      </c>
      <c r="C3023" t="s">
        <v>2696</v>
      </c>
      <c r="D3023" t="s">
        <v>2696</v>
      </c>
      <c r="E3023" t="s">
        <v>2884</v>
      </c>
    </row>
    <row r="3024" spans="1:5" x14ac:dyDescent="0.3">
      <c r="A3024" t="s">
        <v>2905</v>
      </c>
      <c r="B3024" t="s">
        <v>2906</v>
      </c>
      <c r="C3024" t="s">
        <v>2696</v>
      </c>
      <c r="D3024" t="s">
        <v>2696</v>
      </c>
      <c r="E3024" t="s">
        <v>2907</v>
      </c>
    </row>
    <row r="3025" spans="1:5" x14ac:dyDescent="0.3">
      <c r="A3025" t="s">
        <v>3755</v>
      </c>
      <c r="B3025" t="s">
        <v>3756</v>
      </c>
      <c r="C3025" t="s">
        <v>3758</v>
      </c>
      <c r="D3025" t="s">
        <v>3712</v>
      </c>
      <c r="E3025" t="s">
        <v>3757</v>
      </c>
    </row>
    <row r="3026" spans="1:5" x14ac:dyDescent="0.3">
      <c r="A3026" t="s">
        <v>3781</v>
      </c>
      <c r="B3026" t="s">
        <v>3782</v>
      </c>
      <c r="C3026" t="s">
        <v>3768</v>
      </c>
      <c r="D3026" t="s">
        <v>2852</v>
      </c>
      <c r="E3026" t="s">
        <v>3783</v>
      </c>
    </row>
    <row r="3027" spans="1:5" x14ac:dyDescent="0.3">
      <c r="A3027" t="s">
        <v>1498</v>
      </c>
      <c r="B3027" t="s">
        <v>1499</v>
      </c>
      <c r="C3027" t="s">
        <v>1501</v>
      </c>
      <c r="D3027" t="s">
        <v>1088</v>
      </c>
      <c r="E3027" t="s">
        <v>1500</v>
      </c>
    </row>
    <row r="3028" spans="1:5" x14ac:dyDescent="0.3">
      <c r="A3028" t="s">
        <v>1505</v>
      </c>
      <c r="B3028" t="s">
        <v>1506</v>
      </c>
      <c r="C3028" t="s">
        <v>1209</v>
      </c>
      <c r="D3028" t="s">
        <v>1088</v>
      </c>
      <c r="E3028" t="s">
        <v>1507</v>
      </c>
    </row>
    <row r="3029" spans="1:5" x14ac:dyDescent="0.3">
      <c r="A3029" t="s">
        <v>4055</v>
      </c>
      <c r="B3029" t="s">
        <v>4056</v>
      </c>
      <c r="C3029" t="s">
        <v>3093</v>
      </c>
      <c r="D3029" t="s">
        <v>2852</v>
      </c>
      <c r="E3029" t="s">
        <v>4057</v>
      </c>
    </row>
    <row r="3030" spans="1:5" x14ac:dyDescent="0.3">
      <c r="A3030" t="s">
        <v>4078</v>
      </c>
      <c r="B3030" t="s">
        <v>4079</v>
      </c>
      <c r="C3030" t="s">
        <v>3946</v>
      </c>
      <c r="D3030" t="s">
        <v>2709</v>
      </c>
      <c r="E3030" t="s">
        <v>4080</v>
      </c>
    </row>
    <row r="3031" spans="1:5" x14ac:dyDescent="0.3">
      <c r="A3031" t="s">
        <v>1544</v>
      </c>
      <c r="B3031" t="s">
        <v>1545</v>
      </c>
      <c r="C3031" t="s">
        <v>1110</v>
      </c>
      <c r="D3031" t="s">
        <v>1111</v>
      </c>
      <c r="E3031" t="s">
        <v>1546</v>
      </c>
    </row>
    <row r="3032" spans="1:5" x14ac:dyDescent="0.3">
      <c r="A3032" t="s">
        <v>4183</v>
      </c>
      <c r="B3032" t="s">
        <v>4184</v>
      </c>
      <c r="C3032" t="s">
        <v>3093</v>
      </c>
      <c r="D3032" t="s">
        <v>2852</v>
      </c>
      <c r="E3032" t="s">
        <v>4185</v>
      </c>
    </row>
    <row r="3033" spans="1:5" x14ac:dyDescent="0.3">
      <c r="A3033" t="s">
        <v>3805</v>
      </c>
      <c r="B3033" t="s">
        <v>3806</v>
      </c>
      <c r="C3033" t="s">
        <v>3768</v>
      </c>
      <c r="D3033" t="s">
        <v>2852</v>
      </c>
      <c r="E3033" t="s">
        <v>3807</v>
      </c>
    </row>
    <row r="3034" spans="1:5" x14ac:dyDescent="0.3">
      <c r="A3034" t="s">
        <v>3829</v>
      </c>
      <c r="B3034" t="s">
        <v>3830</v>
      </c>
      <c r="C3034" t="s">
        <v>3768</v>
      </c>
      <c r="D3034" t="s">
        <v>2852</v>
      </c>
      <c r="E3034" t="s">
        <v>3831</v>
      </c>
    </row>
    <row r="3035" spans="1:5" x14ac:dyDescent="0.3">
      <c r="A3035" t="s">
        <v>2929</v>
      </c>
      <c r="B3035" t="s">
        <v>2930</v>
      </c>
      <c r="C3035" t="s">
        <v>2696</v>
      </c>
      <c r="D3035" t="s">
        <v>2696</v>
      </c>
      <c r="E3035" t="s">
        <v>2931</v>
      </c>
    </row>
    <row r="3036" spans="1:5" x14ac:dyDescent="0.3">
      <c r="A3036" t="s">
        <v>2952</v>
      </c>
      <c r="B3036" t="s">
        <v>2953</v>
      </c>
      <c r="C3036" t="s">
        <v>2696</v>
      </c>
      <c r="D3036" t="s">
        <v>2696</v>
      </c>
      <c r="E3036" t="s">
        <v>2954</v>
      </c>
    </row>
    <row r="3037" spans="1:5" x14ac:dyDescent="0.3">
      <c r="A3037" t="s">
        <v>1559</v>
      </c>
      <c r="B3037" t="s">
        <v>1560</v>
      </c>
      <c r="C3037" t="s">
        <v>1196</v>
      </c>
      <c r="D3037" t="s">
        <v>1088</v>
      </c>
      <c r="E3037" t="s">
        <v>1561</v>
      </c>
    </row>
    <row r="3038" spans="1:5" x14ac:dyDescent="0.3">
      <c r="A3038" t="s">
        <v>1565</v>
      </c>
      <c r="B3038" t="s">
        <v>1566</v>
      </c>
      <c r="C3038" t="s">
        <v>1196</v>
      </c>
      <c r="D3038" t="s">
        <v>1088</v>
      </c>
      <c r="E3038" t="s">
        <v>1567</v>
      </c>
    </row>
    <row r="3039" spans="1:5" x14ac:dyDescent="0.3">
      <c r="A3039" t="s">
        <v>1157</v>
      </c>
      <c r="B3039" t="s">
        <v>1158</v>
      </c>
      <c r="C3039" t="s">
        <v>1140</v>
      </c>
      <c r="D3039" t="s">
        <v>1088</v>
      </c>
      <c r="E3039" t="s">
        <v>1159</v>
      </c>
    </row>
    <row r="3040" spans="1:5" x14ac:dyDescent="0.3">
      <c r="A3040" t="s">
        <v>1163</v>
      </c>
      <c r="B3040" t="s">
        <v>1164</v>
      </c>
      <c r="C3040" t="s">
        <v>1140</v>
      </c>
      <c r="D3040" t="s">
        <v>1088</v>
      </c>
      <c r="E3040" t="s">
        <v>1165</v>
      </c>
    </row>
    <row r="3041" spans="1:5" x14ac:dyDescent="0.3">
      <c r="A3041" t="s">
        <v>3535</v>
      </c>
      <c r="B3041" t="s">
        <v>3536</v>
      </c>
      <c r="C3041" t="s">
        <v>2696</v>
      </c>
      <c r="D3041" t="s">
        <v>2696</v>
      </c>
      <c r="E3041" t="s">
        <v>3537</v>
      </c>
    </row>
    <row r="3042" spans="1:5" x14ac:dyDescent="0.3">
      <c r="A3042" t="s">
        <v>3559</v>
      </c>
      <c r="B3042" t="s">
        <v>3560</v>
      </c>
      <c r="C3042" t="s">
        <v>2696</v>
      </c>
      <c r="D3042" t="s">
        <v>2696</v>
      </c>
      <c r="E3042" t="s">
        <v>3561</v>
      </c>
    </row>
    <row r="3043" spans="1:5" x14ac:dyDescent="0.3">
      <c r="A3043" t="s">
        <v>2976</v>
      </c>
      <c r="B3043" t="s">
        <v>2977</v>
      </c>
      <c r="C3043" t="s">
        <v>2696</v>
      </c>
      <c r="D3043" t="s">
        <v>2696</v>
      </c>
      <c r="E3043" t="s">
        <v>2978</v>
      </c>
    </row>
    <row r="3044" spans="1:5" x14ac:dyDescent="0.3">
      <c r="A3044" t="s">
        <v>3000</v>
      </c>
      <c r="B3044" t="s">
        <v>3001</v>
      </c>
      <c r="C3044" t="s">
        <v>2696</v>
      </c>
      <c r="D3044" t="s">
        <v>2696</v>
      </c>
      <c r="E3044" t="s">
        <v>3002</v>
      </c>
    </row>
    <row r="3045" spans="1:5" x14ac:dyDescent="0.3">
      <c r="A3045" t="s">
        <v>3854</v>
      </c>
      <c r="B3045" t="s">
        <v>3855</v>
      </c>
      <c r="C3045" t="s">
        <v>3850</v>
      </c>
      <c r="D3045" t="s">
        <v>3712</v>
      </c>
      <c r="E3045" t="s">
        <v>3856</v>
      </c>
    </row>
    <row r="3046" spans="1:5" x14ac:dyDescent="0.3">
      <c r="A3046" t="s">
        <v>3879</v>
      </c>
      <c r="B3046" t="s">
        <v>3880</v>
      </c>
      <c r="C3046" t="s">
        <v>3860</v>
      </c>
      <c r="D3046" t="s">
        <v>2704</v>
      </c>
      <c r="E3046" t="s">
        <v>3881</v>
      </c>
    </row>
    <row r="3047" spans="1:5" x14ac:dyDescent="0.3">
      <c r="A3047" t="s">
        <v>1568</v>
      </c>
      <c r="B3047" t="s">
        <v>1569</v>
      </c>
      <c r="C3047" t="s">
        <v>1196</v>
      </c>
      <c r="D3047" t="s">
        <v>1088</v>
      </c>
      <c r="E3047" t="s">
        <v>1570</v>
      </c>
    </row>
    <row r="3048" spans="1:5" x14ac:dyDescent="0.3">
      <c r="A3048" t="s">
        <v>1166</v>
      </c>
      <c r="B3048" t="s">
        <v>1167</v>
      </c>
      <c r="C3048" t="s">
        <v>1153</v>
      </c>
      <c r="D3048" t="s">
        <v>1088</v>
      </c>
      <c r="E3048" t="s">
        <v>1168</v>
      </c>
    </row>
    <row r="3049" spans="1:5" x14ac:dyDescent="0.3">
      <c r="A3049" t="s">
        <v>4104</v>
      </c>
      <c r="B3049" t="s">
        <v>4105</v>
      </c>
      <c r="C3049" t="s">
        <v>3758</v>
      </c>
      <c r="D3049" t="s">
        <v>3712</v>
      </c>
      <c r="E3049" t="s">
        <v>4106</v>
      </c>
    </row>
    <row r="3050" spans="1:5" x14ac:dyDescent="0.3">
      <c r="A3050" t="s">
        <v>2770</v>
      </c>
      <c r="B3050" t="s">
        <v>2771</v>
      </c>
      <c r="C3050" t="s">
        <v>2696</v>
      </c>
      <c r="D3050" t="s">
        <v>2696</v>
      </c>
      <c r="E3050" t="s">
        <v>2772</v>
      </c>
    </row>
    <row r="3051" spans="1:5" x14ac:dyDescent="0.3">
      <c r="A3051" t="s">
        <v>2794</v>
      </c>
      <c r="B3051" t="s">
        <v>2795</v>
      </c>
      <c r="C3051" t="s">
        <v>2708</v>
      </c>
      <c r="D3051" t="s">
        <v>2709</v>
      </c>
      <c r="E3051" t="s">
        <v>2796</v>
      </c>
    </row>
    <row r="3052" spans="1:5" x14ac:dyDescent="0.3">
      <c r="A3052" t="s">
        <v>3903</v>
      </c>
      <c r="B3052" t="s">
        <v>3904</v>
      </c>
      <c r="C3052" t="s">
        <v>3906</v>
      </c>
      <c r="D3052" t="s">
        <v>133</v>
      </c>
      <c r="E3052" t="s">
        <v>3905</v>
      </c>
    </row>
    <row r="3053" spans="1:5" x14ac:dyDescent="0.3">
      <c r="A3053" t="s">
        <v>4204</v>
      </c>
      <c r="B3053" t="s">
        <v>4205</v>
      </c>
      <c r="C3053" t="s">
        <v>4207</v>
      </c>
      <c r="D3053" t="s">
        <v>133</v>
      </c>
      <c r="E3053" t="s">
        <v>4206</v>
      </c>
    </row>
    <row r="3054" spans="1:5" x14ac:dyDescent="0.3">
      <c r="A3054" t="s">
        <v>1571</v>
      </c>
      <c r="B3054" t="s">
        <v>1572</v>
      </c>
      <c r="C3054" t="s">
        <v>1209</v>
      </c>
      <c r="D3054" t="s">
        <v>1088</v>
      </c>
      <c r="E3054" t="s">
        <v>1573</v>
      </c>
    </row>
    <row r="3055" spans="1:5" x14ac:dyDescent="0.3">
      <c r="A3055" t="s">
        <v>4128</v>
      </c>
      <c r="B3055" t="s">
        <v>4129</v>
      </c>
      <c r="C3055" t="s">
        <v>3758</v>
      </c>
      <c r="D3055" t="s">
        <v>3712</v>
      </c>
      <c r="E3055" t="s">
        <v>4130</v>
      </c>
    </row>
    <row r="3056" spans="1:5" x14ac:dyDescent="0.3">
      <c r="A3056" t="s">
        <v>4152</v>
      </c>
      <c r="B3056" t="s">
        <v>4153</v>
      </c>
      <c r="C3056" t="s">
        <v>3946</v>
      </c>
      <c r="D3056" t="s">
        <v>2709</v>
      </c>
      <c r="E3056" t="s">
        <v>4154</v>
      </c>
    </row>
    <row r="3057" spans="1:5" x14ac:dyDescent="0.3">
      <c r="A3057" t="s">
        <v>2818</v>
      </c>
      <c r="B3057" t="s">
        <v>2819</v>
      </c>
      <c r="C3057" t="s">
        <v>2821</v>
      </c>
      <c r="D3057" t="s">
        <v>133</v>
      </c>
      <c r="E3057" t="s">
        <v>2820</v>
      </c>
    </row>
    <row r="3058" spans="1:5" x14ac:dyDescent="0.3">
      <c r="A3058" t="s">
        <v>2845</v>
      </c>
      <c r="B3058" t="s">
        <v>2846</v>
      </c>
      <c r="C3058" t="s">
        <v>2840</v>
      </c>
      <c r="D3058" t="s">
        <v>2841</v>
      </c>
      <c r="E3058" t="s">
        <v>2847</v>
      </c>
    </row>
    <row r="3059" spans="1:5" x14ac:dyDescent="0.3">
      <c r="A3059" t="s">
        <v>7033</v>
      </c>
      <c r="B3059" t="s">
        <v>7034</v>
      </c>
      <c r="C3059" t="s">
        <v>3946</v>
      </c>
      <c r="D3059" t="s">
        <v>2709</v>
      </c>
      <c r="E3059" t="s">
        <v>7035</v>
      </c>
    </row>
    <row r="3060" spans="1:5" x14ac:dyDescent="0.3">
      <c r="A3060" t="s">
        <v>2312</v>
      </c>
      <c r="B3060" t="s">
        <v>2313</v>
      </c>
      <c r="C3060" t="s">
        <v>1140</v>
      </c>
      <c r="D3060" t="s">
        <v>1088</v>
      </c>
      <c r="E3060" t="s">
        <v>2314</v>
      </c>
    </row>
    <row r="3061" spans="1:5" x14ac:dyDescent="0.3">
      <c r="A3061" t="s">
        <v>1107</v>
      </c>
      <c r="B3061" t="s">
        <v>1108</v>
      </c>
      <c r="C3061" t="s">
        <v>1110</v>
      </c>
      <c r="D3061" t="s">
        <v>1111</v>
      </c>
      <c r="E3061" t="s">
        <v>1109</v>
      </c>
    </row>
    <row r="3062" spans="1:5" x14ac:dyDescent="0.3">
      <c r="A3062" t="s">
        <v>3937</v>
      </c>
      <c r="B3062" t="s">
        <v>3938</v>
      </c>
      <c r="C3062" t="s">
        <v>3936</v>
      </c>
      <c r="D3062" t="s">
        <v>3712</v>
      </c>
      <c r="E3062" t="s">
        <v>3939</v>
      </c>
    </row>
    <row r="3063" spans="1:5" x14ac:dyDescent="0.3">
      <c r="A3063" t="s">
        <v>3024</v>
      </c>
      <c r="B3063" t="s">
        <v>3025</v>
      </c>
      <c r="C3063" t="s">
        <v>2696</v>
      </c>
      <c r="D3063" t="s">
        <v>2696</v>
      </c>
      <c r="E3063" t="s">
        <v>3026</v>
      </c>
    </row>
    <row r="3064" spans="1:5" x14ac:dyDescent="0.3">
      <c r="A3064" t="s">
        <v>3048</v>
      </c>
      <c r="B3064" t="s">
        <v>3049</v>
      </c>
      <c r="C3064" t="s">
        <v>2696</v>
      </c>
      <c r="D3064" t="s">
        <v>2696</v>
      </c>
      <c r="E3064" t="s">
        <v>3050</v>
      </c>
    </row>
    <row r="3065" spans="1:5" x14ac:dyDescent="0.3">
      <c r="A3065" t="s">
        <v>1175</v>
      </c>
      <c r="B3065" t="s">
        <v>1176</v>
      </c>
      <c r="C3065" t="s">
        <v>1110</v>
      </c>
      <c r="D3065" t="s">
        <v>1111</v>
      </c>
      <c r="E3065" t="s">
        <v>1177</v>
      </c>
    </row>
    <row r="3066" spans="1:5" x14ac:dyDescent="0.3">
      <c r="A3066" t="s">
        <v>4186</v>
      </c>
      <c r="B3066" t="s">
        <v>4187</v>
      </c>
      <c r="C3066" t="s">
        <v>3093</v>
      </c>
      <c r="D3066" t="s">
        <v>2852</v>
      </c>
      <c r="E3066" t="s">
        <v>4188</v>
      </c>
    </row>
    <row r="3067" spans="1:5" x14ac:dyDescent="0.3">
      <c r="A3067" t="s">
        <v>2848</v>
      </c>
      <c r="B3067" t="s">
        <v>2849</v>
      </c>
      <c r="C3067" t="s">
        <v>2851</v>
      </c>
      <c r="D3067" t="s">
        <v>2852</v>
      </c>
      <c r="E3067" t="s">
        <v>2850</v>
      </c>
    </row>
    <row r="3068" spans="1:5" x14ac:dyDescent="0.3">
      <c r="A3068" t="s">
        <v>2874</v>
      </c>
      <c r="B3068" t="s">
        <v>2875</v>
      </c>
      <c r="C3068" t="s">
        <v>2696</v>
      </c>
      <c r="D3068" t="s">
        <v>2696</v>
      </c>
      <c r="E3068" t="s">
        <v>2876</v>
      </c>
    </row>
    <row r="3069" spans="1:5" x14ac:dyDescent="0.3">
      <c r="A3069" t="s">
        <v>1112</v>
      </c>
      <c r="B3069" t="s">
        <v>1113</v>
      </c>
      <c r="C3069" t="s">
        <v>1115</v>
      </c>
      <c r="D3069" t="s">
        <v>1111</v>
      </c>
      <c r="E3069" t="s">
        <v>1114</v>
      </c>
    </row>
    <row r="3070" spans="1:5" x14ac:dyDescent="0.3">
      <c r="A3070" t="s">
        <v>1116</v>
      </c>
      <c r="B3070" t="s">
        <v>1117</v>
      </c>
      <c r="C3070" t="s">
        <v>1115</v>
      </c>
      <c r="D3070" t="s">
        <v>1111</v>
      </c>
      <c r="E3070" t="s">
        <v>1118</v>
      </c>
    </row>
    <row r="3071" spans="1:5" x14ac:dyDescent="0.3">
      <c r="A3071" t="s">
        <v>4226</v>
      </c>
      <c r="B3071" t="s">
        <v>4227</v>
      </c>
      <c r="C3071" t="s">
        <v>4229</v>
      </c>
      <c r="D3071" t="s">
        <v>2841</v>
      </c>
      <c r="E3071" t="s">
        <v>4228</v>
      </c>
    </row>
    <row r="3072" spans="1:5" x14ac:dyDescent="0.3">
      <c r="A3072" t="s">
        <v>4250</v>
      </c>
      <c r="B3072" t="s">
        <v>4251</v>
      </c>
      <c r="C3072" t="s">
        <v>4246</v>
      </c>
      <c r="D3072" t="s">
        <v>2709</v>
      </c>
      <c r="E3072" t="s">
        <v>4252</v>
      </c>
    </row>
    <row r="3073" spans="1:5" x14ac:dyDescent="0.3">
      <c r="A3073" t="s">
        <v>3072</v>
      </c>
      <c r="B3073" t="s">
        <v>3073</v>
      </c>
      <c r="C3073" t="s">
        <v>2696</v>
      </c>
      <c r="D3073" t="s">
        <v>2696</v>
      </c>
      <c r="E3073" t="s">
        <v>2692</v>
      </c>
    </row>
    <row r="3074" spans="1:5" x14ac:dyDescent="0.3">
      <c r="A3074" t="s">
        <v>3094</v>
      </c>
      <c r="B3074" t="s">
        <v>3095</v>
      </c>
      <c r="C3074" t="s">
        <v>2696</v>
      </c>
      <c r="D3074" t="s">
        <v>2696</v>
      </c>
      <c r="E3074" t="s">
        <v>3096</v>
      </c>
    </row>
    <row r="3075" spans="1:5" x14ac:dyDescent="0.3">
      <c r="A3075" t="s">
        <v>1193</v>
      </c>
      <c r="B3075" t="s">
        <v>1194</v>
      </c>
      <c r="C3075" t="s">
        <v>1196</v>
      </c>
      <c r="D3075" t="s">
        <v>1088</v>
      </c>
      <c r="E3075" t="s">
        <v>1195</v>
      </c>
    </row>
    <row r="3076" spans="1:5" x14ac:dyDescent="0.3">
      <c r="A3076" t="s">
        <v>1200</v>
      </c>
      <c r="B3076" t="s">
        <v>1201</v>
      </c>
      <c r="C3076" t="s">
        <v>1196</v>
      </c>
      <c r="D3076" t="s">
        <v>1088</v>
      </c>
      <c r="E3076" t="s">
        <v>1202</v>
      </c>
    </row>
    <row r="3077" spans="1:5" x14ac:dyDescent="0.3">
      <c r="A3077" t="s">
        <v>2897</v>
      </c>
      <c r="B3077" t="s">
        <v>2898</v>
      </c>
      <c r="C3077" t="s">
        <v>2696</v>
      </c>
      <c r="D3077" t="s">
        <v>2696</v>
      </c>
      <c r="E3077" t="s">
        <v>2899</v>
      </c>
    </row>
    <row r="3078" spans="1:5" x14ac:dyDescent="0.3">
      <c r="A3078" t="s">
        <v>2920</v>
      </c>
      <c r="B3078" t="s">
        <v>2921</v>
      </c>
      <c r="C3078" t="s">
        <v>2696</v>
      </c>
      <c r="D3078" t="s">
        <v>2696</v>
      </c>
      <c r="E3078" t="s">
        <v>2922</v>
      </c>
    </row>
    <row r="3079" spans="1:5" x14ac:dyDescent="0.3">
      <c r="A3079" t="s">
        <v>3947</v>
      </c>
      <c r="B3079" t="s">
        <v>3948</v>
      </c>
      <c r="C3079" t="s">
        <v>2851</v>
      </c>
      <c r="D3079" t="s">
        <v>2852</v>
      </c>
      <c r="E3079" t="s">
        <v>3949</v>
      </c>
    </row>
    <row r="3080" spans="1:5" x14ac:dyDescent="0.3">
      <c r="A3080" t="s">
        <v>3971</v>
      </c>
      <c r="B3080" t="s">
        <v>3972</v>
      </c>
      <c r="C3080" t="s">
        <v>2851</v>
      </c>
      <c r="D3080" t="s">
        <v>2852</v>
      </c>
      <c r="E3080" t="s">
        <v>3973</v>
      </c>
    </row>
    <row r="3081" spans="1:5" x14ac:dyDescent="0.3">
      <c r="A3081" t="s">
        <v>4271</v>
      </c>
      <c r="B3081" t="s">
        <v>4272</v>
      </c>
      <c r="C3081" t="s">
        <v>4256</v>
      </c>
      <c r="D3081" t="s">
        <v>133</v>
      </c>
      <c r="E3081" t="s">
        <v>4273</v>
      </c>
    </row>
    <row r="3082" spans="1:5" x14ac:dyDescent="0.3">
      <c r="A3082" t="s">
        <v>4295</v>
      </c>
      <c r="B3082" t="s">
        <v>4296</v>
      </c>
      <c r="C3082" t="s">
        <v>2851</v>
      </c>
      <c r="D3082" t="s">
        <v>2852</v>
      </c>
      <c r="E3082" t="s">
        <v>4297</v>
      </c>
    </row>
    <row r="3083" spans="1:5" x14ac:dyDescent="0.3">
      <c r="A3083" t="s">
        <v>3117</v>
      </c>
      <c r="B3083" t="s">
        <v>3118</v>
      </c>
      <c r="C3083" t="s">
        <v>2696</v>
      </c>
      <c r="D3083" t="s">
        <v>2696</v>
      </c>
      <c r="E3083" t="s">
        <v>3119</v>
      </c>
    </row>
    <row r="3084" spans="1:5" x14ac:dyDescent="0.3">
      <c r="A3084" t="s">
        <v>3140</v>
      </c>
      <c r="B3084" t="s">
        <v>3141</v>
      </c>
      <c r="C3084" t="s">
        <v>2696</v>
      </c>
      <c r="D3084" t="s">
        <v>2696</v>
      </c>
      <c r="E3084" t="s">
        <v>3142</v>
      </c>
    </row>
    <row r="3085" spans="1:5" x14ac:dyDescent="0.3">
      <c r="A3085" t="s">
        <v>1203</v>
      </c>
      <c r="B3085" t="s">
        <v>1204</v>
      </c>
      <c r="C3085" t="s">
        <v>1196</v>
      </c>
      <c r="D3085" t="s">
        <v>1088</v>
      </c>
      <c r="E3085" t="s">
        <v>1205</v>
      </c>
    </row>
    <row r="3086" spans="1:5" x14ac:dyDescent="0.3">
      <c r="A3086" t="s">
        <v>4208</v>
      </c>
      <c r="B3086" t="s">
        <v>4209</v>
      </c>
      <c r="C3086" t="s">
        <v>4207</v>
      </c>
      <c r="D3086" t="s">
        <v>133</v>
      </c>
      <c r="E3086" t="s">
        <v>4210</v>
      </c>
    </row>
    <row r="3087" spans="1:5" x14ac:dyDescent="0.3">
      <c r="A3087" t="s">
        <v>2944</v>
      </c>
      <c r="B3087" t="s">
        <v>2945</v>
      </c>
      <c r="C3087" t="s">
        <v>2696</v>
      </c>
      <c r="D3087" t="s">
        <v>2696</v>
      </c>
      <c r="E3087" t="s">
        <v>2946</v>
      </c>
    </row>
    <row r="3088" spans="1:5" x14ac:dyDescent="0.3">
      <c r="A3088" t="s">
        <v>2967</v>
      </c>
      <c r="B3088" t="s">
        <v>2968</v>
      </c>
      <c r="C3088" t="s">
        <v>2696</v>
      </c>
      <c r="D3088" t="s">
        <v>2696</v>
      </c>
      <c r="E3088" t="s">
        <v>2969</v>
      </c>
    </row>
    <row r="3089" spans="1:5" x14ac:dyDescent="0.3">
      <c r="A3089" t="s">
        <v>3996</v>
      </c>
      <c r="B3089" t="s">
        <v>3997</v>
      </c>
      <c r="C3089" t="s">
        <v>2851</v>
      </c>
      <c r="D3089" t="s">
        <v>2852</v>
      </c>
      <c r="E3089" t="s">
        <v>3998</v>
      </c>
    </row>
    <row r="3090" spans="1:5" x14ac:dyDescent="0.3">
      <c r="A3090" t="s">
        <v>4020</v>
      </c>
      <c r="B3090" t="s">
        <v>4021</v>
      </c>
      <c r="C3090" t="s">
        <v>3093</v>
      </c>
      <c r="D3090" t="s">
        <v>2852</v>
      </c>
      <c r="E3090" t="s">
        <v>4022</v>
      </c>
    </row>
    <row r="3091" spans="1:5" x14ac:dyDescent="0.3">
      <c r="A3091" t="s">
        <v>4321</v>
      </c>
      <c r="B3091" t="s">
        <v>4322</v>
      </c>
      <c r="C3091" t="s">
        <v>2851</v>
      </c>
      <c r="D3091" t="s">
        <v>2852</v>
      </c>
      <c r="E3091" t="s">
        <v>4323</v>
      </c>
    </row>
    <row r="3092" spans="1:5" x14ac:dyDescent="0.3">
      <c r="A3092" t="s">
        <v>1583</v>
      </c>
      <c r="B3092" t="s">
        <v>1584</v>
      </c>
      <c r="C3092" t="s">
        <v>1110</v>
      </c>
      <c r="D3092" t="s">
        <v>1111</v>
      </c>
      <c r="E3092" t="s">
        <v>1585</v>
      </c>
    </row>
    <row r="3093" spans="1:5" x14ac:dyDescent="0.3">
      <c r="A3093" t="s">
        <v>3164</v>
      </c>
      <c r="B3093" t="s">
        <v>3165</v>
      </c>
      <c r="C3093" t="s">
        <v>2696</v>
      </c>
      <c r="D3093" t="s">
        <v>2696</v>
      </c>
      <c r="E3093" t="s">
        <v>3166</v>
      </c>
    </row>
    <row r="3094" spans="1:5" x14ac:dyDescent="0.3">
      <c r="A3094" t="s">
        <v>3188</v>
      </c>
      <c r="B3094" t="s">
        <v>3189</v>
      </c>
      <c r="C3094" t="s">
        <v>2696</v>
      </c>
      <c r="D3094" t="s">
        <v>2696</v>
      </c>
      <c r="E3094" t="s">
        <v>3190</v>
      </c>
    </row>
    <row r="3095" spans="1:5" x14ac:dyDescent="0.3">
      <c r="A3095" t="s">
        <v>1206</v>
      </c>
      <c r="B3095" t="s">
        <v>1207</v>
      </c>
      <c r="C3095" t="s">
        <v>1209</v>
      </c>
      <c r="D3095" t="s">
        <v>1088</v>
      </c>
      <c r="E3095" t="s">
        <v>1208</v>
      </c>
    </row>
    <row r="3096" spans="1:5" x14ac:dyDescent="0.3">
      <c r="A3096" t="s">
        <v>3583</v>
      </c>
      <c r="B3096" t="s">
        <v>3584</v>
      </c>
      <c r="C3096" t="s">
        <v>2696</v>
      </c>
      <c r="D3096" t="s">
        <v>2696</v>
      </c>
      <c r="E3096" t="s">
        <v>3585</v>
      </c>
    </row>
    <row r="3097" spans="1:5" x14ac:dyDescent="0.3">
      <c r="A3097" t="s">
        <v>3607</v>
      </c>
      <c r="B3097" t="s">
        <v>3608</v>
      </c>
      <c r="C3097" t="s">
        <v>2696</v>
      </c>
      <c r="D3097" t="s">
        <v>2696</v>
      </c>
      <c r="E3097" t="s">
        <v>3609</v>
      </c>
    </row>
    <row r="3098" spans="1:5" x14ac:dyDescent="0.3">
      <c r="A3098" t="s">
        <v>4043</v>
      </c>
      <c r="B3098" t="s">
        <v>4044</v>
      </c>
      <c r="C3098" t="s">
        <v>3093</v>
      </c>
      <c r="D3098" t="s">
        <v>2852</v>
      </c>
      <c r="E3098" t="s">
        <v>4045</v>
      </c>
    </row>
    <row r="3099" spans="1:5" x14ac:dyDescent="0.3">
      <c r="A3099" t="s">
        <v>4067</v>
      </c>
      <c r="B3099" t="s">
        <v>4068</v>
      </c>
      <c r="C3099" t="s">
        <v>3093</v>
      </c>
      <c r="D3099" t="s">
        <v>2852</v>
      </c>
      <c r="E3099" t="s">
        <v>4069</v>
      </c>
    </row>
    <row r="3100" spans="1:5" x14ac:dyDescent="0.3">
      <c r="A3100" t="s">
        <v>2991</v>
      </c>
      <c r="B3100" t="s">
        <v>2992</v>
      </c>
      <c r="C3100" t="s">
        <v>2696</v>
      </c>
      <c r="D3100" t="s">
        <v>2696</v>
      </c>
      <c r="E3100" t="s">
        <v>2993</v>
      </c>
    </row>
    <row r="3101" spans="1:5" x14ac:dyDescent="0.3">
      <c r="A3101" t="s">
        <v>3015</v>
      </c>
      <c r="B3101" t="s">
        <v>3016</v>
      </c>
      <c r="C3101" t="s">
        <v>2696</v>
      </c>
      <c r="D3101" t="s">
        <v>2696</v>
      </c>
      <c r="E3101" t="s">
        <v>3017</v>
      </c>
    </row>
    <row r="3102" spans="1:5" x14ac:dyDescent="0.3">
      <c r="A3102" t="s">
        <v>3212</v>
      </c>
      <c r="B3102" t="s">
        <v>3213</v>
      </c>
      <c r="C3102" t="s">
        <v>2696</v>
      </c>
      <c r="D3102" t="s">
        <v>2696</v>
      </c>
      <c r="E3102" t="s">
        <v>3214</v>
      </c>
    </row>
    <row r="3103" spans="1:5" x14ac:dyDescent="0.3">
      <c r="A3103" t="s">
        <v>3235</v>
      </c>
      <c r="B3103" t="s">
        <v>3236</v>
      </c>
      <c r="C3103" t="s">
        <v>2696</v>
      </c>
      <c r="D3103" t="s">
        <v>2696</v>
      </c>
      <c r="E3103" t="s">
        <v>3237</v>
      </c>
    </row>
    <row r="3104" spans="1:5" x14ac:dyDescent="0.3">
      <c r="A3104" t="s">
        <v>1586</v>
      </c>
      <c r="B3104" t="s">
        <v>1587</v>
      </c>
      <c r="C3104" t="s">
        <v>1110</v>
      </c>
      <c r="D3104" t="s">
        <v>1111</v>
      </c>
      <c r="E3104" t="s">
        <v>1588</v>
      </c>
    </row>
    <row r="3105" spans="1:5" x14ac:dyDescent="0.3">
      <c r="A3105" t="s">
        <v>4348</v>
      </c>
      <c r="B3105" t="s">
        <v>4349</v>
      </c>
      <c r="C3105" t="s">
        <v>3093</v>
      </c>
      <c r="D3105" t="s">
        <v>2852</v>
      </c>
      <c r="E3105" t="s">
        <v>4350</v>
      </c>
    </row>
    <row r="3106" spans="1:5" x14ac:dyDescent="0.3">
      <c r="A3106" t="s">
        <v>4230</v>
      </c>
      <c r="B3106" t="s">
        <v>4231</v>
      </c>
      <c r="C3106" t="s">
        <v>4229</v>
      </c>
      <c r="D3106" t="s">
        <v>2841</v>
      </c>
      <c r="E3106" t="s">
        <v>4232</v>
      </c>
    </row>
    <row r="3107" spans="1:5" x14ac:dyDescent="0.3">
      <c r="A3107" t="s">
        <v>1219</v>
      </c>
      <c r="B3107" t="s">
        <v>1220</v>
      </c>
      <c r="C3107" t="s">
        <v>1115</v>
      </c>
      <c r="D3107" t="s">
        <v>1111</v>
      </c>
      <c r="E3107" t="s">
        <v>1221</v>
      </c>
    </row>
    <row r="3108" spans="1:5" x14ac:dyDescent="0.3">
      <c r="A3108" t="s">
        <v>1137</v>
      </c>
      <c r="B3108" t="s">
        <v>1138</v>
      </c>
      <c r="C3108" t="s">
        <v>1140</v>
      </c>
      <c r="D3108" t="s">
        <v>1088</v>
      </c>
      <c r="E3108" t="s">
        <v>1139</v>
      </c>
    </row>
    <row r="3109" spans="1:5" x14ac:dyDescent="0.3">
      <c r="A3109" t="s">
        <v>1147</v>
      </c>
      <c r="B3109" t="s">
        <v>1148</v>
      </c>
      <c r="C3109" t="s">
        <v>1140</v>
      </c>
      <c r="D3109" t="s">
        <v>1088</v>
      </c>
      <c r="E3109" t="s">
        <v>1149</v>
      </c>
    </row>
    <row r="3110" spans="1:5" x14ac:dyDescent="0.3">
      <c r="A3110" t="s">
        <v>4372</v>
      </c>
      <c r="B3110" t="s">
        <v>4373</v>
      </c>
      <c r="C3110" t="s">
        <v>3983</v>
      </c>
      <c r="D3110" t="s">
        <v>3712</v>
      </c>
      <c r="E3110" t="s">
        <v>4374</v>
      </c>
    </row>
    <row r="3111" spans="1:5" x14ac:dyDescent="0.3">
      <c r="A3111" t="s">
        <v>4396</v>
      </c>
      <c r="B3111" t="s">
        <v>4397</v>
      </c>
      <c r="C3111" t="s">
        <v>2696</v>
      </c>
      <c r="D3111" t="s">
        <v>2696</v>
      </c>
      <c r="E3111" t="s">
        <v>4398</v>
      </c>
    </row>
    <row r="3112" spans="1:5" x14ac:dyDescent="0.3">
      <c r="A3112" t="s">
        <v>3631</v>
      </c>
      <c r="B3112" t="s">
        <v>3632</v>
      </c>
      <c r="C3112" t="s">
        <v>2696</v>
      </c>
      <c r="D3112" t="s">
        <v>2696</v>
      </c>
      <c r="E3112" t="s">
        <v>3633</v>
      </c>
    </row>
    <row r="3113" spans="1:5" x14ac:dyDescent="0.3">
      <c r="A3113" t="s">
        <v>3654</v>
      </c>
      <c r="B3113" t="s">
        <v>3655</v>
      </c>
      <c r="C3113" t="s">
        <v>2696</v>
      </c>
      <c r="D3113" t="s">
        <v>2696</v>
      </c>
      <c r="E3113" t="s">
        <v>3656</v>
      </c>
    </row>
    <row r="3114" spans="1:5" x14ac:dyDescent="0.3">
      <c r="A3114" t="s">
        <v>4274</v>
      </c>
      <c r="B3114" t="s">
        <v>4275</v>
      </c>
      <c r="C3114" t="s">
        <v>2851</v>
      </c>
      <c r="D3114" t="s">
        <v>2852</v>
      </c>
      <c r="E3114" t="s">
        <v>4276</v>
      </c>
    </row>
    <row r="3115" spans="1:5" x14ac:dyDescent="0.3">
      <c r="A3115" t="s">
        <v>4298</v>
      </c>
      <c r="B3115" t="s">
        <v>4299</v>
      </c>
      <c r="C3115" t="s">
        <v>4301</v>
      </c>
      <c r="D3115" t="s">
        <v>2841</v>
      </c>
      <c r="E3115" t="s">
        <v>4300</v>
      </c>
    </row>
    <row r="3116" spans="1:5" x14ac:dyDescent="0.3">
      <c r="A3116" t="s">
        <v>1150</v>
      </c>
      <c r="B3116" t="s">
        <v>1151</v>
      </c>
      <c r="C3116" t="s">
        <v>1153</v>
      </c>
      <c r="D3116" t="s">
        <v>1088</v>
      </c>
      <c r="E3116" t="s">
        <v>1152</v>
      </c>
    </row>
    <row r="3117" spans="1:5" x14ac:dyDescent="0.3">
      <c r="A3117" t="s">
        <v>4093</v>
      </c>
      <c r="B3117" t="s">
        <v>4094</v>
      </c>
      <c r="C3117" t="s">
        <v>3758</v>
      </c>
      <c r="D3117" t="s">
        <v>3712</v>
      </c>
    </row>
    <row r="3118" spans="1:5" x14ac:dyDescent="0.3">
      <c r="A3118" t="s">
        <v>4420</v>
      </c>
      <c r="B3118" t="s">
        <v>4421</v>
      </c>
      <c r="C3118" t="s">
        <v>2696</v>
      </c>
      <c r="D3118" t="s">
        <v>2696</v>
      </c>
      <c r="E3118" t="s">
        <v>4422</v>
      </c>
    </row>
    <row r="3119" spans="1:5" x14ac:dyDescent="0.3">
      <c r="A3119" t="s">
        <v>4443</v>
      </c>
      <c r="B3119" t="s">
        <v>4444</v>
      </c>
      <c r="C3119" t="s">
        <v>3983</v>
      </c>
      <c r="D3119" t="s">
        <v>3712</v>
      </c>
      <c r="E3119" t="s">
        <v>4445</v>
      </c>
    </row>
    <row r="3120" spans="1:5" x14ac:dyDescent="0.3">
      <c r="A3120" t="s">
        <v>4644</v>
      </c>
      <c r="B3120" t="s">
        <v>4645</v>
      </c>
      <c r="C3120" t="s">
        <v>4625</v>
      </c>
      <c r="D3120" t="s">
        <v>133</v>
      </c>
      <c r="E3120" t="s">
        <v>4646</v>
      </c>
    </row>
    <row r="3121" spans="1:5" x14ac:dyDescent="0.3">
      <c r="A3121" t="s">
        <v>4667</v>
      </c>
      <c r="B3121" t="s">
        <v>4668</v>
      </c>
      <c r="C3121" t="s">
        <v>4649</v>
      </c>
      <c r="D3121" t="s">
        <v>3712</v>
      </c>
      <c r="E3121" t="s">
        <v>4669</v>
      </c>
    </row>
    <row r="3122" spans="1:5" x14ac:dyDescent="0.3">
      <c r="A3122" t="s">
        <v>3678</v>
      </c>
      <c r="B3122" t="s">
        <v>3679</v>
      </c>
      <c r="C3122" t="s">
        <v>2696</v>
      </c>
      <c r="D3122" t="s">
        <v>2696</v>
      </c>
      <c r="E3122" t="s">
        <v>3680</v>
      </c>
    </row>
    <row r="3123" spans="1:5" x14ac:dyDescent="0.3">
      <c r="A3123" t="s">
        <v>3702</v>
      </c>
      <c r="B3123" t="s">
        <v>3703</v>
      </c>
      <c r="C3123" t="s">
        <v>2696</v>
      </c>
      <c r="D3123" t="s">
        <v>2696</v>
      </c>
      <c r="E3123" t="s">
        <v>3704</v>
      </c>
    </row>
    <row r="3124" spans="1:5" x14ac:dyDescent="0.3">
      <c r="A3124" t="s">
        <v>4324</v>
      </c>
      <c r="B3124" t="s">
        <v>4325</v>
      </c>
      <c r="C3124" t="s">
        <v>2851</v>
      </c>
      <c r="D3124" t="s">
        <v>2852</v>
      </c>
      <c r="E3124" t="s">
        <v>4326</v>
      </c>
    </row>
    <row r="3125" spans="1:5" x14ac:dyDescent="0.3">
      <c r="A3125" t="s">
        <v>1231</v>
      </c>
      <c r="B3125" t="s">
        <v>1232</v>
      </c>
      <c r="C3125" t="s">
        <v>1110</v>
      </c>
      <c r="D3125" t="s">
        <v>1111</v>
      </c>
      <c r="E3125" t="s">
        <v>1233</v>
      </c>
    </row>
    <row r="3126" spans="1:5" x14ac:dyDescent="0.3">
      <c r="A3126" t="s">
        <v>4116</v>
      </c>
      <c r="B3126" t="s">
        <v>4117</v>
      </c>
      <c r="C3126" t="s">
        <v>3758</v>
      </c>
      <c r="D3126" t="s">
        <v>3712</v>
      </c>
      <c r="E3126" t="s">
        <v>4118</v>
      </c>
    </row>
    <row r="3127" spans="1:5" x14ac:dyDescent="0.3">
      <c r="A3127" t="s">
        <v>4140</v>
      </c>
      <c r="B3127" t="s">
        <v>4141</v>
      </c>
      <c r="C3127" t="s">
        <v>3946</v>
      </c>
      <c r="D3127" t="s">
        <v>2709</v>
      </c>
      <c r="E3127" t="s">
        <v>4142</v>
      </c>
    </row>
    <row r="3128" spans="1:5" x14ac:dyDescent="0.3">
      <c r="A3128" t="s">
        <v>4466</v>
      </c>
      <c r="B3128" t="s">
        <v>4467</v>
      </c>
      <c r="C3128" t="s">
        <v>4469</v>
      </c>
      <c r="D3128" t="s">
        <v>2709</v>
      </c>
      <c r="E3128" t="s">
        <v>4468</v>
      </c>
    </row>
    <row r="3129" spans="1:5" x14ac:dyDescent="0.3">
      <c r="A3129" t="s">
        <v>1603</v>
      </c>
      <c r="B3129" t="s">
        <v>1604</v>
      </c>
      <c r="C3129" t="s">
        <v>1110</v>
      </c>
      <c r="D3129" t="s">
        <v>1111</v>
      </c>
      <c r="E3129" t="s">
        <v>1605</v>
      </c>
    </row>
    <row r="3130" spans="1:5" x14ac:dyDescent="0.3">
      <c r="A3130" t="s">
        <v>3039</v>
      </c>
      <c r="B3130" t="s">
        <v>3040</v>
      </c>
      <c r="C3130" t="s">
        <v>2696</v>
      </c>
      <c r="D3130" t="s">
        <v>2696</v>
      </c>
      <c r="E3130" t="s">
        <v>3041</v>
      </c>
    </row>
    <row r="3131" spans="1:5" x14ac:dyDescent="0.3">
      <c r="A3131" t="s">
        <v>3063</v>
      </c>
      <c r="B3131" t="s">
        <v>3064</v>
      </c>
      <c r="C3131" t="s">
        <v>2696</v>
      </c>
      <c r="D3131" t="s">
        <v>2696</v>
      </c>
      <c r="E3131" t="s">
        <v>3065</v>
      </c>
    </row>
    <row r="3132" spans="1:5" x14ac:dyDescent="0.3">
      <c r="A3132" t="s">
        <v>3728</v>
      </c>
      <c r="B3132" t="s">
        <v>3729</v>
      </c>
      <c r="C3132" t="s">
        <v>3711</v>
      </c>
      <c r="D3132" t="s">
        <v>3712</v>
      </c>
      <c r="E3132" t="s">
        <v>3730</v>
      </c>
    </row>
    <row r="3133" spans="1:5" x14ac:dyDescent="0.3">
      <c r="A3133" t="s">
        <v>1234</v>
      </c>
      <c r="B3133" t="s">
        <v>1235</v>
      </c>
      <c r="C3133" t="s">
        <v>1110</v>
      </c>
      <c r="D3133" t="s">
        <v>1111</v>
      </c>
      <c r="E3133" t="s">
        <v>1236</v>
      </c>
    </row>
    <row r="3134" spans="1:5" x14ac:dyDescent="0.3">
      <c r="A3134" t="s">
        <v>4351</v>
      </c>
      <c r="B3134" t="s">
        <v>4352</v>
      </c>
      <c r="C3134" t="s">
        <v>3093</v>
      </c>
      <c r="D3134" t="s">
        <v>2852</v>
      </c>
      <c r="E3134" t="s">
        <v>4353</v>
      </c>
    </row>
    <row r="3135" spans="1:5" x14ac:dyDescent="0.3">
      <c r="A3135" t="s">
        <v>4164</v>
      </c>
      <c r="B3135" t="s">
        <v>4165</v>
      </c>
      <c r="C3135" t="s">
        <v>4167</v>
      </c>
      <c r="D3135" t="s">
        <v>2852</v>
      </c>
      <c r="E3135" t="s">
        <v>4166</v>
      </c>
    </row>
    <row r="3136" spans="1:5" x14ac:dyDescent="0.3">
      <c r="A3136" t="s">
        <v>4497</v>
      </c>
      <c r="B3136" t="s">
        <v>4498</v>
      </c>
      <c r="C3136" t="s">
        <v>3946</v>
      </c>
      <c r="D3136" t="s">
        <v>2709</v>
      </c>
      <c r="E3136" t="s">
        <v>4499</v>
      </c>
    </row>
    <row r="3137" spans="1:5" x14ac:dyDescent="0.3">
      <c r="A3137" t="s">
        <v>4521</v>
      </c>
      <c r="B3137" t="s">
        <v>4522</v>
      </c>
      <c r="C3137" t="s">
        <v>3850</v>
      </c>
      <c r="D3137" t="s">
        <v>3712</v>
      </c>
      <c r="E3137" t="s">
        <v>4523</v>
      </c>
    </row>
    <row r="3138" spans="1:5" x14ac:dyDescent="0.3">
      <c r="A3138" t="s">
        <v>3084</v>
      </c>
      <c r="B3138" t="s">
        <v>3085</v>
      </c>
      <c r="C3138" t="s">
        <v>2696</v>
      </c>
      <c r="D3138" t="s">
        <v>2696</v>
      </c>
      <c r="E3138" t="s">
        <v>3086</v>
      </c>
    </row>
    <row r="3139" spans="1:5" x14ac:dyDescent="0.3">
      <c r="A3139" t="s">
        <v>3108</v>
      </c>
      <c r="B3139" t="s">
        <v>3109</v>
      </c>
      <c r="C3139" t="s">
        <v>2696</v>
      </c>
      <c r="D3139" t="s">
        <v>2696</v>
      </c>
      <c r="E3139" t="s">
        <v>3110</v>
      </c>
    </row>
    <row r="3140" spans="1:5" x14ac:dyDescent="0.3">
      <c r="A3140" t="s">
        <v>4375</v>
      </c>
      <c r="B3140" t="s">
        <v>4376</v>
      </c>
      <c r="C3140" t="s">
        <v>3983</v>
      </c>
      <c r="D3140" t="s">
        <v>3712</v>
      </c>
      <c r="E3140" t="s">
        <v>4377</v>
      </c>
    </row>
    <row r="3141" spans="1:5" x14ac:dyDescent="0.3">
      <c r="A3141" t="s">
        <v>4399</v>
      </c>
      <c r="B3141" t="s">
        <v>4400</v>
      </c>
      <c r="C3141" t="s">
        <v>2696</v>
      </c>
      <c r="D3141" t="s">
        <v>2696</v>
      </c>
      <c r="E3141" t="s">
        <v>4401</v>
      </c>
    </row>
    <row r="3142" spans="1:5" x14ac:dyDescent="0.3">
      <c r="A3142" t="s">
        <v>3752</v>
      </c>
      <c r="B3142" t="s">
        <v>3753</v>
      </c>
      <c r="C3142" t="s">
        <v>3711</v>
      </c>
      <c r="D3142" t="s">
        <v>3712</v>
      </c>
      <c r="E3142" t="s">
        <v>3754</v>
      </c>
    </row>
    <row r="3143" spans="1:5" x14ac:dyDescent="0.3">
      <c r="A3143" t="s">
        <v>3778</v>
      </c>
      <c r="B3143" t="s">
        <v>3779</v>
      </c>
      <c r="C3143" t="s">
        <v>3768</v>
      </c>
      <c r="D3143" t="s">
        <v>2852</v>
      </c>
      <c r="E3143" t="s">
        <v>3780</v>
      </c>
    </row>
    <row r="3144" spans="1:5" x14ac:dyDescent="0.3">
      <c r="A3144" t="s">
        <v>4545</v>
      </c>
      <c r="B3144" t="s">
        <v>4546</v>
      </c>
      <c r="C3144" t="s">
        <v>2840</v>
      </c>
      <c r="D3144" t="s">
        <v>2841</v>
      </c>
      <c r="E3144" t="s">
        <v>4547</v>
      </c>
    </row>
    <row r="3145" spans="1:5" x14ac:dyDescent="0.3">
      <c r="A3145" t="s">
        <v>4568</v>
      </c>
      <c r="B3145" t="s">
        <v>4569</v>
      </c>
      <c r="C3145" t="s">
        <v>2840</v>
      </c>
      <c r="D3145" t="s">
        <v>2841</v>
      </c>
      <c r="E3145" t="s">
        <v>4570</v>
      </c>
    </row>
    <row r="3146" spans="1:5" x14ac:dyDescent="0.3">
      <c r="A3146" t="s">
        <v>4174</v>
      </c>
      <c r="B3146" t="s">
        <v>4175</v>
      </c>
      <c r="C3146" t="s">
        <v>3093</v>
      </c>
      <c r="D3146" t="s">
        <v>2852</v>
      </c>
      <c r="E3146" t="s">
        <v>4176</v>
      </c>
    </row>
    <row r="3147" spans="1:5" x14ac:dyDescent="0.3">
      <c r="A3147" t="s">
        <v>4198</v>
      </c>
      <c r="B3147" t="s">
        <v>4199</v>
      </c>
      <c r="C3147" t="s">
        <v>3093</v>
      </c>
      <c r="D3147" t="s">
        <v>2852</v>
      </c>
      <c r="E3147" t="s">
        <v>4200</v>
      </c>
    </row>
    <row r="3148" spans="1:5" x14ac:dyDescent="0.3">
      <c r="A3148" t="s">
        <v>3259</v>
      </c>
      <c r="B3148" t="s">
        <v>3260</v>
      </c>
      <c r="C3148" t="s">
        <v>2696</v>
      </c>
      <c r="D3148" t="s">
        <v>2696</v>
      </c>
      <c r="E3148" t="s">
        <v>3261</v>
      </c>
    </row>
    <row r="3149" spans="1:5" x14ac:dyDescent="0.3">
      <c r="A3149" t="s">
        <v>3283</v>
      </c>
      <c r="B3149" t="s">
        <v>3284</v>
      </c>
      <c r="C3149" t="s">
        <v>2696</v>
      </c>
      <c r="D3149" t="s">
        <v>2696</v>
      </c>
      <c r="E3149" t="s">
        <v>3285</v>
      </c>
    </row>
    <row r="3150" spans="1:5" x14ac:dyDescent="0.3">
      <c r="A3150" t="s">
        <v>4423</v>
      </c>
      <c r="B3150" t="s">
        <v>4424</v>
      </c>
      <c r="C3150" t="s">
        <v>2696</v>
      </c>
      <c r="D3150" t="s">
        <v>2696</v>
      </c>
      <c r="E3150" t="s">
        <v>4425</v>
      </c>
    </row>
    <row r="3151" spans="1:5" x14ac:dyDescent="0.3">
      <c r="A3151" t="s">
        <v>4446</v>
      </c>
      <c r="B3151" t="s">
        <v>4447</v>
      </c>
      <c r="C3151" t="s">
        <v>3983</v>
      </c>
      <c r="D3151" t="s">
        <v>3712</v>
      </c>
      <c r="E3151" t="s">
        <v>4448</v>
      </c>
    </row>
    <row r="3152" spans="1:5" x14ac:dyDescent="0.3">
      <c r="A3152" t="s">
        <v>1210</v>
      </c>
      <c r="B3152" t="s">
        <v>1211</v>
      </c>
      <c r="C3152" t="s">
        <v>1196</v>
      </c>
      <c r="D3152" t="s">
        <v>1088</v>
      </c>
      <c r="E3152" t="s">
        <v>1212</v>
      </c>
    </row>
    <row r="3153" spans="1:5" x14ac:dyDescent="0.3">
      <c r="A3153" t="s">
        <v>4201</v>
      </c>
      <c r="B3153" t="s">
        <v>4202</v>
      </c>
      <c r="C3153" t="s">
        <v>2840</v>
      </c>
      <c r="D3153" t="s">
        <v>2841</v>
      </c>
      <c r="E3153" t="s">
        <v>4203</v>
      </c>
    </row>
    <row r="3154" spans="1:5" x14ac:dyDescent="0.3">
      <c r="A3154" t="s">
        <v>1514</v>
      </c>
      <c r="B3154" t="s">
        <v>1515</v>
      </c>
      <c r="C3154" t="s">
        <v>1110</v>
      </c>
      <c r="D3154" t="s">
        <v>1111</v>
      </c>
      <c r="E3154" t="s">
        <v>1516</v>
      </c>
    </row>
    <row r="3155" spans="1:5" x14ac:dyDescent="0.3">
      <c r="A3155" t="s">
        <v>4694</v>
      </c>
      <c r="B3155" t="s">
        <v>4695</v>
      </c>
      <c r="C3155" t="s">
        <v>4679</v>
      </c>
      <c r="D3155" t="s">
        <v>2704</v>
      </c>
      <c r="E3155" t="s">
        <v>4696</v>
      </c>
    </row>
    <row r="3156" spans="1:5" x14ac:dyDescent="0.3">
      <c r="A3156" t="s">
        <v>4592</v>
      </c>
      <c r="B3156" t="s">
        <v>4593</v>
      </c>
      <c r="C3156" t="s">
        <v>4595</v>
      </c>
      <c r="D3156" t="s">
        <v>133</v>
      </c>
      <c r="E3156" t="s">
        <v>4594</v>
      </c>
    </row>
    <row r="3157" spans="1:5" x14ac:dyDescent="0.3">
      <c r="A3157" t="s">
        <v>7045</v>
      </c>
      <c r="B3157" t="s">
        <v>7046</v>
      </c>
      <c r="C3157" t="s">
        <v>4308</v>
      </c>
      <c r="D3157" t="s">
        <v>133</v>
      </c>
      <c r="E3157" t="s">
        <v>7047</v>
      </c>
    </row>
    <row r="3158" spans="1:5" x14ac:dyDescent="0.3">
      <c r="A3158" t="s">
        <v>7066</v>
      </c>
      <c r="B3158" t="s">
        <v>3892</v>
      </c>
      <c r="C3158" t="s">
        <v>4308</v>
      </c>
      <c r="D3158" t="s">
        <v>133</v>
      </c>
      <c r="E3158" t="s">
        <v>7067</v>
      </c>
    </row>
    <row r="3159" spans="1:5" x14ac:dyDescent="0.3">
      <c r="A3159" t="s">
        <v>4718</v>
      </c>
      <c r="B3159" t="s">
        <v>4719</v>
      </c>
      <c r="C3159" t="s">
        <v>3946</v>
      </c>
      <c r="D3159" t="s">
        <v>2709</v>
      </c>
      <c r="E3159" t="s">
        <v>4720</v>
      </c>
    </row>
    <row r="3160" spans="1:5" x14ac:dyDescent="0.3">
      <c r="A3160" t="s">
        <v>4743</v>
      </c>
      <c r="B3160" t="s">
        <v>4744</v>
      </c>
      <c r="C3160" t="s">
        <v>4733</v>
      </c>
      <c r="D3160" t="s">
        <v>2704</v>
      </c>
      <c r="E3160" t="s">
        <v>4745</v>
      </c>
    </row>
    <row r="3161" spans="1:5" x14ac:dyDescent="0.3">
      <c r="A3161" t="s">
        <v>4470</v>
      </c>
      <c r="B3161" t="s">
        <v>4471</v>
      </c>
      <c r="C3161" t="s">
        <v>4469</v>
      </c>
      <c r="D3161" t="s">
        <v>2709</v>
      </c>
      <c r="E3161" t="s">
        <v>4472</v>
      </c>
    </row>
    <row r="3162" spans="1:5" x14ac:dyDescent="0.3">
      <c r="A3162" t="s">
        <v>1270</v>
      </c>
      <c r="B3162" t="s">
        <v>1271</v>
      </c>
      <c r="C3162" t="s">
        <v>1110</v>
      </c>
      <c r="D3162" t="s">
        <v>1111</v>
      </c>
      <c r="E3162" t="s">
        <v>1272</v>
      </c>
    </row>
    <row r="3163" spans="1:5" x14ac:dyDescent="0.3">
      <c r="A3163" t="s">
        <v>1225</v>
      </c>
      <c r="B3163" t="s">
        <v>1226</v>
      </c>
      <c r="C3163" t="s">
        <v>1196</v>
      </c>
      <c r="D3163" t="s">
        <v>1088</v>
      </c>
      <c r="E3163" t="s">
        <v>1227</v>
      </c>
    </row>
    <row r="3164" spans="1:5" x14ac:dyDescent="0.3">
      <c r="A3164" t="s">
        <v>4220</v>
      </c>
      <c r="B3164" t="s">
        <v>4221</v>
      </c>
      <c r="C3164" t="s">
        <v>4207</v>
      </c>
      <c r="D3164" t="s">
        <v>133</v>
      </c>
      <c r="E3164" t="s">
        <v>4222</v>
      </c>
    </row>
    <row r="3165" spans="1:5" x14ac:dyDescent="0.3">
      <c r="A3165" t="s">
        <v>4616</v>
      </c>
      <c r="B3165" t="s">
        <v>4617</v>
      </c>
      <c r="C3165" t="s">
        <v>4595</v>
      </c>
      <c r="D3165" t="s">
        <v>133</v>
      </c>
      <c r="E3165" t="s">
        <v>4618</v>
      </c>
    </row>
    <row r="3166" spans="1:5" x14ac:dyDescent="0.3">
      <c r="A3166" t="s">
        <v>1618</v>
      </c>
      <c r="B3166" t="s">
        <v>1619</v>
      </c>
      <c r="C3166" t="s">
        <v>1209</v>
      </c>
      <c r="D3166" t="s">
        <v>1088</v>
      </c>
      <c r="E3166" t="s">
        <v>1620</v>
      </c>
    </row>
    <row r="3167" spans="1:5" x14ac:dyDescent="0.3">
      <c r="A3167" t="s">
        <v>4767</v>
      </c>
      <c r="B3167" t="s">
        <v>4768</v>
      </c>
      <c r="C3167" t="s">
        <v>134</v>
      </c>
      <c r="D3167" t="s">
        <v>133</v>
      </c>
      <c r="E3167" t="s">
        <v>4769</v>
      </c>
    </row>
    <row r="3168" spans="1:5" x14ac:dyDescent="0.3">
      <c r="A3168" t="s">
        <v>4500</v>
      </c>
      <c r="B3168" t="s">
        <v>4501</v>
      </c>
      <c r="C3168" t="s">
        <v>3946</v>
      </c>
      <c r="D3168" t="s">
        <v>2709</v>
      </c>
      <c r="E3168" t="s">
        <v>4502</v>
      </c>
    </row>
    <row r="3169" spans="1:5" x14ac:dyDescent="0.3">
      <c r="A3169" t="s">
        <v>4524</v>
      </c>
      <c r="B3169" t="s">
        <v>4525</v>
      </c>
      <c r="C3169" t="s">
        <v>3850</v>
      </c>
      <c r="D3169" t="s">
        <v>3712</v>
      </c>
      <c r="E3169" t="s">
        <v>4526</v>
      </c>
    </row>
    <row r="3170" spans="1:5" x14ac:dyDescent="0.3">
      <c r="A3170" t="s">
        <v>3307</v>
      </c>
      <c r="B3170" t="s">
        <v>3308</v>
      </c>
      <c r="C3170" t="s">
        <v>2696</v>
      </c>
      <c r="D3170" t="s">
        <v>2696</v>
      </c>
      <c r="E3170" t="s">
        <v>3309</v>
      </c>
    </row>
    <row r="3171" spans="1:5" x14ac:dyDescent="0.3">
      <c r="A3171" t="s">
        <v>3330</v>
      </c>
      <c r="B3171" t="s">
        <v>3331</v>
      </c>
      <c r="C3171" t="s">
        <v>2696</v>
      </c>
      <c r="D3171" t="s">
        <v>2696</v>
      </c>
      <c r="E3171" t="s">
        <v>3332</v>
      </c>
    </row>
    <row r="3172" spans="1:5" x14ac:dyDescent="0.3">
      <c r="A3172" t="s">
        <v>1237</v>
      </c>
      <c r="B3172" t="s">
        <v>1238</v>
      </c>
      <c r="C3172" t="s">
        <v>1209</v>
      </c>
      <c r="D3172" t="s">
        <v>1088</v>
      </c>
      <c r="E3172" t="s">
        <v>1239</v>
      </c>
    </row>
    <row r="3173" spans="1:5" x14ac:dyDescent="0.3">
      <c r="A3173" t="s">
        <v>4241</v>
      </c>
      <c r="B3173" t="s">
        <v>1244</v>
      </c>
      <c r="C3173" t="s">
        <v>4229</v>
      </c>
      <c r="D3173" t="s">
        <v>2841</v>
      </c>
      <c r="E3173" t="s">
        <v>4242</v>
      </c>
    </row>
    <row r="3174" spans="1:5" x14ac:dyDescent="0.3">
      <c r="A3174" t="s">
        <v>4548</v>
      </c>
      <c r="B3174" t="s">
        <v>4549</v>
      </c>
      <c r="C3174" t="s">
        <v>2840</v>
      </c>
      <c r="D3174" t="s">
        <v>2841</v>
      </c>
      <c r="E3174" t="s">
        <v>4550</v>
      </c>
    </row>
    <row r="3175" spans="1:5" x14ac:dyDescent="0.3">
      <c r="A3175" t="s">
        <v>4571</v>
      </c>
      <c r="B3175" t="s">
        <v>4572</v>
      </c>
      <c r="C3175" t="s">
        <v>2840</v>
      </c>
      <c r="D3175" t="s">
        <v>2841</v>
      </c>
      <c r="E3175" t="s">
        <v>4573</v>
      </c>
    </row>
    <row r="3176" spans="1:5" x14ac:dyDescent="0.3">
      <c r="A3176" t="s">
        <v>4790</v>
      </c>
      <c r="B3176" t="s">
        <v>4791</v>
      </c>
      <c r="C3176" t="s">
        <v>4781</v>
      </c>
      <c r="D3176" t="s">
        <v>133</v>
      </c>
      <c r="E3176" t="s">
        <v>4792</v>
      </c>
    </row>
    <row r="3177" spans="1:5" x14ac:dyDescent="0.3">
      <c r="A3177" t="s">
        <v>4814</v>
      </c>
      <c r="B3177" t="s">
        <v>4815</v>
      </c>
      <c r="C3177" t="s">
        <v>4781</v>
      </c>
      <c r="D3177" t="s">
        <v>133</v>
      </c>
      <c r="E3177" t="s">
        <v>4816</v>
      </c>
    </row>
    <row r="3178" spans="1:5" x14ac:dyDescent="0.3">
      <c r="A3178" t="s">
        <v>4638</v>
      </c>
      <c r="B3178" t="s">
        <v>4639</v>
      </c>
      <c r="C3178" t="s">
        <v>4625</v>
      </c>
      <c r="D3178" t="s">
        <v>133</v>
      </c>
      <c r="E3178" t="s">
        <v>4640</v>
      </c>
    </row>
    <row r="3179" spans="1:5" x14ac:dyDescent="0.3">
      <c r="A3179" t="s">
        <v>4661</v>
      </c>
      <c r="B3179" t="s">
        <v>4662</v>
      </c>
      <c r="C3179" t="s">
        <v>4649</v>
      </c>
      <c r="D3179" t="s">
        <v>3712</v>
      </c>
      <c r="E3179" t="s">
        <v>4663</v>
      </c>
    </row>
    <row r="3180" spans="1:5" x14ac:dyDescent="0.3">
      <c r="A3180" t="s">
        <v>3132</v>
      </c>
      <c r="B3180" t="s">
        <v>1862</v>
      </c>
      <c r="C3180" t="s">
        <v>2696</v>
      </c>
      <c r="D3180" t="s">
        <v>2696</v>
      </c>
      <c r="E3180" t="s">
        <v>3133</v>
      </c>
    </row>
    <row r="3181" spans="1:5" x14ac:dyDescent="0.3">
      <c r="A3181" t="s">
        <v>3155</v>
      </c>
      <c r="B3181" t="s">
        <v>3156</v>
      </c>
      <c r="C3181" t="s">
        <v>2696</v>
      </c>
      <c r="D3181" t="s">
        <v>2696</v>
      </c>
      <c r="E3181" t="s">
        <v>3157</v>
      </c>
    </row>
    <row r="3182" spans="1:5" x14ac:dyDescent="0.3">
      <c r="A3182" t="s">
        <v>4596</v>
      </c>
      <c r="B3182" t="s">
        <v>4597</v>
      </c>
      <c r="C3182" t="s">
        <v>4595</v>
      </c>
      <c r="D3182" t="s">
        <v>133</v>
      </c>
      <c r="E3182" t="s">
        <v>4598</v>
      </c>
    </row>
    <row r="3183" spans="1:5" x14ac:dyDescent="0.3">
      <c r="A3183" t="s">
        <v>4619</v>
      </c>
      <c r="B3183" t="s">
        <v>4620</v>
      </c>
      <c r="C3183" t="s">
        <v>4595</v>
      </c>
      <c r="D3183" t="s">
        <v>133</v>
      </c>
      <c r="E3183" t="s">
        <v>4621</v>
      </c>
    </row>
    <row r="3184" spans="1:5" x14ac:dyDescent="0.3">
      <c r="A3184" t="s">
        <v>7089</v>
      </c>
      <c r="B3184" t="s">
        <v>7090</v>
      </c>
      <c r="C3184" t="s">
        <v>3758</v>
      </c>
      <c r="D3184" t="s">
        <v>3712</v>
      </c>
      <c r="E3184" t="s">
        <v>7091</v>
      </c>
    </row>
    <row r="3185" spans="1:5" x14ac:dyDescent="0.3">
      <c r="A3185" t="s">
        <v>3179</v>
      </c>
      <c r="B3185" t="s">
        <v>3180</v>
      </c>
      <c r="C3185" t="s">
        <v>2696</v>
      </c>
      <c r="D3185" t="s">
        <v>2696</v>
      </c>
      <c r="E3185" t="s">
        <v>3181</v>
      </c>
    </row>
    <row r="3186" spans="1:5" x14ac:dyDescent="0.3">
      <c r="A3186" t="s">
        <v>4837</v>
      </c>
      <c r="B3186" t="s">
        <v>4838</v>
      </c>
      <c r="C3186" t="s">
        <v>2840</v>
      </c>
      <c r="D3186" t="s">
        <v>2841</v>
      </c>
      <c r="E3186" t="s">
        <v>4839</v>
      </c>
    </row>
    <row r="3187" spans="1:5" x14ac:dyDescent="0.3">
      <c r="A3187" t="s">
        <v>1517</v>
      </c>
      <c r="B3187" t="s">
        <v>1518</v>
      </c>
      <c r="C3187" t="s">
        <v>1196</v>
      </c>
      <c r="D3187" t="s">
        <v>1088</v>
      </c>
      <c r="E3187" t="s">
        <v>1519</v>
      </c>
    </row>
    <row r="3188" spans="1:5" x14ac:dyDescent="0.3">
      <c r="A3188" t="s">
        <v>1297</v>
      </c>
      <c r="B3188" t="s">
        <v>1298</v>
      </c>
      <c r="C3188" t="s">
        <v>1209</v>
      </c>
      <c r="D3188" t="s">
        <v>1088</v>
      </c>
      <c r="E3188" t="s">
        <v>1299</v>
      </c>
    </row>
    <row r="3189" spans="1:5" x14ac:dyDescent="0.3">
      <c r="A3189" t="s">
        <v>4641</v>
      </c>
      <c r="B3189" t="s">
        <v>4642</v>
      </c>
      <c r="C3189" t="s">
        <v>4625</v>
      </c>
      <c r="D3189" t="s">
        <v>133</v>
      </c>
      <c r="E3189" t="s">
        <v>4643</v>
      </c>
    </row>
    <row r="3190" spans="1:5" x14ac:dyDescent="0.3">
      <c r="A3190" t="s">
        <v>4263</v>
      </c>
      <c r="B3190" t="s">
        <v>4264</v>
      </c>
      <c r="C3190" t="s">
        <v>4256</v>
      </c>
      <c r="D3190" t="s">
        <v>133</v>
      </c>
      <c r="E3190" t="s">
        <v>4265</v>
      </c>
    </row>
    <row r="3191" spans="1:5" x14ac:dyDescent="0.3">
      <c r="A3191" t="s">
        <v>4286</v>
      </c>
      <c r="B3191" t="s">
        <v>4287</v>
      </c>
      <c r="C3191" t="s">
        <v>2851</v>
      </c>
      <c r="D3191" t="s">
        <v>2852</v>
      </c>
      <c r="E3191" t="s">
        <v>4288</v>
      </c>
    </row>
    <row r="3192" spans="1:5" x14ac:dyDescent="0.3">
      <c r="A3192" t="s">
        <v>3354</v>
      </c>
      <c r="B3192" t="s">
        <v>3355</v>
      </c>
      <c r="C3192" t="s">
        <v>2696</v>
      </c>
      <c r="D3192" t="s">
        <v>2696</v>
      </c>
      <c r="E3192" t="s">
        <v>3356</v>
      </c>
    </row>
    <row r="3193" spans="1:5" x14ac:dyDescent="0.3">
      <c r="A3193" t="s">
        <v>3377</v>
      </c>
      <c r="B3193" t="s">
        <v>3378</v>
      </c>
      <c r="C3193" t="s">
        <v>2696</v>
      </c>
      <c r="D3193" t="s">
        <v>2696</v>
      </c>
      <c r="E3193" t="s">
        <v>3379</v>
      </c>
    </row>
    <row r="3194" spans="1:5" x14ac:dyDescent="0.3">
      <c r="A3194" t="s">
        <v>4312</v>
      </c>
      <c r="B3194" t="s">
        <v>4313</v>
      </c>
      <c r="C3194" t="s">
        <v>2851</v>
      </c>
      <c r="D3194" t="s">
        <v>2852</v>
      </c>
      <c r="E3194" t="s">
        <v>4314</v>
      </c>
    </row>
    <row r="3195" spans="1:5" x14ac:dyDescent="0.3">
      <c r="A3195" t="s">
        <v>4336</v>
      </c>
      <c r="B3195" t="s">
        <v>4337</v>
      </c>
      <c r="C3195" t="s">
        <v>3860</v>
      </c>
      <c r="D3195" t="s">
        <v>2704</v>
      </c>
      <c r="E3195" t="s">
        <v>4338</v>
      </c>
    </row>
    <row r="3196" spans="1:5" x14ac:dyDescent="0.3">
      <c r="A3196" t="s">
        <v>4664</v>
      </c>
      <c r="B3196" t="s">
        <v>4665</v>
      </c>
      <c r="C3196" t="s">
        <v>4649</v>
      </c>
      <c r="D3196" t="s">
        <v>3712</v>
      </c>
      <c r="E3196" t="s">
        <v>4666</v>
      </c>
    </row>
    <row r="3197" spans="1:5" x14ac:dyDescent="0.3">
      <c r="A3197" t="s">
        <v>1621</v>
      </c>
      <c r="B3197" t="s">
        <v>1622</v>
      </c>
      <c r="C3197" t="s">
        <v>1110</v>
      </c>
      <c r="D3197" t="s">
        <v>1111</v>
      </c>
      <c r="E3197" t="s">
        <v>1623</v>
      </c>
    </row>
    <row r="3198" spans="1:5" x14ac:dyDescent="0.3">
      <c r="A3198" t="s">
        <v>4688</v>
      </c>
      <c r="B3198" t="s">
        <v>4689</v>
      </c>
      <c r="C3198" t="s">
        <v>4679</v>
      </c>
      <c r="D3198" t="s">
        <v>2704</v>
      </c>
      <c r="E3198" t="s">
        <v>4690</v>
      </c>
    </row>
    <row r="3199" spans="1:5" x14ac:dyDescent="0.3">
      <c r="A3199" t="s">
        <v>3401</v>
      </c>
      <c r="B3199" t="s">
        <v>3402</v>
      </c>
      <c r="C3199" t="s">
        <v>2696</v>
      </c>
      <c r="D3199" t="s">
        <v>2696</v>
      </c>
      <c r="E3199" t="s">
        <v>3403</v>
      </c>
    </row>
    <row r="3200" spans="1:5" x14ac:dyDescent="0.3">
      <c r="A3200" t="s">
        <v>3425</v>
      </c>
      <c r="B3200" t="s">
        <v>3426</v>
      </c>
      <c r="C3200" t="s">
        <v>2696</v>
      </c>
      <c r="D3200" t="s">
        <v>2696</v>
      </c>
      <c r="E3200" t="s">
        <v>3427</v>
      </c>
    </row>
    <row r="3201" spans="1:5" x14ac:dyDescent="0.3">
      <c r="A3201" t="s">
        <v>7112</v>
      </c>
      <c r="B3201" t="s">
        <v>1191</v>
      </c>
      <c r="C3201" t="s">
        <v>3758</v>
      </c>
      <c r="D3201" t="s">
        <v>3712</v>
      </c>
      <c r="E3201" t="s">
        <v>7113</v>
      </c>
    </row>
    <row r="3202" spans="1:5" x14ac:dyDescent="0.3">
      <c r="A3202" t="s">
        <v>7133</v>
      </c>
      <c r="B3202" t="s">
        <v>7134</v>
      </c>
      <c r="C3202" t="s">
        <v>4086</v>
      </c>
      <c r="D3202" t="s">
        <v>2704</v>
      </c>
      <c r="E3202" t="s">
        <v>7135</v>
      </c>
    </row>
    <row r="3203" spans="1:5" x14ac:dyDescent="0.3">
      <c r="A3203" t="s">
        <v>4866</v>
      </c>
      <c r="B3203" t="s">
        <v>4867</v>
      </c>
      <c r="C3203" t="s">
        <v>4781</v>
      </c>
      <c r="D3203" t="s">
        <v>133</v>
      </c>
      <c r="E3203" t="s">
        <v>4868</v>
      </c>
    </row>
    <row r="3204" spans="1:5" x14ac:dyDescent="0.3">
      <c r="A3204" t="s">
        <v>4889</v>
      </c>
      <c r="B3204" t="s">
        <v>4890</v>
      </c>
      <c r="C3204" t="s">
        <v>4207</v>
      </c>
      <c r="D3204" t="s">
        <v>133</v>
      </c>
      <c r="E3204" t="s">
        <v>4891</v>
      </c>
    </row>
    <row r="3205" spans="1:5" x14ac:dyDescent="0.3">
      <c r="A3205" t="s">
        <v>1306</v>
      </c>
      <c r="B3205" t="s">
        <v>1307</v>
      </c>
      <c r="C3205" t="s">
        <v>1110</v>
      </c>
      <c r="D3205" t="s">
        <v>1111</v>
      </c>
      <c r="E3205" t="s">
        <v>1308</v>
      </c>
    </row>
    <row r="3206" spans="1:5" x14ac:dyDescent="0.3">
      <c r="A3206" t="s">
        <v>4691</v>
      </c>
      <c r="B3206" t="s">
        <v>4692</v>
      </c>
      <c r="C3206" t="s">
        <v>4679</v>
      </c>
      <c r="D3206" t="s">
        <v>2704</v>
      </c>
      <c r="E3206" t="s">
        <v>4693</v>
      </c>
    </row>
    <row r="3207" spans="1:5" x14ac:dyDescent="0.3">
      <c r="A3207" t="s">
        <v>4712</v>
      </c>
      <c r="B3207" t="s">
        <v>4713</v>
      </c>
      <c r="C3207" t="s">
        <v>3946</v>
      </c>
      <c r="D3207" t="s">
        <v>2709</v>
      </c>
      <c r="E3207" t="s">
        <v>4714</v>
      </c>
    </row>
    <row r="3208" spans="1:5" x14ac:dyDescent="0.3">
      <c r="A3208" t="s">
        <v>4737</v>
      </c>
      <c r="B3208" t="s">
        <v>4738</v>
      </c>
      <c r="C3208" t="s">
        <v>4733</v>
      </c>
      <c r="D3208" t="s">
        <v>2704</v>
      </c>
      <c r="E3208" t="s">
        <v>4739</v>
      </c>
    </row>
    <row r="3209" spans="1:5" x14ac:dyDescent="0.3">
      <c r="A3209" t="s">
        <v>3449</v>
      </c>
      <c r="B3209" t="s">
        <v>3450</v>
      </c>
      <c r="C3209" t="s">
        <v>2696</v>
      </c>
      <c r="D3209" t="s">
        <v>2696</v>
      </c>
      <c r="E3209" t="s">
        <v>3451</v>
      </c>
    </row>
    <row r="3210" spans="1:5" x14ac:dyDescent="0.3">
      <c r="A3210" t="s">
        <v>3471</v>
      </c>
      <c r="B3210" t="s">
        <v>3472</v>
      </c>
      <c r="C3210" t="s">
        <v>2696</v>
      </c>
      <c r="D3210" t="s">
        <v>2696</v>
      </c>
      <c r="E3210" t="s">
        <v>3473</v>
      </c>
    </row>
    <row r="3211" spans="1:5" x14ac:dyDescent="0.3">
      <c r="A3211" t="s">
        <v>3802</v>
      </c>
      <c r="B3211" t="s">
        <v>3803</v>
      </c>
      <c r="C3211" t="s">
        <v>3768</v>
      </c>
      <c r="D3211" t="s">
        <v>2852</v>
      </c>
      <c r="E3211" t="s">
        <v>3804</v>
      </c>
    </row>
    <row r="3212" spans="1:5" x14ac:dyDescent="0.3">
      <c r="A3212" t="s">
        <v>3826</v>
      </c>
      <c r="B3212" t="s">
        <v>3827</v>
      </c>
      <c r="C3212" t="s">
        <v>3768</v>
      </c>
      <c r="D3212" t="s">
        <v>2852</v>
      </c>
      <c r="E3212" t="s">
        <v>3828</v>
      </c>
    </row>
    <row r="3213" spans="1:5" x14ac:dyDescent="0.3">
      <c r="A3213" t="s">
        <v>4912</v>
      </c>
      <c r="B3213" t="s">
        <v>4913</v>
      </c>
      <c r="C3213" t="s">
        <v>134</v>
      </c>
      <c r="D3213" t="s">
        <v>133</v>
      </c>
      <c r="E3213" t="s">
        <v>4914</v>
      </c>
    </row>
    <row r="3214" spans="1:5" x14ac:dyDescent="0.3">
      <c r="A3214" t="s">
        <v>1527</v>
      </c>
      <c r="B3214" t="s">
        <v>1528</v>
      </c>
      <c r="C3214" t="s">
        <v>1087</v>
      </c>
      <c r="D3214" t="s">
        <v>1088</v>
      </c>
      <c r="E3214" t="s">
        <v>1529</v>
      </c>
    </row>
    <row r="3215" spans="1:5" x14ac:dyDescent="0.3">
      <c r="A3215" t="s">
        <v>4715</v>
      </c>
      <c r="B3215" t="s">
        <v>4716</v>
      </c>
      <c r="C3215" t="s">
        <v>3946</v>
      </c>
      <c r="D3215" t="s">
        <v>2709</v>
      </c>
      <c r="E3215" t="s">
        <v>4717</v>
      </c>
    </row>
    <row r="3216" spans="1:5" x14ac:dyDescent="0.3">
      <c r="A3216" t="s">
        <v>4740</v>
      </c>
      <c r="B3216" t="s">
        <v>4741</v>
      </c>
      <c r="C3216" t="s">
        <v>4733</v>
      </c>
      <c r="D3216" t="s">
        <v>2704</v>
      </c>
      <c r="E3216" t="s">
        <v>4742</v>
      </c>
    </row>
    <row r="3217" spans="1:5" x14ac:dyDescent="0.3">
      <c r="A3217" t="s">
        <v>4761</v>
      </c>
      <c r="B3217" t="s">
        <v>4762</v>
      </c>
      <c r="C3217" t="s">
        <v>4733</v>
      </c>
      <c r="D3217" t="s">
        <v>2704</v>
      </c>
      <c r="E3217" t="s">
        <v>4763</v>
      </c>
    </row>
    <row r="3218" spans="1:5" x14ac:dyDescent="0.3">
      <c r="A3218" t="s">
        <v>4785</v>
      </c>
      <c r="B3218" t="s">
        <v>4786</v>
      </c>
      <c r="C3218" t="s">
        <v>4781</v>
      </c>
      <c r="D3218" t="s">
        <v>133</v>
      </c>
      <c r="E3218" t="s">
        <v>4787</v>
      </c>
    </row>
    <row r="3219" spans="1:5" x14ac:dyDescent="0.3">
      <c r="A3219" t="s">
        <v>3494</v>
      </c>
      <c r="B3219" t="s">
        <v>3495</v>
      </c>
      <c r="C3219" t="s">
        <v>2696</v>
      </c>
      <c r="D3219" t="s">
        <v>2696</v>
      </c>
      <c r="E3219" t="s">
        <v>3496</v>
      </c>
    </row>
    <row r="3220" spans="1:5" x14ac:dyDescent="0.3">
      <c r="A3220" t="s">
        <v>3518</v>
      </c>
      <c r="B3220" t="s">
        <v>3519</v>
      </c>
      <c r="C3220" t="s">
        <v>2696</v>
      </c>
      <c r="D3220" t="s">
        <v>2696</v>
      </c>
      <c r="E3220" t="s">
        <v>3520</v>
      </c>
    </row>
    <row r="3221" spans="1:5" x14ac:dyDescent="0.3">
      <c r="A3221" t="s">
        <v>1264</v>
      </c>
      <c r="B3221" t="s">
        <v>1265</v>
      </c>
      <c r="C3221" t="s">
        <v>1110</v>
      </c>
      <c r="D3221" t="s">
        <v>1111</v>
      </c>
      <c r="E3221" t="s">
        <v>1266</v>
      </c>
    </row>
    <row r="3222" spans="1:5" x14ac:dyDescent="0.3">
      <c r="A3222" t="s">
        <v>1273</v>
      </c>
      <c r="B3222" t="s">
        <v>1274</v>
      </c>
      <c r="C3222" t="s">
        <v>1110</v>
      </c>
      <c r="D3222" t="s">
        <v>1111</v>
      </c>
      <c r="E3222" t="s">
        <v>1275</v>
      </c>
    </row>
    <row r="3223" spans="1:5" x14ac:dyDescent="0.3">
      <c r="A3223" t="s">
        <v>4930</v>
      </c>
      <c r="B3223" t="s">
        <v>4931</v>
      </c>
      <c r="C3223" t="s">
        <v>4933</v>
      </c>
      <c r="D3223" t="s">
        <v>3712</v>
      </c>
      <c r="E3223" t="s">
        <v>4932</v>
      </c>
    </row>
    <row r="3224" spans="1:5" x14ac:dyDescent="0.3">
      <c r="A3224" t="s">
        <v>1534</v>
      </c>
      <c r="B3224" t="s">
        <v>1535</v>
      </c>
      <c r="C3224" t="s">
        <v>1196</v>
      </c>
      <c r="D3224" t="s">
        <v>1088</v>
      </c>
      <c r="E3224" t="s">
        <v>1536</v>
      </c>
    </row>
    <row r="3225" spans="1:5" x14ac:dyDescent="0.3">
      <c r="A3225" t="s">
        <v>3851</v>
      </c>
      <c r="B3225" t="s">
        <v>3852</v>
      </c>
      <c r="C3225" t="s">
        <v>3850</v>
      </c>
      <c r="D3225" t="s">
        <v>3712</v>
      </c>
      <c r="E3225" t="s">
        <v>3853</v>
      </c>
    </row>
    <row r="3226" spans="1:5" x14ac:dyDescent="0.3">
      <c r="A3226" t="s">
        <v>3876</v>
      </c>
      <c r="B3226" t="s">
        <v>3877</v>
      </c>
      <c r="C3226" t="s">
        <v>3860</v>
      </c>
      <c r="D3226" t="s">
        <v>2704</v>
      </c>
      <c r="E3226" t="s">
        <v>3878</v>
      </c>
    </row>
    <row r="3227" spans="1:5" x14ac:dyDescent="0.3">
      <c r="A3227" t="s">
        <v>4808</v>
      </c>
      <c r="B3227" t="s">
        <v>4809</v>
      </c>
      <c r="C3227" t="s">
        <v>4781</v>
      </c>
      <c r="D3227" t="s">
        <v>133</v>
      </c>
      <c r="E3227" t="s">
        <v>4810</v>
      </c>
    </row>
    <row r="3228" spans="1:5" x14ac:dyDescent="0.3">
      <c r="A3228" t="s">
        <v>4831</v>
      </c>
      <c r="B3228" t="s">
        <v>4832</v>
      </c>
      <c r="C3228" t="s">
        <v>2840</v>
      </c>
      <c r="D3228" t="s">
        <v>2841</v>
      </c>
      <c r="E3228" t="s">
        <v>4833</v>
      </c>
    </row>
    <row r="3229" spans="1:5" x14ac:dyDescent="0.3">
      <c r="A3229" t="s">
        <v>4764</v>
      </c>
      <c r="B3229" t="s">
        <v>4765</v>
      </c>
      <c r="C3229" t="s">
        <v>134</v>
      </c>
      <c r="D3229" t="s">
        <v>133</v>
      </c>
      <c r="E3229" t="s">
        <v>4766</v>
      </c>
    </row>
    <row r="3230" spans="1:5" x14ac:dyDescent="0.3">
      <c r="A3230" t="s">
        <v>4788</v>
      </c>
      <c r="B3230" t="s">
        <v>3275</v>
      </c>
      <c r="C3230" t="s">
        <v>4781</v>
      </c>
      <c r="D3230" t="s">
        <v>133</v>
      </c>
      <c r="E3230" t="s">
        <v>4789</v>
      </c>
    </row>
    <row r="3231" spans="1:5" x14ac:dyDescent="0.3">
      <c r="A3231" t="s">
        <v>3541</v>
      </c>
      <c r="B3231" t="s">
        <v>3542</v>
      </c>
      <c r="C3231" t="s">
        <v>2696</v>
      </c>
      <c r="D3231" t="s">
        <v>2696</v>
      </c>
      <c r="E3231" t="s">
        <v>3543</v>
      </c>
    </row>
    <row r="3232" spans="1:5" x14ac:dyDescent="0.3">
      <c r="A3232" t="s">
        <v>4952</v>
      </c>
      <c r="B3232" t="s">
        <v>3040</v>
      </c>
      <c r="C3232" t="s">
        <v>2703</v>
      </c>
      <c r="D3232" t="s">
        <v>2704</v>
      </c>
      <c r="E3232" t="s">
        <v>4953</v>
      </c>
    </row>
    <row r="3233" spans="1:5" x14ac:dyDescent="0.3">
      <c r="A3233" t="s">
        <v>4975</v>
      </c>
      <c r="B3233" t="s">
        <v>2829</v>
      </c>
      <c r="C3233" t="s">
        <v>2696</v>
      </c>
      <c r="D3233" t="s">
        <v>2696</v>
      </c>
      <c r="E3233" t="s">
        <v>4976</v>
      </c>
    </row>
    <row r="3234" spans="1:5" x14ac:dyDescent="0.3">
      <c r="A3234" t="s">
        <v>4811</v>
      </c>
      <c r="B3234" t="s">
        <v>4812</v>
      </c>
      <c r="C3234" t="s">
        <v>4781</v>
      </c>
      <c r="D3234" t="s">
        <v>133</v>
      </c>
      <c r="E3234" t="s">
        <v>4813</v>
      </c>
    </row>
    <row r="3235" spans="1:5" x14ac:dyDescent="0.3">
      <c r="A3235" t="s">
        <v>4834</v>
      </c>
      <c r="B3235" t="s">
        <v>4835</v>
      </c>
      <c r="C3235" t="s">
        <v>2840</v>
      </c>
      <c r="D3235" t="s">
        <v>2841</v>
      </c>
      <c r="E3235" t="s">
        <v>4836</v>
      </c>
    </row>
    <row r="3236" spans="1:5" x14ac:dyDescent="0.3">
      <c r="A3236" t="s">
        <v>3900</v>
      </c>
      <c r="B3236" t="s">
        <v>3901</v>
      </c>
      <c r="C3236" t="s">
        <v>3860</v>
      </c>
      <c r="D3236" t="s">
        <v>2704</v>
      </c>
      <c r="E3236" t="s">
        <v>3902</v>
      </c>
    </row>
    <row r="3237" spans="1:5" x14ac:dyDescent="0.3">
      <c r="A3237" t="s">
        <v>1119</v>
      </c>
      <c r="B3237" t="s">
        <v>1120</v>
      </c>
      <c r="C3237" t="s">
        <v>1110</v>
      </c>
      <c r="D3237" t="s">
        <v>1111</v>
      </c>
      <c r="E3237" t="s">
        <v>1121</v>
      </c>
    </row>
    <row r="3238" spans="1:5" x14ac:dyDescent="0.3">
      <c r="A3238" t="s">
        <v>3565</v>
      </c>
      <c r="B3238" t="s">
        <v>3566</v>
      </c>
      <c r="C3238" t="s">
        <v>2696</v>
      </c>
      <c r="D3238" t="s">
        <v>2696</v>
      </c>
      <c r="E3238" t="s">
        <v>3567</v>
      </c>
    </row>
    <row r="3239" spans="1:5" x14ac:dyDescent="0.3">
      <c r="A3239" t="s">
        <v>3589</v>
      </c>
      <c r="B3239" t="s">
        <v>3590</v>
      </c>
      <c r="C3239" t="s">
        <v>2696</v>
      </c>
      <c r="D3239" t="s">
        <v>2696</v>
      </c>
      <c r="E3239" t="s">
        <v>3591</v>
      </c>
    </row>
    <row r="3240" spans="1:5" x14ac:dyDescent="0.3">
      <c r="A3240" t="s">
        <v>1654</v>
      </c>
      <c r="B3240" t="s">
        <v>1655</v>
      </c>
      <c r="C3240" t="s">
        <v>1196</v>
      </c>
      <c r="D3240" t="s">
        <v>1088</v>
      </c>
      <c r="E3240" t="s">
        <v>1656</v>
      </c>
    </row>
    <row r="3241" spans="1:5" x14ac:dyDescent="0.3">
      <c r="A3241" t="s">
        <v>4860</v>
      </c>
      <c r="B3241" t="s">
        <v>4861</v>
      </c>
      <c r="C3241" t="s">
        <v>4781</v>
      </c>
      <c r="D3241" t="s">
        <v>133</v>
      </c>
      <c r="E3241" t="s">
        <v>4862</v>
      </c>
    </row>
    <row r="3242" spans="1:5" x14ac:dyDescent="0.3">
      <c r="A3242" t="s">
        <v>4996</v>
      </c>
      <c r="B3242" t="s">
        <v>4997</v>
      </c>
      <c r="C3242" t="s">
        <v>2696</v>
      </c>
      <c r="D3242" t="s">
        <v>2696</v>
      </c>
      <c r="E3242" t="s">
        <v>4998</v>
      </c>
    </row>
    <row r="3243" spans="1:5" x14ac:dyDescent="0.3">
      <c r="A3243" t="s">
        <v>5018</v>
      </c>
      <c r="B3243" t="s">
        <v>5019</v>
      </c>
      <c r="C3243" t="s">
        <v>2696</v>
      </c>
      <c r="D3243" t="s">
        <v>2696</v>
      </c>
      <c r="E3243" t="s">
        <v>5020</v>
      </c>
    </row>
    <row r="3244" spans="1:5" x14ac:dyDescent="0.3">
      <c r="A3244" t="s">
        <v>7156</v>
      </c>
      <c r="B3244" t="s">
        <v>7157</v>
      </c>
      <c r="C3244" t="s">
        <v>4595</v>
      </c>
      <c r="D3244" t="s">
        <v>133</v>
      </c>
      <c r="E3244" t="s">
        <v>7158</v>
      </c>
    </row>
    <row r="3245" spans="1:5" x14ac:dyDescent="0.3">
      <c r="A3245" t="s">
        <v>7178</v>
      </c>
      <c r="B3245" t="s">
        <v>7179</v>
      </c>
      <c r="C3245" t="s">
        <v>3758</v>
      </c>
      <c r="D3245" t="s">
        <v>3712</v>
      </c>
      <c r="E3245" t="s">
        <v>7180</v>
      </c>
    </row>
    <row r="3246" spans="1:5" x14ac:dyDescent="0.3">
      <c r="A3246" t="s">
        <v>1357</v>
      </c>
      <c r="B3246" t="s">
        <v>1358</v>
      </c>
      <c r="C3246" t="s">
        <v>1196</v>
      </c>
      <c r="D3246" t="s">
        <v>1088</v>
      </c>
      <c r="E3246" t="s">
        <v>1359</v>
      </c>
    </row>
    <row r="3247" spans="1:5" x14ac:dyDescent="0.3">
      <c r="A3247" t="s">
        <v>4863</v>
      </c>
      <c r="B3247" t="s">
        <v>4864</v>
      </c>
      <c r="C3247" t="s">
        <v>4781</v>
      </c>
      <c r="D3247" t="s">
        <v>133</v>
      </c>
      <c r="E3247" t="s">
        <v>4865</v>
      </c>
    </row>
    <row r="3248" spans="1:5" x14ac:dyDescent="0.3">
      <c r="A3248" t="s">
        <v>3613</v>
      </c>
      <c r="B3248" t="s">
        <v>3614</v>
      </c>
      <c r="C3248" t="s">
        <v>2696</v>
      </c>
      <c r="D3248" t="s">
        <v>2696</v>
      </c>
      <c r="E3248" t="s">
        <v>3615</v>
      </c>
    </row>
    <row r="3249" spans="1:5" x14ac:dyDescent="0.3">
      <c r="A3249" t="s">
        <v>3636</v>
      </c>
      <c r="B3249" t="s">
        <v>3637</v>
      </c>
      <c r="C3249" t="s">
        <v>2696</v>
      </c>
      <c r="D3249" t="s">
        <v>2696</v>
      </c>
      <c r="E3249" t="s">
        <v>3638</v>
      </c>
    </row>
    <row r="3250" spans="1:5" x14ac:dyDescent="0.3">
      <c r="A3250" t="s">
        <v>7201</v>
      </c>
      <c r="B3250" t="s">
        <v>7202</v>
      </c>
      <c r="C3250" t="s">
        <v>6333</v>
      </c>
      <c r="D3250" t="s">
        <v>2709</v>
      </c>
      <c r="E3250" t="s">
        <v>7203</v>
      </c>
    </row>
    <row r="3251" spans="1:5" x14ac:dyDescent="0.3">
      <c r="A3251" t="s">
        <v>2330</v>
      </c>
      <c r="B3251" t="s">
        <v>2331</v>
      </c>
      <c r="C3251" t="s">
        <v>1140</v>
      </c>
      <c r="D3251" t="s">
        <v>1088</v>
      </c>
      <c r="E3251" t="s">
        <v>2332</v>
      </c>
    </row>
    <row r="3252" spans="1:5" x14ac:dyDescent="0.3">
      <c r="A3252" t="s">
        <v>4883</v>
      </c>
      <c r="B3252" t="s">
        <v>4884</v>
      </c>
      <c r="C3252" t="s">
        <v>4781</v>
      </c>
      <c r="D3252" t="s">
        <v>133</v>
      </c>
      <c r="E3252" t="s">
        <v>4885</v>
      </c>
    </row>
    <row r="3253" spans="1:5" x14ac:dyDescent="0.3">
      <c r="A3253" t="s">
        <v>4906</v>
      </c>
      <c r="B3253" t="s">
        <v>4907</v>
      </c>
      <c r="C3253" t="s">
        <v>4207</v>
      </c>
      <c r="D3253" t="s">
        <v>133</v>
      </c>
      <c r="E3253" t="s">
        <v>4908</v>
      </c>
    </row>
    <row r="3254" spans="1:5" x14ac:dyDescent="0.3">
      <c r="A3254" t="s">
        <v>4363</v>
      </c>
      <c r="B3254" t="s">
        <v>4364</v>
      </c>
      <c r="C3254" t="s">
        <v>3983</v>
      </c>
      <c r="D3254" t="s">
        <v>3712</v>
      </c>
      <c r="E3254" t="s">
        <v>4365</v>
      </c>
    </row>
    <row r="3255" spans="1:5" x14ac:dyDescent="0.3">
      <c r="A3255" t="s">
        <v>4387</v>
      </c>
      <c r="B3255" t="s">
        <v>4388</v>
      </c>
      <c r="C3255" t="s">
        <v>3983</v>
      </c>
      <c r="D3255" t="s">
        <v>3712</v>
      </c>
      <c r="E3255" t="s">
        <v>4389</v>
      </c>
    </row>
    <row r="3256" spans="1:5" x14ac:dyDescent="0.3">
      <c r="A3256" t="s">
        <v>4886</v>
      </c>
      <c r="B3256" t="s">
        <v>4887</v>
      </c>
      <c r="C3256" t="s">
        <v>4781</v>
      </c>
      <c r="D3256" t="s">
        <v>133</v>
      </c>
      <c r="E3256" t="s">
        <v>4888</v>
      </c>
    </row>
    <row r="3257" spans="1:5" x14ac:dyDescent="0.3">
      <c r="A3257" t="s">
        <v>4909</v>
      </c>
      <c r="B3257" t="s">
        <v>4910</v>
      </c>
      <c r="C3257" t="s">
        <v>4207</v>
      </c>
      <c r="D3257" t="s">
        <v>133</v>
      </c>
      <c r="E3257" t="s">
        <v>4911</v>
      </c>
    </row>
    <row r="3258" spans="1:5" x14ac:dyDescent="0.3">
      <c r="A3258" t="s">
        <v>3660</v>
      </c>
      <c r="B3258" t="s">
        <v>3661</v>
      </c>
      <c r="C3258" t="s">
        <v>2696</v>
      </c>
      <c r="D3258" t="s">
        <v>2696</v>
      </c>
      <c r="E3258" t="s">
        <v>3662</v>
      </c>
    </row>
    <row r="3259" spans="1:5" x14ac:dyDescent="0.3">
      <c r="A3259" t="s">
        <v>3684</v>
      </c>
      <c r="B3259" t="s">
        <v>3685</v>
      </c>
      <c r="C3259" t="s">
        <v>2696</v>
      </c>
      <c r="D3259" t="s">
        <v>2696</v>
      </c>
      <c r="E3259" t="s">
        <v>3686</v>
      </c>
    </row>
    <row r="3260" spans="1:5" x14ac:dyDescent="0.3">
      <c r="A3260" t="s">
        <v>3203</v>
      </c>
      <c r="B3260" t="s">
        <v>3204</v>
      </c>
      <c r="C3260" t="s">
        <v>2696</v>
      </c>
      <c r="D3260" t="s">
        <v>2696</v>
      </c>
      <c r="E3260" t="s">
        <v>3205</v>
      </c>
    </row>
    <row r="3261" spans="1:5" x14ac:dyDescent="0.3">
      <c r="A3261" t="s">
        <v>3226</v>
      </c>
      <c r="B3261" t="s">
        <v>3227</v>
      </c>
      <c r="C3261" t="s">
        <v>2696</v>
      </c>
      <c r="D3261" t="s">
        <v>2696</v>
      </c>
      <c r="E3261" t="s">
        <v>3228</v>
      </c>
    </row>
    <row r="3262" spans="1:5" x14ac:dyDescent="0.3">
      <c r="A3262" t="s">
        <v>3708</v>
      </c>
      <c r="B3262" t="s">
        <v>3709</v>
      </c>
      <c r="C3262" t="s">
        <v>3711</v>
      </c>
      <c r="D3262" t="s">
        <v>3712</v>
      </c>
      <c r="E3262" t="s">
        <v>3710</v>
      </c>
    </row>
    <row r="3263" spans="1:5" x14ac:dyDescent="0.3">
      <c r="A3263" t="s">
        <v>3734</v>
      </c>
      <c r="B3263" t="s">
        <v>3735</v>
      </c>
      <c r="C3263" t="s">
        <v>3711</v>
      </c>
      <c r="D3263" t="s">
        <v>3712</v>
      </c>
      <c r="E3263" t="s">
        <v>3736</v>
      </c>
    </row>
    <row r="3264" spans="1:5" x14ac:dyDescent="0.3">
      <c r="A3264" t="s">
        <v>1660</v>
      </c>
      <c r="B3264" t="s">
        <v>1661</v>
      </c>
      <c r="C3264" t="s">
        <v>1087</v>
      </c>
      <c r="D3264" t="s">
        <v>1088</v>
      </c>
      <c r="E3264" t="s">
        <v>1662</v>
      </c>
    </row>
    <row r="3265" spans="1:5" x14ac:dyDescent="0.3">
      <c r="A3265" t="s">
        <v>4924</v>
      </c>
      <c r="B3265" t="s">
        <v>4925</v>
      </c>
      <c r="C3265" t="s">
        <v>3906</v>
      </c>
      <c r="D3265" t="s">
        <v>133</v>
      </c>
      <c r="E3265" t="s">
        <v>4926</v>
      </c>
    </row>
    <row r="3266" spans="1:5" x14ac:dyDescent="0.3">
      <c r="A3266" t="s">
        <v>3250</v>
      </c>
      <c r="B3266" t="s">
        <v>3251</v>
      </c>
      <c r="C3266" t="s">
        <v>2696</v>
      </c>
      <c r="D3266" t="s">
        <v>2696</v>
      </c>
      <c r="E3266" t="s">
        <v>3252</v>
      </c>
    </row>
    <row r="3267" spans="1:5" x14ac:dyDescent="0.3">
      <c r="A3267" t="s">
        <v>3274</v>
      </c>
      <c r="B3267" t="s">
        <v>3275</v>
      </c>
      <c r="C3267" t="s">
        <v>2696</v>
      </c>
      <c r="D3267" t="s">
        <v>2696</v>
      </c>
      <c r="E3267" t="s">
        <v>3276</v>
      </c>
    </row>
    <row r="3268" spans="1:5" x14ac:dyDescent="0.3">
      <c r="A3268" t="s">
        <v>5042</v>
      </c>
      <c r="B3268" t="s">
        <v>5043</v>
      </c>
      <c r="C3268" t="s">
        <v>2696</v>
      </c>
      <c r="D3268" t="s">
        <v>2696</v>
      </c>
      <c r="E3268" t="s">
        <v>5044</v>
      </c>
    </row>
    <row r="3269" spans="1:5" x14ac:dyDescent="0.3">
      <c r="A3269" t="s">
        <v>5066</v>
      </c>
      <c r="B3269" t="s">
        <v>5067</v>
      </c>
      <c r="C3269" t="s">
        <v>2696</v>
      </c>
      <c r="D3269" t="s">
        <v>2696</v>
      </c>
      <c r="E3269" t="s">
        <v>5068</v>
      </c>
    </row>
    <row r="3270" spans="1:5" x14ac:dyDescent="0.3">
      <c r="A3270" t="s">
        <v>3759</v>
      </c>
      <c r="B3270" t="s">
        <v>3760</v>
      </c>
      <c r="C3270" t="s">
        <v>3758</v>
      </c>
      <c r="D3270" t="s">
        <v>3712</v>
      </c>
      <c r="E3270" t="s">
        <v>3761</v>
      </c>
    </row>
    <row r="3271" spans="1:5" x14ac:dyDescent="0.3">
      <c r="A3271" t="s">
        <v>3784</v>
      </c>
      <c r="B3271" t="s">
        <v>3785</v>
      </c>
      <c r="C3271" t="s">
        <v>3768</v>
      </c>
      <c r="D3271" t="s">
        <v>2852</v>
      </c>
      <c r="E3271" t="s">
        <v>3786</v>
      </c>
    </row>
    <row r="3272" spans="1:5" x14ac:dyDescent="0.3">
      <c r="A3272" t="s">
        <v>4411</v>
      </c>
      <c r="B3272" t="s">
        <v>4412</v>
      </c>
      <c r="C3272" t="s">
        <v>2696</v>
      </c>
      <c r="D3272" t="s">
        <v>2696</v>
      </c>
      <c r="E3272" t="s">
        <v>4413</v>
      </c>
    </row>
    <row r="3273" spans="1:5" x14ac:dyDescent="0.3">
      <c r="A3273" t="s">
        <v>4435</v>
      </c>
      <c r="B3273" t="s">
        <v>4436</v>
      </c>
      <c r="C3273" t="s">
        <v>3983</v>
      </c>
      <c r="D3273" t="s">
        <v>3712</v>
      </c>
      <c r="E3273" t="s">
        <v>4437</v>
      </c>
    </row>
    <row r="3274" spans="1:5" x14ac:dyDescent="0.3">
      <c r="A3274" t="s">
        <v>1687</v>
      </c>
      <c r="B3274" t="s">
        <v>1688</v>
      </c>
      <c r="C3274" t="s">
        <v>1196</v>
      </c>
      <c r="D3274" t="s">
        <v>1088</v>
      </c>
      <c r="E3274" t="s">
        <v>1689</v>
      </c>
    </row>
    <row r="3275" spans="1:5" x14ac:dyDescent="0.3">
      <c r="A3275" t="s">
        <v>4946</v>
      </c>
      <c r="B3275" t="s">
        <v>4947</v>
      </c>
      <c r="C3275" t="s">
        <v>2703</v>
      </c>
      <c r="D3275" t="s">
        <v>2704</v>
      </c>
      <c r="E3275" t="s">
        <v>4948</v>
      </c>
    </row>
    <row r="3276" spans="1:5" x14ac:dyDescent="0.3">
      <c r="A3276" t="s">
        <v>5089</v>
      </c>
      <c r="B3276" t="s">
        <v>5090</v>
      </c>
      <c r="C3276" t="s">
        <v>2696</v>
      </c>
      <c r="D3276" t="s">
        <v>2696</v>
      </c>
      <c r="E3276" t="s">
        <v>5091</v>
      </c>
    </row>
    <row r="3277" spans="1:5" x14ac:dyDescent="0.3">
      <c r="A3277" t="s">
        <v>4969</v>
      </c>
      <c r="B3277" t="s">
        <v>4970</v>
      </c>
      <c r="C3277" t="s">
        <v>2696</v>
      </c>
      <c r="D3277" t="s">
        <v>2696</v>
      </c>
      <c r="E3277" t="s">
        <v>4971</v>
      </c>
    </row>
    <row r="3278" spans="1:5" x14ac:dyDescent="0.3">
      <c r="A3278" t="s">
        <v>3298</v>
      </c>
      <c r="B3278" t="s">
        <v>3299</v>
      </c>
      <c r="C3278" t="s">
        <v>2696</v>
      </c>
      <c r="D3278" t="s">
        <v>2696</v>
      </c>
      <c r="E3278" t="s">
        <v>3300</v>
      </c>
    </row>
    <row r="3279" spans="1:5" x14ac:dyDescent="0.3">
      <c r="A3279" t="s">
        <v>3321</v>
      </c>
      <c r="B3279" t="s">
        <v>3322</v>
      </c>
      <c r="C3279" t="s">
        <v>2696</v>
      </c>
      <c r="D3279" t="s">
        <v>2696</v>
      </c>
      <c r="E3279" t="s">
        <v>3323</v>
      </c>
    </row>
    <row r="3280" spans="1:5" x14ac:dyDescent="0.3">
      <c r="A3280" t="s">
        <v>4457</v>
      </c>
      <c r="B3280" t="s">
        <v>4458</v>
      </c>
      <c r="C3280" t="s">
        <v>4167</v>
      </c>
      <c r="D3280" t="s">
        <v>2852</v>
      </c>
      <c r="E3280" t="s">
        <v>4459</v>
      </c>
    </row>
    <row r="3281" spans="1:5" x14ac:dyDescent="0.3">
      <c r="A3281" t="s">
        <v>4482</v>
      </c>
      <c r="B3281" t="s">
        <v>4483</v>
      </c>
      <c r="C3281" t="s">
        <v>4086</v>
      </c>
      <c r="D3281" t="s">
        <v>2704</v>
      </c>
      <c r="E3281" t="s">
        <v>4484</v>
      </c>
    </row>
    <row r="3282" spans="1:5" x14ac:dyDescent="0.3">
      <c r="A3282" t="s">
        <v>4991</v>
      </c>
      <c r="B3282" t="s">
        <v>3726</v>
      </c>
      <c r="C3282" t="s">
        <v>2696</v>
      </c>
      <c r="D3282" t="s">
        <v>2696</v>
      </c>
      <c r="E3282" t="s">
        <v>4992</v>
      </c>
    </row>
    <row r="3283" spans="1:5" x14ac:dyDescent="0.3">
      <c r="A3283" t="s">
        <v>5013</v>
      </c>
      <c r="B3283" t="s">
        <v>3367</v>
      </c>
      <c r="C3283" t="s">
        <v>2696</v>
      </c>
      <c r="D3283" t="s">
        <v>2696</v>
      </c>
      <c r="E3283" t="s">
        <v>5014</v>
      </c>
    </row>
    <row r="3284" spans="1:5" x14ac:dyDescent="0.3">
      <c r="A3284" t="s">
        <v>3808</v>
      </c>
      <c r="B3284" t="s">
        <v>3809</v>
      </c>
      <c r="C3284" t="s">
        <v>3768</v>
      </c>
      <c r="D3284" t="s">
        <v>2852</v>
      </c>
      <c r="E3284" t="s">
        <v>3810</v>
      </c>
    </row>
    <row r="3285" spans="1:5" x14ac:dyDescent="0.3">
      <c r="A3285" t="s">
        <v>3832</v>
      </c>
      <c r="B3285" t="s">
        <v>3833</v>
      </c>
      <c r="C3285" t="s">
        <v>3768</v>
      </c>
      <c r="D3285" t="s">
        <v>2852</v>
      </c>
      <c r="E3285" t="s">
        <v>3834</v>
      </c>
    </row>
    <row r="3286" spans="1:5" x14ac:dyDescent="0.3">
      <c r="A3286" t="s">
        <v>5036</v>
      </c>
      <c r="B3286" t="s">
        <v>5037</v>
      </c>
      <c r="C3286" t="s">
        <v>2696</v>
      </c>
      <c r="D3286" t="s">
        <v>2696</v>
      </c>
      <c r="E3286" t="s">
        <v>5038</v>
      </c>
    </row>
    <row r="3287" spans="1:5" x14ac:dyDescent="0.3">
      <c r="A3287" t="s">
        <v>5060</v>
      </c>
      <c r="B3287" t="s">
        <v>5061</v>
      </c>
      <c r="C3287" t="s">
        <v>2696</v>
      </c>
      <c r="D3287" t="s">
        <v>2696</v>
      </c>
      <c r="E3287" t="s">
        <v>5062</v>
      </c>
    </row>
    <row r="3288" spans="1:5" x14ac:dyDescent="0.3">
      <c r="A3288" t="s">
        <v>3933</v>
      </c>
      <c r="B3288" t="s">
        <v>3934</v>
      </c>
      <c r="C3288" t="s">
        <v>3936</v>
      </c>
      <c r="D3288" t="s">
        <v>3712</v>
      </c>
      <c r="E3288" t="s">
        <v>3935</v>
      </c>
    </row>
    <row r="3289" spans="1:5" x14ac:dyDescent="0.3">
      <c r="A3289" t="s">
        <v>1122</v>
      </c>
      <c r="B3289" t="s">
        <v>1123</v>
      </c>
      <c r="C3289" t="s">
        <v>1115</v>
      </c>
      <c r="D3289" t="s">
        <v>1111</v>
      </c>
      <c r="E3289" t="s">
        <v>1124</v>
      </c>
    </row>
    <row r="3290" spans="1:5" x14ac:dyDescent="0.3">
      <c r="A3290" t="s">
        <v>4488</v>
      </c>
      <c r="B3290" t="s">
        <v>4489</v>
      </c>
      <c r="C3290" t="s">
        <v>3946</v>
      </c>
      <c r="D3290" t="s">
        <v>2709</v>
      </c>
      <c r="E3290" t="s">
        <v>4490</v>
      </c>
    </row>
    <row r="3291" spans="1:5" x14ac:dyDescent="0.3">
      <c r="A3291" t="s">
        <v>4512</v>
      </c>
      <c r="B3291" t="s">
        <v>4513</v>
      </c>
      <c r="C3291" t="s">
        <v>4229</v>
      </c>
      <c r="D3291" t="s">
        <v>2841</v>
      </c>
      <c r="E3291" t="s">
        <v>4514</v>
      </c>
    </row>
    <row r="3292" spans="1:5" x14ac:dyDescent="0.3">
      <c r="A3292" t="s">
        <v>5083</v>
      </c>
      <c r="B3292" t="s">
        <v>5084</v>
      </c>
      <c r="C3292" t="s">
        <v>2696</v>
      </c>
      <c r="D3292" t="s">
        <v>2696</v>
      </c>
      <c r="E3292" t="s">
        <v>5085</v>
      </c>
    </row>
    <row r="3293" spans="1:5" x14ac:dyDescent="0.3">
      <c r="A3293" t="s">
        <v>5106</v>
      </c>
      <c r="B3293" t="s">
        <v>2823</v>
      </c>
      <c r="C3293" t="s">
        <v>2696</v>
      </c>
      <c r="D3293" t="s">
        <v>2696</v>
      </c>
      <c r="E3293" t="s">
        <v>5107</v>
      </c>
    </row>
    <row r="3294" spans="1:5" x14ac:dyDescent="0.3">
      <c r="A3294" t="s">
        <v>3857</v>
      </c>
      <c r="B3294" t="s">
        <v>3858</v>
      </c>
      <c r="C3294" t="s">
        <v>3860</v>
      </c>
      <c r="D3294" t="s">
        <v>2704</v>
      </c>
      <c r="E3294" t="s">
        <v>3859</v>
      </c>
    </row>
    <row r="3295" spans="1:5" x14ac:dyDescent="0.3">
      <c r="A3295" t="s">
        <v>3882</v>
      </c>
      <c r="B3295" t="s">
        <v>3883</v>
      </c>
      <c r="C3295" t="s">
        <v>3860</v>
      </c>
      <c r="D3295" t="s">
        <v>2704</v>
      </c>
      <c r="E3295" t="s">
        <v>3884</v>
      </c>
    </row>
    <row r="3296" spans="1:5" x14ac:dyDescent="0.3">
      <c r="A3296" t="s">
        <v>5111</v>
      </c>
      <c r="B3296" t="s">
        <v>5112</v>
      </c>
      <c r="C3296" t="s">
        <v>2696</v>
      </c>
      <c r="D3296" t="s">
        <v>2696</v>
      </c>
      <c r="E3296" t="s">
        <v>5113</v>
      </c>
    </row>
    <row r="3297" spans="1:5" x14ac:dyDescent="0.3">
      <c r="A3297" t="s">
        <v>5135</v>
      </c>
      <c r="B3297" t="s">
        <v>5136</v>
      </c>
      <c r="C3297" t="s">
        <v>2696</v>
      </c>
      <c r="D3297" t="s">
        <v>2696</v>
      </c>
      <c r="E3297" t="s">
        <v>5137</v>
      </c>
    </row>
    <row r="3298" spans="1:5" x14ac:dyDescent="0.3">
      <c r="A3298" t="s">
        <v>3345</v>
      </c>
      <c r="B3298" t="s">
        <v>3346</v>
      </c>
      <c r="C3298" t="s">
        <v>2696</v>
      </c>
      <c r="D3298" t="s">
        <v>2696</v>
      </c>
      <c r="E3298" t="s">
        <v>3347</v>
      </c>
    </row>
    <row r="3299" spans="1:5" x14ac:dyDescent="0.3">
      <c r="A3299" t="s">
        <v>3369</v>
      </c>
      <c r="B3299" t="s">
        <v>3370</v>
      </c>
      <c r="C3299" t="s">
        <v>2696</v>
      </c>
      <c r="D3299" t="s">
        <v>2696</v>
      </c>
      <c r="E3299" t="s">
        <v>3371</v>
      </c>
    </row>
    <row r="3300" spans="1:5" x14ac:dyDescent="0.3">
      <c r="A3300" t="s">
        <v>1134</v>
      </c>
      <c r="B3300" t="s">
        <v>1135</v>
      </c>
      <c r="C3300" t="s">
        <v>1115</v>
      </c>
      <c r="D3300" t="s">
        <v>1111</v>
      </c>
      <c r="E3300" t="s">
        <v>1136</v>
      </c>
    </row>
    <row r="3301" spans="1:5" x14ac:dyDescent="0.3">
      <c r="A3301" t="s">
        <v>1144</v>
      </c>
      <c r="B3301" t="s">
        <v>1145</v>
      </c>
      <c r="C3301" t="s">
        <v>1115</v>
      </c>
      <c r="D3301" t="s">
        <v>1111</v>
      </c>
      <c r="E3301" t="s">
        <v>1146</v>
      </c>
    </row>
    <row r="3302" spans="1:5" x14ac:dyDescent="0.3">
      <c r="A3302" t="s">
        <v>5129</v>
      </c>
      <c r="B3302" t="s">
        <v>5130</v>
      </c>
      <c r="C3302" t="s">
        <v>2696</v>
      </c>
      <c r="D3302" t="s">
        <v>2696</v>
      </c>
      <c r="E3302" t="s">
        <v>5131</v>
      </c>
    </row>
    <row r="3303" spans="1:5" x14ac:dyDescent="0.3">
      <c r="A3303" t="s">
        <v>5153</v>
      </c>
      <c r="B3303" t="s">
        <v>5154</v>
      </c>
      <c r="C3303" t="s">
        <v>2696</v>
      </c>
      <c r="D3303" t="s">
        <v>2696</v>
      </c>
      <c r="E3303" t="s">
        <v>5155</v>
      </c>
    </row>
    <row r="3304" spans="1:5" x14ac:dyDescent="0.3">
      <c r="A3304" t="s">
        <v>1378</v>
      </c>
      <c r="B3304" t="s">
        <v>1379</v>
      </c>
      <c r="C3304" t="s">
        <v>1087</v>
      </c>
      <c r="D3304" t="s">
        <v>1088</v>
      </c>
      <c r="E3304" t="s">
        <v>1380</v>
      </c>
    </row>
    <row r="3305" spans="1:5" x14ac:dyDescent="0.3">
      <c r="A3305" t="s">
        <v>5159</v>
      </c>
      <c r="B3305" t="s">
        <v>5160</v>
      </c>
      <c r="C3305" t="s">
        <v>2696</v>
      </c>
      <c r="D3305" t="s">
        <v>2696</v>
      </c>
      <c r="E3305" t="s">
        <v>5161</v>
      </c>
    </row>
    <row r="3306" spans="1:5" x14ac:dyDescent="0.3">
      <c r="A3306" t="s">
        <v>5182</v>
      </c>
      <c r="B3306" t="s">
        <v>5183</v>
      </c>
      <c r="C3306" t="s">
        <v>2696</v>
      </c>
      <c r="D3306" t="s">
        <v>2696</v>
      </c>
      <c r="E3306" t="s">
        <v>5184</v>
      </c>
    </row>
    <row r="3307" spans="1:5" x14ac:dyDescent="0.3">
      <c r="A3307" t="s">
        <v>3392</v>
      </c>
      <c r="B3307" t="s">
        <v>3393</v>
      </c>
      <c r="C3307" t="s">
        <v>2696</v>
      </c>
      <c r="D3307" t="s">
        <v>2696</v>
      </c>
      <c r="E3307" t="s">
        <v>3394</v>
      </c>
    </row>
    <row r="3308" spans="1:5" x14ac:dyDescent="0.3">
      <c r="A3308" t="s">
        <v>3416</v>
      </c>
      <c r="B3308" t="s">
        <v>3417</v>
      </c>
      <c r="C3308" t="s">
        <v>2696</v>
      </c>
      <c r="D3308" t="s">
        <v>2696</v>
      </c>
      <c r="E3308" t="s">
        <v>3418</v>
      </c>
    </row>
    <row r="3309" spans="1:5" x14ac:dyDescent="0.3">
      <c r="A3309" t="s">
        <v>3968</v>
      </c>
      <c r="B3309" t="s">
        <v>3969</v>
      </c>
      <c r="C3309" t="s">
        <v>2851</v>
      </c>
      <c r="D3309" t="s">
        <v>2852</v>
      </c>
      <c r="E3309" t="s">
        <v>3970</v>
      </c>
    </row>
    <row r="3310" spans="1:5" x14ac:dyDescent="0.3">
      <c r="A3310" t="s">
        <v>3993</v>
      </c>
      <c r="B3310" t="s">
        <v>3994</v>
      </c>
      <c r="C3310" t="s">
        <v>2851</v>
      </c>
      <c r="D3310" t="s">
        <v>2852</v>
      </c>
      <c r="E3310" t="s">
        <v>3995</v>
      </c>
    </row>
    <row r="3311" spans="1:5" x14ac:dyDescent="0.3">
      <c r="A3311" t="s">
        <v>3907</v>
      </c>
      <c r="B3311" t="s">
        <v>3908</v>
      </c>
      <c r="C3311" t="s">
        <v>3906</v>
      </c>
      <c r="D3311" t="s">
        <v>133</v>
      </c>
      <c r="E3311" t="s">
        <v>3909</v>
      </c>
    </row>
    <row r="3312" spans="1:5" x14ac:dyDescent="0.3">
      <c r="A3312" t="s">
        <v>3916</v>
      </c>
      <c r="B3312" t="s">
        <v>3917</v>
      </c>
      <c r="C3312" t="s">
        <v>2851</v>
      </c>
      <c r="D3312" t="s">
        <v>2852</v>
      </c>
      <c r="E3312" t="s">
        <v>3918</v>
      </c>
    </row>
    <row r="3313" spans="1:5" x14ac:dyDescent="0.3">
      <c r="A3313" t="s">
        <v>4536</v>
      </c>
      <c r="B3313" t="s">
        <v>4537</v>
      </c>
      <c r="C3313" t="s">
        <v>2840</v>
      </c>
      <c r="D3313" t="s">
        <v>2841</v>
      </c>
      <c r="E3313" t="s">
        <v>4538</v>
      </c>
    </row>
    <row r="3314" spans="1:5" x14ac:dyDescent="0.3">
      <c r="A3314" t="s">
        <v>4560</v>
      </c>
      <c r="B3314" t="s">
        <v>4561</v>
      </c>
      <c r="C3314" t="s">
        <v>2840</v>
      </c>
      <c r="D3314" t="s">
        <v>2841</v>
      </c>
      <c r="E3314" t="s">
        <v>4562</v>
      </c>
    </row>
    <row r="3315" spans="1:5" x14ac:dyDescent="0.3">
      <c r="A3315" t="s">
        <v>4017</v>
      </c>
      <c r="B3315" t="s">
        <v>4018</v>
      </c>
      <c r="C3315" t="s">
        <v>3093</v>
      </c>
      <c r="D3315" t="s">
        <v>2852</v>
      </c>
      <c r="E3315" t="s">
        <v>4019</v>
      </c>
    </row>
    <row r="3316" spans="1:5" x14ac:dyDescent="0.3">
      <c r="A3316" t="s">
        <v>4040</v>
      </c>
      <c r="B3316" t="s">
        <v>4041</v>
      </c>
      <c r="C3316" t="s">
        <v>3093</v>
      </c>
      <c r="D3316" t="s">
        <v>2852</v>
      </c>
      <c r="E3316" t="s">
        <v>4042</v>
      </c>
    </row>
    <row r="3317" spans="1:5" x14ac:dyDescent="0.3">
      <c r="A3317" t="s">
        <v>4927</v>
      </c>
      <c r="B3317" t="s">
        <v>4928</v>
      </c>
      <c r="C3317" t="s">
        <v>3906</v>
      </c>
      <c r="D3317" t="s">
        <v>133</v>
      </c>
      <c r="E3317" t="s">
        <v>4929</v>
      </c>
    </row>
    <row r="3318" spans="1:5" x14ac:dyDescent="0.3">
      <c r="A3318" t="s">
        <v>1399</v>
      </c>
      <c r="B3318" t="s">
        <v>1400</v>
      </c>
      <c r="C3318" t="s">
        <v>1196</v>
      </c>
      <c r="D3318" t="s">
        <v>1088</v>
      </c>
      <c r="E3318" t="s">
        <v>1401</v>
      </c>
    </row>
    <row r="3319" spans="1:5" x14ac:dyDescent="0.3">
      <c r="A3319" t="s">
        <v>5205</v>
      </c>
      <c r="B3319" t="s">
        <v>5206</v>
      </c>
      <c r="C3319" t="s">
        <v>2696</v>
      </c>
      <c r="D3319" t="s">
        <v>2696</v>
      </c>
      <c r="E3319" t="s">
        <v>5207</v>
      </c>
    </row>
    <row r="3320" spans="1:5" x14ac:dyDescent="0.3">
      <c r="A3320" t="s">
        <v>5229</v>
      </c>
      <c r="B3320" t="s">
        <v>4328</v>
      </c>
      <c r="C3320" t="s">
        <v>2696</v>
      </c>
      <c r="D3320" t="s">
        <v>2696</v>
      </c>
      <c r="E3320" t="s">
        <v>5230</v>
      </c>
    </row>
    <row r="3321" spans="1:5" x14ac:dyDescent="0.3">
      <c r="A3321" t="s">
        <v>3940</v>
      </c>
      <c r="B3321" t="s">
        <v>3941</v>
      </c>
      <c r="C3321" t="s">
        <v>3936</v>
      </c>
      <c r="D3321" t="s">
        <v>3712</v>
      </c>
      <c r="E3321" t="s">
        <v>3942</v>
      </c>
    </row>
    <row r="3322" spans="1:5" x14ac:dyDescent="0.3">
      <c r="A3322" t="s">
        <v>1258</v>
      </c>
      <c r="B3322" t="s">
        <v>1259</v>
      </c>
      <c r="C3322" t="s">
        <v>1115</v>
      </c>
      <c r="D3322" t="s">
        <v>1111</v>
      </c>
      <c r="E3322" t="s">
        <v>1260</v>
      </c>
    </row>
    <row r="3323" spans="1:5" x14ac:dyDescent="0.3">
      <c r="A3323" t="s">
        <v>4583</v>
      </c>
      <c r="B3323" t="s">
        <v>4584</v>
      </c>
      <c r="C3323" t="s">
        <v>2840</v>
      </c>
      <c r="D3323" t="s">
        <v>2841</v>
      </c>
      <c r="E3323" t="s">
        <v>4585</v>
      </c>
    </row>
    <row r="3324" spans="1:5" x14ac:dyDescent="0.3">
      <c r="A3324" t="s">
        <v>4607</v>
      </c>
      <c r="B3324" t="s">
        <v>4608</v>
      </c>
      <c r="C3324" t="s">
        <v>4595</v>
      </c>
      <c r="D3324" t="s">
        <v>133</v>
      </c>
      <c r="E3324" t="s">
        <v>4609</v>
      </c>
    </row>
    <row r="3325" spans="1:5" x14ac:dyDescent="0.3">
      <c r="A3325" t="s">
        <v>4064</v>
      </c>
      <c r="B3325" t="s">
        <v>4065</v>
      </c>
      <c r="C3325" t="s">
        <v>3093</v>
      </c>
      <c r="D3325" t="s">
        <v>2852</v>
      </c>
      <c r="E3325" t="s">
        <v>4066</v>
      </c>
    </row>
    <row r="3326" spans="1:5" x14ac:dyDescent="0.3">
      <c r="A3326" t="s">
        <v>7513</v>
      </c>
      <c r="B3326" t="s">
        <v>7514</v>
      </c>
      <c r="C3326" t="s">
        <v>2696</v>
      </c>
      <c r="D3326" t="s">
        <v>2696</v>
      </c>
      <c r="E3326" t="s">
        <v>7515</v>
      </c>
    </row>
    <row r="3327" spans="1:5" x14ac:dyDescent="0.3">
      <c r="A3327" t="s">
        <v>3943</v>
      </c>
      <c r="B3327" t="s">
        <v>3944</v>
      </c>
      <c r="C3327" t="s">
        <v>3946</v>
      </c>
      <c r="D3327" t="s">
        <v>2709</v>
      </c>
      <c r="E3327" t="s">
        <v>3945</v>
      </c>
    </row>
    <row r="3328" spans="1:5" x14ac:dyDescent="0.3">
      <c r="A3328" t="s">
        <v>3950</v>
      </c>
      <c r="B3328" t="s">
        <v>3951</v>
      </c>
      <c r="C3328" t="s">
        <v>2851</v>
      </c>
      <c r="D3328" t="s">
        <v>2852</v>
      </c>
      <c r="E3328" t="s">
        <v>3952</v>
      </c>
    </row>
    <row r="3329" spans="1:5" x14ac:dyDescent="0.3">
      <c r="A3329" t="s">
        <v>4949</v>
      </c>
      <c r="B3329" t="s">
        <v>4950</v>
      </c>
      <c r="C3329" t="s">
        <v>2703</v>
      </c>
      <c r="D3329" t="s">
        <v>2704</v>
      </c>
      <c r="E3329" t="s">
        <v>4951</v>
      </c>
    </row>
    <row r="3330" spans="1:5" x14ac:dyDescent="0.3">
      <c r="A3330" t="s">
        <v>4972</v>
      </c>
      <c r="B3330" t="s">
        <v>4973</v>
      </c>
      <c r="C3330" t="s">
        <v>2696</v>
      </c>
      <c r="D3330" t="s">
        <v>2696</v>
      </c>
      <c r="E3330" t="s">
        <v>4974</v>
      </c>
    </row>
    <row r="3331" spans="1:5" x14ac:dyDescent="0.3">
      <c r="A3331" t="s">
        <v>3440</v>
      </c>
      <c r="B3331" t="s">
        <v>3441</v>
      </c>
      <c r="C3331" t="s">
        <v>2696</v>
      </c>
      <c r="D3331" t="s">
        <v>2696</v>
      </c>
      <c r="E3331" t="s">
        <v>3442</v>
      </c>
    </row>
    <row r="3332" spans="1:5" x14ac:dyDescent="0.3">
      <c r="A3332" t="s">
        <v>3463</v>
      </c>
      <c r="B3332" t="s">
        <v>3464</v>
      </c>
      <c r="C3332" t="s">
        <v>2696</v>
      </c>
      <c r="D3332" t="s">
        <v>2696</v>
      </c>
      <c r="E3332" t="s">
        <v>3465</v>
      </c>
    </row>
    <row r="3333" spans="1:5" x14ac:dyDescent="0.3">
      <c r="A3333" t="s">
        <v>1178</v>
      </c>
      <c r="B3333" t="s">
        <v>1179</v>
      </c>
      <c r="C3333" t="s">
        <v>1140</v>
      </c>
      <c r="D3333" t="s">
        <v>1088</v>
      </c>
      <c r="E3333" t="s">
        <v>1180</v>
      </c>
    </row>
    <row r="3334" spans="1:5" x14ac:dyDescent="0.3">
      <c r="A3334" t="s">
        <v>1181</v>
      </c>
      <c r="B3334" t="s">
        <v>1182</v>
      </c>
      <c r="C3334" t="s">
        <v>1140</v>
      </c>
      <c r="D3334" t="s">
        <v>1088</v>
      </c>
      <c r="E3334" t="s">
        <v>1183</v>
      </c>
    </row>
    <row r="3335" spans="1:5" x14ac:dyDescent="0.3">
      <c r="A3335" t="s">
        <v>1309</v>
      </c>
      <c r="B3335" t="s">
        <v>1310</v>
      </c>
      <c r="C3335" t="s">
        <v>1209</v>
      </c>
      <c r="D3335" t="s">
        <v>1088</v>
      </c>
      <c r="E3335" t="s">
        <v>1311</v>
      </c>
    </row>
    <row r="3336" spans="1:5" x14ac:dyDescent="0.3">
      <c r="A3336" t="s">
        <v>4629</v>
      </c>
      <c r="B3336" t="s">
        <v>4630</v>
      </c>
      <c r="C3336" t="s">
        <v>4625</v>
      </c>
      <c r="D3336" t="s">
        <v>133</v>
      </c>
      <c r="E3336" t="s">
        <v>4631</v>
      </c>
    </row>
    <row r="3337" spans="1:5" x14ac:dyDescent="0.3">
      <c r="A3337" t="s">
        <v>3974</v>
      </c>
      <c r="B3337" t="s">
        <v>3975</v>
      </c>
      <c r="C3337" t="s">
        <v>2851</v>
      </c>
      <c r="D3337" t="s">
        <v>2852</v>
      </c>
      <c r="E3337" t="s">
        <v>3976</v>
      </c>
    </row>
    <row r="3338" spans="1:5" x14ac:dyDescent="0.3">
      <c r="A3338" t="s">
        <v>4993</v>
      </c>
      <c r="B3338" t="s">
        <v>4994</v>
      </c>
      <c r="C3338" t="s">
        <v>2696</v>
      </c>
      <c r="D3338" t="s">
        <v>2696</v>
      </c>
      <c r="E3338" t="s">
        <v>4995</v>
      </c>
    </row>
    <row r="3339" spans="1:5" x14ac:dyDescent="0.3">
      <c r="A3339" t="s">
        <v>5015</v>
      </c>
      <c r="B3339" t="s">
        <v>5016</v>
      </c>
      <c r="C3339" t="s">
        <v>2696</v>
      </c>
      <c r="D3339" t="s">
        <v>2696</v>
      </c>
      <c r="E3339" t="s">
        <v>5017</v>
      </c>
    </row>
    <row r="3340" spans="1:5" x14ac:dyDescent="0.3">
      <c r="A3340" t="s">
        <v>3485</v>
      </c>
      <c r="B3340" t="s">
        <v>3486</v>
      </c>
      <c r="C3340" t="s">
        <v>2696</v>
      </c>
      <c r="D3340" t="s">
        <v>2696</v>
      </c>
      <c r="E3340" t="s">
        <v>3487</v>
      </c>
    </row>
    <row r="3341" spans="1:5" x14ac:dyDescent="0.3">
      <c r="A3341" t="s">
        <v>3509</v>
      </c>
      <c r="B3341" t="s">
        <v>3510</v>
      </c>
      <c r="C3341" t="s">
        <v>2696</v>
      </c>
      <c r="D3341" t="s">
        <v>2696</v>
      </c>
      <c r="E3341" t="s">
        <v>3511</v>
      </c>
    </row>
    <row r="3342" spans="1:5" x14ac:dyDescent="0.3">
      <c r="A3342" t="s">
        <v>1187</v>
      </c>
      <c r="B3342" t="s">
        <v>1188</v>
      </c>
      <c r="C3342" t="s">
        <v>1153</v>
      </c>
      <c r="D3342" t="s">
        <v>1088</v>
      </c>
      <c r="E3342" t="s">
        <v>1189</v>
      </c>
    </row>
    <row r="3343" spans="1:5" x14ac:dyDescent="0.3">
      <c r="A3343" t="s">
        <v>4090</v>
      </c>
      <c r="B3343" t="s">
        <v>4091</v>
      </c>
      <c r="C3343" t="s">
        <v>3758</v>
      </c>
      <c r="D3343" t="s">
        <v>3712</v>
      </c>
      <c r="E3343" t="s">
        <v>4092</v>
      </c>
    </row>
    <row r="3344" spans="1:5" x14ac:dyDescent="0.3">
      <c r="A3344" t="s">
        <v>5039</v>
      </c>
      <c r="B3344" t="s">
        <v>5040</v>
      </c>
      <c r="C3344" t="s">
        <v>2696</v>
      </c>
      <c r="D3344" t="s">
        <v>2696</v>
      </c>
      <c r="E3344" t="s">
        <v>5041</v>
      </c>
    </row>
    <row r="3345" spans="1:5" x14ac:dyDescent="0.3">
      <c r="A3345" t="s">
        <v>5063</v>
      </c>
      <c r="B3345" t="s">
        <v>5064</v>
      </c>
      <c r="C3345" t="s">
        <v>2696</v>
      </c>
      <c r="D3345" t="s">
        <v>2696</v>
      </c>
      <c r="E3345" t="s">
        <v>5065</v>
      </c>
    </row>
    <row r="3346" spans="1:5" x14ac:dyDescent="0.3">
      <c r="A3346" t="s">
        <v>4652</v>
      </c>
      <c r="B3346" t="s">
        <v>4653</v>
      </c>
      <c r="C3346" t="s">
        <v>4649</v>
      </c>
      <c r="D3346" t="s">
        <v>3712</v>
      </c>
      <c r="E3346" t="s">
        <v>4654</v>
      </c>
    </row>
    <row r="3347" spans="1:5" x14ac:dyDescent="0.3">
      <c r="A3347" t="s">
        <v>1312</v>
      </c>
      <c r="B3347" t="s">
        <v>1313</v>
      </c>
      <c r="C3347" t="s">
        <v>1110</v>
      </c>
      <c r="D3347" t="s">
        <v>1111</v>
      </c>
      <c r="E3347" t="s">
        <v>1314</v>
      </c>
    </row>
    <row r="3348" spans="1:5" x14ac:dyDescent="0.3">
      <c r="A3348" t="s">
        <v>3999</v>
      </c>
      <c r="B3348" t="s">
        <v>4000</v>
      </c>
      <c r="C3348" t="s">
        <v>3093</v>
      </c>
      <c r="D3348" t="s">
        <v>2852</v>
      </c>
      <c r="E3348" t="s">
        <v>4001</v>
      </c>
    </row>
    <row r="3349" spans="1:5" x14ac:dyDescent="0.3">
      <c r="A3349" t="s">
        <v>4023</v>
      </c>
      <c r="B3349" t="s">
        <v>2747</v>
      </c>
      <c r="C3349" t="s">
        <v>3093</v>
      </c>
      <c r="D3349" t="s">
        <v>2852</v>
      </c>
      <c r="E3349" t="s">
        <v>4024</v>
      </c>
    </row>
    <row r="3350" spans="1:5" x14ac:dyDescent="0.3">
      <c r="A3350" t="s">
        <v>5086</v>
      </c>
      <c r="B3350" t="s">
        <v>5087</v>
      </c>
      <c r="C3350" t="s">
        <v>2696</v>
      </c>
      <c r="D3350" t="s">
        <v>2696</v>
      </c>
      <c r="E3350" t="s">
        <v>5088</v>
      </c>
    </row>
    <row r="3351" spans="1:5" x14ac:dyDescent="0.3">
      <c r="A3351" t="s">
        <v>5108</v>
      </c>
      <c r="B3351" t="s">
        <v>5109</v>
      </c>
      <c r="C3351" t="s">
        <v>2696</v>
      </c>
      <c r="D3351" t="s">
        <v>2696</v>
      </c>
      <c r="E3351" t="s">
        <v>5110</v>
      </c>
    </row>
    <row r="3352" spans="1:5" x14ac:dyDescent="0.3">
      <c r="A3352" t="s">
        <v>3532</v>
      </c>
      <c r="B3352" t="s">
        <v>3533</v>
      </c>
      <c r="C3352" t="s">
        <v>2696</v>
      </c>
      <c r="D3352" t="s">
        <v>2696</v>
      </c>
      <c r="E3352" t="s">
        <v>3534</v>
      </c>
    </row>
    <row r="3353" spans="1:5" x14ac:dyDescent="0.3">
      <c r="A3353" t="s">
        <v>3556</v>
      </c>
      <c r="B3353" t="s">
        <v>3557</v>
      </c>
      <c r="C3353" t="s">
        <v>2696</v>
      </c>
      <c r="D3353" t="s">
        <v>2696</v>
      </c>
      <c r="E3353" t="s">
        <v>3558</v>
      </c>
    </row>
    <row r="3354" spans="1:5" x14ac:dyDescent="0.3">
      <c r="A3354" t="s">
        <v>4113</v>
      </c>
      <c r="B3354" t="s">
        <v>4114</v>
      </c>
      <c r="C3354" t="s">
        <v>3758</v>
      </c>
      <c r="D3354" t="s">
        <v>3712</v>
      </c>
      <c r="E3354" t="s">
        <v>4115</v>
      </c>
    </row>
    <row r="3355" spans="1:5" x14ac:dyDescent="0.3">
      <c r="A3355" t="s">
        <v>4137</v>
      </c>
      <c r="B3355" t="s">
        <v>4138</v>
      </c>
      <c r="C3355" t="s">
        <v>3946</v>
      </c>
      <c r="D3355" t="s">
        <v>2709</v>
      </c>
      <c r="E3355" t="s">
        <v>4139</v>
      </c>
    </row>
    <row r="3356" spans="1:5" x14ac:dyDescent="0.3">
      <c r="A3356" t="s">
        <v>7232</v>
      </c>
      <c r="B3356" t="s">
        <v>6611</v>
      </c>
      <c r="C3356" t="s">
        <v>3768</v>
      </c>
      <c r="D3356" t="s">
        <v>2852</v>
      </c>
      <c r="E3356" t="s">
        <v>7233</v>
      </c>
    </row>
    <row r="3357" spans="1:5" x14ac:dyDescent="0.3">
      <c r="A3357" t="s">
        <v>7254</v>
      </c>
      <c r="B3357" t="s">
        <v>2313</v>
      </c>
      <c r="C3357" t="s">
        <v>3768</v>
      </c>
      <c r="D3357" t="s">
        <v>2852</v>
      </c>
      <c r="E3357" t="s">
        <v>7255</v>
      </c>
    </row>
    <row r="3358" spans="1:5" x14ac:dyDescent="0.3">
      <c r="A3358" t="s">
        <v>5176</v>
      </c>
      <c r="B3358" t="s">
        <v>5177</v>
      </c>
      <c r="C3358" t="s">
        <v>2696</v>
      </c>
      <c r="D3358" t="s">
        <v>2696</v>
      </c>
      <c r="E3358" t="s">
        <v>5178</v>
      </c>
    </row>
    <row r="3359" spans="1:5" x14ac:dyDescent="0.3">
      <c r="A3359" t="s">
        <v>5199</v>
      </c>
      <c r="B3359" t="s">
        <v>5200</v>
      </c>
      <c r="C3359" t="s">
        <v>2696</v>
      </c>
      <c r="D3359" t="s">
        <v>2696</v>
      </c>
      <c r="E3359" t="s">
        <v>5201</v>
      </c>
    </row>
    <row r="3360" spans="1:5" x14ac:dyDescent="0.3">
      <c r="A3360" t="s">
        <v>5132</v>
      </c>
      <c r="B3360" t="s">
        <v>5133</v>
      </c>
      <c r="C3360" t="s">
        <v>2696</v>
      </c>
      <c r="D3360" t="s">
        <v>2696</v>
      </c>
      <c r="E3360" t="s">
        <v>5134</v>
      </c>
    </row>
    <row r="3361" spans="1:5" x14ac:dyDescent="0.3">
      <c r="A3361" t="s">
        <v>3580</v>
      </c>
      <c r="B3361" t="s">
        <v>3581</v>
      </c>
      <c r="C3361" t="s">
        <v>2696</v>
      </c>
      <c r="D3361" t="s">
        <v>2696</v>
      </c>
      <c r="E3361" t="s">
        <v>3582</v>
      </c>
    </row>
    <row r="3362" spans="1:5" x14ac:dyDescent="0.3">
      <c r="A3362" t="s">
        <v>3604</v>
      </c>
      <c r="B3362" t="s">
        <v>3605</v>
      </c>
      <c r="C3362" t="s">
        <v>2696</v>
      </c>
      <c r="D3362" t="s">
        <v>2696</v>
      </c>
      <c r="E3362" t="s">
        <v>3606</v>
      </c>
    </row>
    <row r="3363" spans="1:5" x14ac:dyDescent="0.3">
      <c r="A3363" t="s">
        <v>4161</v>
      </c>
      <c r="B3363" t="s">
        <v>4162</v>
      </c>
      <c r="C3363" t="s">
        <v>3946</v>
      </c>
      <c r="D3363" t="s">
        <v>2709</v>
      </c>
      <c r="E3363" t="s">
        <v>4163</v>
      </c>
    </row>
    <row r="3364" spans="1:5" x14ac:dyDescent="0.3">
      <c r="A3364" t="s">
        <v>1228</v>
      </c>
      <c r="B3364" t="s">
        <v>1229</v>
      </c>
      <c r="C3364" t="s">
        <v>1110</v>
      </c>
      <c r="D3364" t="s">
        <v>1111</v>
      </c>
      <c r="E3364" t="s">
        <v>1230</v>
      </c>
    </row>
    <row r="3365" spans="1:5" x14ac:dyDescent="0.3">
      <c r="A3365" t="s">
        <v>4046</v>
      </c>
      <c r="B3365" t="s">
        <v>4047</v>
      </c>
      <c r="C3365" t="s">
        <v>3093</v>
      </c>
      <c r="D3365" t="s">
        <v>2852</v>
      </c>
      <c r="E3365" t="s">
        <v>4048</v>
      </c>
    </row>
    <row r="3366" spans="1:5" x14ac:dyDescent="0.3">
      <c r="A3366" t="s">
        <v>4070</v>
      </c>
      <c r="B3366" t="s">
        <v>2513</v>
      </c>
      <c r="C3366" t="s">
        <v>3093</v>
      </c>
      <c r="D3366" t="s">
        <v>2852</v>
      </c>
      <c r="E3366" t="s">
        <v>4071</v>
      </c>
    </row>
    <row r="3367" spans="1:5" x14ac:dyDescent="0.3">
      <c r="A3367" t="s">
        <v>7276</v>
      </c>
      <c r="B3367" t="s">
        <v>7277</v>
      </c>
      <c r="C3367" t="s">
        <v>3758</v>
      </c>
      <c r="D3367" t="s">
        <v>3712</v>
      </c>
      <c r="E3367" t="s">
        <v>7278</v>
      </c>
    </row>
    <row r="3368" spans="1:5" x14ac:dyDescent="0.3">
      <c r="A3368" t="s">
        <v>7300</v>
      </c>
      <c r="B3368" t="s">
        <v>7301</v>
      </c>
      <c r="C3368" t="s">
        <v>3758</v>
      </c>
      <c r="D3368" t="s">
        <v>3712</v>
      </c>
      <c r="E3368" t="s">
        <v>7302</v>
      </c>
    </row>
    <row r="3369" spans="1:5" x14ac:dyDescent="0.3">
      <c r="A3369" t="s">
        <v>3628</v>
      </c>
      <c r="B3369" t="s">
        <v>3629</v>
      </c>
      <c r="C3369" t="s">
        <v>2696</v>
      </c>
      <c r="D3369" t="s">
        <v>2696</v>
      </c>
      <c r="E3369" t="s">
        <v>3630</v>
      </c>
    </row>
    <row r="3370" spans="1:5" x14ac:dyDescent="0.3">
      <c r="A3370" t="s">
        <v>3651</v>
      </c>
      <c r="B3370" t="s">
        <v>3652</v>
      </c>
      <c r="C3370" t="s">
        <v>2696</v>
      </c>
      <c r="D3370" t="s">
        <v>2696</v>
      </c>
      <c r="E3370" t="s">
        <v>3653</v>
      </c>
    </row>
    <row r="3371" spans="1:5" x14ac:dyDescent="0.3">
      <c r="A3371" t="s">
        <v>5156</v>
      </c>
      <c r="B3371" t="s">
        <v>5157</v>
      </c>
      <c r="C3371" t="s">
        <v>2696</v>
      </c>
      <c r="D3371" t="s">
        <v>2696</v>
      </c>
      <c r="E3371" t="s">
        <v>5158</v>
      </c>
    </row>
    <row r="3372" spans="1:5" x14ac:dyDescent="0.3">
      <c r="A3372" t="s">
        <v>5179</v>
      </c>
      <c r="B3372" t="s">
        <v>5180</v>
      </c>
      <c r="C3372" t="s">
        <v>2696</v>
      </c>
      <c r="D3372" t="s">
        <v>2696</v>
      </c>
      <c r="E3372" t="s">
        <v>5181</v>
      </c>
    </row>
    <row r="3373" spans="1:5" x14ac:dyDescent="0.3">
      <c r="A3373" t="s">
        <v>1294</v>
      </c>
      <c r="B3373" t="s">
        <v>1295</v>
      </c>
      <c r="C3373" t="s">
        <v>1140</v>
      </c>
      <c r="D3373" t="s">
        <v>1088</v>
      </c>
      <c r="E3373" t="s">
        <v>1296</v>
      </c>
    </row>
    <row r="3374" spans="1:5" x14ac:dyDescent="0.3">
      <c r="A3374" t="s">
        <v>1300</v>
      </c>
      <c r="B3374" t="s">
        <v>1301</v>
      </c>
      <c r="C3374" t="s">
        <v>1140</v>
      </c>
      <c r="D3374" t="s">
        <v>1088</v>
      </c>
      <c r="E3374" t="s">
        <v>1302</v>
      </c>
    </row>
    <row r="3375" spans="1:5" x14ac:dyDescent="0.3">
      <c r="A3375" t="s">
        <v>7324</v>
      </c>
      <c r="B3375" t="s">
        <v>7325</v>
      </c>
      <c r="C3375" t="s">
        <v>6574</v>
      </c>
      <c r="D3375" t="s">
        <v>2852</v>
      </c>
      <c r="E3375" t="s">
        <v>7326</v>
      </c>
    </row>
    <row r="3376" spans="1:5" x14ac:dyDescent="0.3">
      <c r="A3376" t="s">
        <v>7348</v>
      </c>
      <c r="B3376" t="s">
        <v>7349</v>
      </c>
      <c r="C3376" t="s">
        <v>7344</v>
      </c>
      <c r="D3376" t="s">
        <v>2704</v>
      </c>
      <c r="E3376" t="s">
        <v>7350</v>
      </c>
    </row>
    <row r="3377" spans="1:5" x14ac:dyDescent="0.3">
      <c r="A3377" t="s">
        <v>5223</v>
      </c>
      <c r="B3377" t="s">
        <v>5224</v>
      </c>
      <c r="C3377" t="s">
        <v>2696</v>
      </c>
      <c r="D3377" t="s">
        <v>2696</v>
      </c>
      <c r="E3377" t="s">
        <v>5225</v>
      </c>
    </row>
    <row r="3378" spans="1:5" x14ac:dyDescent="0.3">
      <c r="A3378" t="s">
        <v>2700</v>
      </c>
      <c r="B3378" t="s">
        <v>2701</v>
      </c>
      <c r="C3378" t="s">
        <v>2703</v>
      </c>
      <c r="D3378" t="s">
        <v>2704</v>
      </c>
      <c r="E3378" t="s">
        <v>2702</v>
      </c>
    </row>
    <row r="3379" spans="1:5" x14ac:dyDescent="0.3">
      <c r="A3379" t="s">
        <v>3675</v>
      </c>
      <c r="B3379" t="s">
        <v>3676</v>
      </c>
      <c r="C3379" t="s">
        <v>2696</v>
      </c>
      <c r="D3379" t="s">
        <v>2696</v>
      </c>
      <c r="E3379" t="s">
        <v>3677</v>
      </c>
    </row>
    <row r="3380" spans="1:5" x14ac:dyDescent="0.3">
      <c r="A3380" t="s">
        <v>3699</v>
      </c>
      <c r="B3380" t="s">
        <v>3700</v>
      </c>
      <c r="C3380" t="s">
        <v>2696</v>
      </c>
      <c r="D3380" t="s">
        <v>2696</v>
      </c>
      <c r="E3380" t="s">
        <v>3701</v>
      </c>
    </row>
    <row r="3381" spans="1:5" x14ac:dyDescent="0.3">
      <c r="A3381" t="s">
        <v>5202</v>
      </c>
      <c r="B3381" t="s">
        <v>5203</v>
      </c>
      <c r="C3381" t="s">
        <v>2696</v>
      </c>
      <c r="D3381" t="s">
        <v>2696</v>
      </c>
      <c r="E3381" t="s">
        <v>5204</v>
      </c>
    </row>
    <row r="3382" spans="1:5" x14ac:dyDescent="0.3">
      <c r="A3382" t="s">
        <v>5226</v>
      </c>
      <c r="B3382" t="s">
        <v>5227</v>
      </c>
      <c r="C3382" t="s">
        <v>2696</v>
      </c>
      <c r="D3382" t="s">
        <v>2696</v>
      </c>
      <c r="E3382" t="s">
        <v>5228</v>
      </c>
    </row>
    <row r="3383" spans="1:5" x14ac:dyDescent="0.3">
      <c r="A3383" t="s">
        <v>7372</v>
      </c>
      <c r="B3383" t="s">
        <v>7373</v>
      </c>
      <c r="C3383" t="s">
        <v>4229</v>
      </c>
      <c r="D3383" t="s">
        <v>2841</v>
      </c>
      <c r="E3383" t="s">
        <v>7374</v>
      </c>
    </row>
    <row r="3384" spans="1:5" x14ac:dyDescent="0.3">
      <c r="A3384" t="s">
        <v>2339</v>
      </c>
      <c r="B3384" t="s">
        <v>2340</v>
      </c>
      <c r="C3384" t="s">
        <v>1533</v>
      </c>
      <c r="D3384" t="s">
        <v>1111</v>
      </c>
      <c r="E3384" t="s">
        <v>2341</v>
      </c>
    </row>
    <row r="3385" spans="1:5" x14ac:dyDescent="0.3">
      <c r="A3385" t="s">
        <v>1303</v>
      </c>
      <c r="B3385" t="s">
        <v>1304</v>
      </c>
      <c r="C3385" t="s">
        <v>1153</v>
      </c>
      <c r="D3385" t="s">
        <v>1088</v>
      </c>
      <c r="E3385" t="s">
        <v>1305</v>
      </c>
    </row>
    <row r="3386" spans="1:5" x14ac:dyDescent="0.3">
      <c r="A3386" t="s">
        <v>4095</v>
      </c>
      <c r="B3386" t="s">
        <v>4096</v>
      </c>
      <c r="C3386" t="s">
        <v>3758</v>
      </c>
      <c r="D3386" t="s">
        <v>3712</v>
      </c>
      <c r="E3386" t="s">
        <v>4097</v>
      </c>
    </row>
    <row r="3387" spans="1:5" x14ac:dyDescent="0.3">
      <c r="A3387" t="s">
        <v>4680</v>
      </c>
      <c r="B3387" t="s">
        <v>4677</v>
      </c>
      <c r="C3387" t="s">
        <v>4679</v>
      </c>
      <c r="D3387" t="s">
        <v>2704</v>
      </c>
      <c r="E3387" t="s">
        <v>4681</v>
      </c>
    </row>
    <row r="3388" spans="1:5" x14ac:dyDescent="0.3">
      <c r="A3388" t="s">
        <v>3725</v>
      </c>
      <c r="B3388" t="s">
        <v>3726</v>
      </c>
      <c r="C3388" t="s">
        <v>3711</v>
      </c>
      <c r="D3388" t="s">
        <v>3712</v>
      </c>
      <c r="E3388" t="s">
        <v>3727</v>
      </c>
    </row>
    <row r="3389" spans="1:5" x14ac:dyDescent="0.3">
      <c r="A3389" t="s">
        <v>5245</v>
      </c>
      <c r="B3389" t="s">
        <v>5246</v>
      </c>
      <c r="C3389" t="s">
        <v>2696</v>
      </c>
      <c r="D3389" t="s">
        <v>2696</v>
      </c>
      <c r="E3389" t="s">
        <v>5247</v>
      </c>
    </row>
    <row r="3390" spans="1:5" x14ac:dyDescent="0.3">
      <c r="A3390" t="s">
        <v>4195</v>
      </c>
      <c r="B3390" t="s">
        <v>4196</v>
      </c>
      <c r="C3390" t="s">
        <v>3093</v>
      </c>
      <c r="D3390" t="s">
        <v>2852</v>
      </c>
      <c r="E3390" t="s">
        <v>4197</v>
      </c>
    </row>
    <row r="3391" spans="1:5" x14ac:dyDescent="0.3">
      <c r="A3391" t="s">
        <v>1243</v>
      </c>
      <c r="B3391" t="s">
        <v>1244</v>
      </c>
      <c r="C3391" t="s">
        <v>1196</v>
      </c>
      <c r="D3391" t="s">
        <v>1088</v>
      </c>
      <c r="E3391" t="s">
        <v>1245</v>
      </c>
    </row>
    <row r="3392" spans="1:5" x14ac:dyDescent="0.3">
      <c r="A3392" t="s">
        <v>4119</v>
      </c>
      <c r="B3392" t="s">
        <v>4120</v>
      </c>
      <c r="C3392" t="s">
        <v>3758</v>
      </c>
      <c r="D3392" t="s">
        <v>3712</v>
      </c>
      <c r="E3392" t="s">
        <v>4121</v>
      </c>
    </row>
    <row r="3393" spans="1:5" x14ac:dyDescent="0.3">
      <c r="A3393" t="s">
        <v>4143</v>
      </c>
      <c r="B3393" t="s">
        <v>4144</v>
      </c>
      <c r="C3393" t="s">
        <v>3946</v>
      </c>
      <c r="D3393" t="s">
        <v>2709</v>
      </c>
      <c r="E3393" t="s">
        <v>4145</v>
      </c>
    </row>
    <row r="3394" spans="1:5" x14ac:dyDescent="0.3">
      <c r="A3394" t="s">
        <v>1267</v>
      </c>
      <c r="B3394" t="s">
        <v>1268</v>
      </c>
      <c r="C3394" t="s">
        <v>1196</v>
      </c>
      <c r="D3394" t="s">
        <v>1088</v>
      </c>
      <c r="E3394" t="s">
        <v>1269</v>
      </c>
    </row>
    <row r="3395" spans="1:5" x14ac:dyDescent="0.3">
      <c r="A3395" t="s">
        <v>1276</v>
      </c>
      <c r="B3395" t="s">
        <v>1277</v>
      </c>
      <c r="C3395" t="s">
        <v>1196</v>
      </c>
      <c r="D3395" t="s">
        <v>1088</v>
      </c>
      <c r="E3395" t="s">
        <v>1278</v>
      </c>
    </row>
    <row r="3396" spans="1:5" x14ac:dyDescent="0.3">
      <c r="A3396" t="s">
        <v>4703</v>
      </c>
      <c r="B3396" t="s">
        <v>4704</v>
      </c>
      <c r="C3396" t="s">
        <v>4679</v>
      </c>
      <c r="D3396" t="s">
        <v>2704</v>
      </c>
      <c r="E3396" t="s">
        <v>4705</v>
      </c>
    </row>
    <row r="3397" spans="1:5" x14ac:dyDescent="0.3">
      <c r="A3397" t="s">
        <v>4727</v>
      </c>
      <c r="B3397" t="s">
        <v>4728</v>
      </c>
      <c r="C3397" t="s">
        <v>3946</v>
      </c>
      <c r="D3397" t="s">
        <v>2709</v>
      </c>
      <c r="E3397" t="s">
        <v>4729</v>
      </c>
    </row>
    <row r="3398" spans="1:5" x14ac:dyDescent="0.3">
      <c r="A3398" t="s">
        <v>3749</v>
      </c>
      <c r="B3398" t="s">
        <v>3750</v>
      </c>
      <c r="C3398" t="s">
        <v>3711</v>
      </c>
      <c r="D3398" t="s">
        <v>3712</v>
      </c>
      <c r="E3398" t="s">
        <v>3751</v>
      </c>
    </row>
    <row r="3399" spans="1:5" x14ac:dyDescent="0.3">
      <c r="A3399" t="s">
        <v>3775</v>
      </c>
      <c r="B3399" t="s">
        <v>3776</v>
      </c>
      <c r="C3399" t="s">
        <v>3768</v>
      </c>
      <c r="D3399" t="s">
        <v>2852</v>
      </c>
      <c r="E3399" t="s">
        <v>3777</v>
      </c>
    </row>
    <row r="3400" spans="1:5" x14ac:dyDescent="0.3">
      <c r="A3400" t="s">
        <v>7409</v>
      </c>
      <c r="B3400" t="s">
        <v>4328</v>
      </c>
      <c r="C3400" t="s">
        <v>7397</v>
      </c>
      <c r="D3400" t="s">
        <v>2704</v>
      </c>
      <c r="E3400" t="s">
        <v>7410</v>
      </c>
    </row>
    <row r="3401" spans="1:5" x14ac:dyDescent="0.3">
      <c r="A3401" t="s">
        <v>4168</v>
      </c>
      <c r="B3401" t="s">
        <v>4169</v>
      </c>
      <c r="C3401" t="s">
        <v>4167</v>
      </c>
      <c r="D3401" t="s">
        <v>2852</v>
      </c>
      <c r="E3401" t="s">
        <v>4170</v>
      </c>
    </row>
    <row r="3402" spans="1:5" x14ac:dyDescent="0.3">
      <c r="A3402" t="s">
        <v>4177</v>
      </c>
      <c r="B3402" t="s">
        <v>4178</v>
      </c>
      <c r="C3402" t="s">
        <v>3093</v>
      </c>
      <c r="D3402" t="s">
        <v>2852</v>
      </c>
      <c r="E3402" t="s">
        <v>4179</v>
      </c>
    </row>
    <row r="3403" spans="1:5" x14ac:dyDescent="0.3">
      <c r="A3403" t="s">
        <v>4217</v>
      </c>
      <c r="B3403" t="s">
        <v>4218</v>
      </c>
      <c r="C3403" t="s">
        <v>4207</v>
      </c>
      <c r="D3403" t="s">
        <v>133</v>
      </c>
      <c r="E3403" t="s">
        <v>4219</v>
      </c>
    </row>
    <row r="3404" spans="1:5" x14ac:dyDescent="0.3">
      <c r="A3404" t="s">
        <v>1279</v>
      </c>
      <c r="B3404" t="s">
        <v>1280</v>
      </c>
      <c r="C3404" t="s">
        <v>1209</v>
      </c>
      <c r="D3404" t="s">
        <v>1088</v>
      </c>
      <c r="E3404" t="s">
        <v>1281</v>
      </c>
    </row>
    <row r="3405" spans="1:5" x14ac:dyDescent="0.3">
      <c r="A3405" t="s">
        <v>4752</v>
      </c>
      <c r="B3405" t="s">
        <v>4753</v>
      </c>
      <c r="C3405" t="s">
        <v>4733</v>
      </c>
      <c r="D3405" t="s">
        <v>2704</v>
      </c>
      <c r="E3405" t="s">
        <v>4754</v>
      </c>
    </row>
    <row r="3406" spans="1:5" x14ac:dyDescent="0.3">
      <c r="A3406" t="s">
        <v>4775</v>
      </c>
      <c r="B3406" t="s">
        <v>4776</v>
      </c>
      <c r="C3406" t="s">
        <v>134</v>
      </c>
      <c r="D3406" t="s">
        <v>133</v>
      </c>
      <c r="E3406" t="s">
        <v>4777</v>
      </c>
    </row>
    <row r="3407" spans="1:5" x14ac:dyDescent="0.3">
      <c r="A3407" t="s">
        <v>1315</v>
      </c>
      <c r="B3407" t="s">
        <v>1316</v>
      </c>
      <c r="C3407" t="s">
        <v>1196</v>
      </c>
      <c r="D3407" t="s">
        <v>1088</v>
      </c>
      <c r="E3407" t="s">
        <v>1317</v>
      </c>
    </row>
    <row r="3408" spans="1:5" x14ac:dyDescent="0.3">
      <c r="A3408" t="s">
        <v>1321</v>
      </c>
      <c r="B3408" t="s">
        <v>1322</v>
      </c>
      <c r="C3408" t="s">
        <v>1196</v>
      </c>
      <c r="D3408" t="s">
        <v>1088</v>
      </c>
      <c r="E3408" t="s">
        <v>1323</v>
      </c>
    </row>
    <row r="3409" spans="1:5" x14ac:dyDescent="0.3">
      <c r="A3409" t="s">
        <v>4799</v>
      </c>
      <c r="B3409" t="s">
        <v>4800</v>
      </c>
      <c r="C3409" t="s">
        <v>4781</v>
      </c>
      <c r="D3409" t="s">
        <v>133</v>
      </c>
      <c r="E3409" t="s">
        <v>4801</v>
      </c>
    </row>
    <row r="3410" spans="1:5" x14ac:dyDescent="0.3">
      <c r="A3410" t="s">
        <v>4823</v>
      </c>
      <c r="B3410" t="s">
        <v>1478</v>
      </c>
      <c r="C3410" t="s">
        <v>2840</v>
      </c>
      <c r="D3410" t="s">
        <v>2841</v>
      </c>
      <c r="E3410" t="s">
        <v>4824</v>
      </c>
    </row>
    <row r="3411" spans="1:5" x14ac:dyDescent="0.3">
      <c r="A3411" t="s">
        <v>3799</v>
      </c>
      <c r="B3411" t="s">
        <v>3800</v>
      </c>
      <c r="C3411" t="s">
        <v>3768</v>
      </c>
      <c r="D3411" t="s">
        <v>2852</v>
      </c>
      <c r="E3411" t="s">
        <v>3801</v>
      </c>
    </row>
    <row r="3412" spans="1:5" x14ac:dyDescent="0.3">
      <c r="A3412" t="s">
        <v>3823</v>
      </c>
      <c r="B3412" t="s">
        <v>3824</v>
      </c>
      <c r="C3412" t="s">
        <v>3768</v>
      </c>
      <c r="D3412" t="s">
        <v>2852</v>
      </c>
      <c r="E3412" t="s">
        <v>3825</v>
      </c>
    </row>
    <row r="3413" spans="1:5" x14ac:dyDescent="0.3">
      <c r="A3413" t="s">
        <v>4238</v>
      </c>
      <c r="B3413" t="s">
        <v>4239</v>
      </c>
      <c r="C3413" t="s">
        <v>4229</v>
      </c>
      <c r="D3413" t="s">
        <v>2841</v>
      </c>
      <c r="E3413" t="s">
        <v>4240</v>
      </c>
    </row>
    <row r="3414" spans="1:5" x14ac:dyDescent="0.3">
      <c r="A3414" t="s">
        <v>4260</v>
      </c>
      <c r="B3414" t="s">
        <v>4261</v>
      </c>
      <c r="C3414" t="s">
        <v>4256</v>
      </c>
      <c r="D3414" t="s">
        <v>133</v>
      </c>
      <c r="E3414" t="s">
        <v>4262</v>
      </c>
    </row>
    <row r="3415" spans="1:5" x14ac:dyDescent="0.3">
      <c r="A3415" t="s">
        <v>3847</v>
      </c>
      <c r="B3415" t="s">
        <v>3848</v>
      </c>
      <c r="C3415" t="s">
        <v>3850</v>
      </c>
      <c r="D3415" t="s">
        <v>3712</v>
      </c>
      <c r="E3415" t="s">
        <v>3849</v>
      </c>
    </row>
    <row r="3416" spans="1:5" x14ac:dyDescent="0.3">
      <c r="A3416" t="s">
        <v>3873</v>
      </c>
      <c r="B3416" t="s">
        <v>3874</v>
      </c>
      <c r="C3416" t="s">
        <v>3860</v>
      </c>
      <c r="D3416" t="s">
        <v>2704</v>
      </c>
      <c r="E3416" t="s">
        <v>3875</v>
      </c>
    </row>
    <row r="3417" spans="1:5" x14ac:dyDescent="0.3">
      <c r="A3417" t="s">
        <v>2356</v>
      </c>
      <c r="B3417" t="s">
        <v>2357</v>
      </c>
      <c r="C3417" t="s">
        <v>1087</v>
      </c>
      <c r="D3417" t="s">
        <v>1088</v>
      </c>
      <c r="E3417" t="s">
        <v>2358</v>
      </c>
    </row>
    <row r="3418" spans="1:5" x14ac:dyDescent="0.3">
      <c r="A3418" t="s">
        <v>2359</v>
      </c>
      <c r="B3418" t="s">
        <v>2360</v>
      </c>
      <c r="C3418" t="s">
        <v>1087</v>
      </c>
      <c r="D3418" t="s">
        <v>1088</v>
      </c>
      <c r="E3418" t="s">
        <v>2361</v>
      </c>
    </row>
    <row r="3419" spans="1:5" x14ac:dyDescent="0.3">
      <c r="A3419" t="s">
        <v>4845</v>
      </c>
      <c r="B3419" t="s">
        <v>4846</v>
      </c>
      <c r="C3419" t="s">
        <v>2840</v>
      </c>
      <c r="D3419" t="s">
        <v>2841</v>
      </c>
      <c r="E3419" t="s">
        <v>4847</v>
      </c>
    </row>
    <row r="3420" spans="1:5" x14ac:dyDescent="0.3">
      <c r="A3420" t="s">
        <v>4851</v>
      </c>
      <c r="B3420" t="s">
        <v>4852</v>
      </c>
      <c r="C3420" t="s">
        <v>2840</v>
      </c>
      <c r="D3420" t="s">
        <v>2841</v>
      </c>
      <c r="E3420" t="s">
        <v>4853</v>
      </c>
    </row>
    <row r="3421" spans="1:5" x14ac:dyDescent="0.3">
      <c r="A3421" t="s">
        <v>3897</v>
      </c>
      <c r="B3421" t="s">
        <v>3898</v>
      </c>
      <c r="C3421" t="s">
        <v>3860</v>
      </c>
      <c r="D3421" t="s">
        <v>2704</v>
      </c>
      <c r="E3421" t="s">
        <v>3899</v>
      </c>
    </row>
    <row r="3422" spans="1:5" x14ac:dyDescent="0.3">
      <c r="A3422" t="s">
        <v>1354</v>
      </c>
      <c r="B3422" t="s">
        <v>1355</v>
      </c>
      <c r="C3422" t="s">
        <v>1110</v>
      </c>
      <c r="D3422" t="s">
        <v>1111</v>
      </c>
      <c r="E3422" t="s">
        <v>1356</v>
      </c>
    </row>
    <row r="3423" spans="1:5" x14ac:dyDescent="0.3">
      <c r="A3423" t="s">
        <v>1324</v>
      </c>
      <c r="B3423" t="s">
        <v>1325</v>
      </c>
      <c r="C3423" t="s">
        <v>1196</v>
      </c>
      <c r="D3423" t="s">
        <v>1088</v>
      </c>
      <c r="E3423" t="s">
        <v>1326</v>
      </c>
    </row>
    <row r="3424" spans="1:5" x14ac:dyDescent="0.3">
      <c r="A3424" t="s">
        <v>1327</v>
      </c>
      <c r="B3424" t="s">
        <v>1328</v>
      </c>
      <c r="C3424" t="s">
        <v>1196</v>
      </c>
      <c r="D3424" t="s">
        <v>1088</v>
      </c>
      <c r="E3424" t="s">
        <v>1329</v>
      </c>
    </row>
    <row r="3425" spans="1:5" x14ac:dyDescent="0.3">
      <c r="A3425" t="s">
        <v>4874</v>
      </c>
      <c r="B3425" t="s">
        <v>4875</v>
      </c>
      <c r="C3425" t="s">
        <v>4781</v>
      </c>
      <c r="D3425" t="s">
        <v>133</v>
      </c>
      <c r="E3425" t="s">
        <v>4876</v>
      </c>
    </row>
    <row r="3426" spans="1:5" x14ac:dyDescent="0.3">
      <c r="A3426" t="s">
        <v>4898</v>
      </c>
      <c r="B3426" t="s">
        <v>4899</v>
      </c>
      <c r="C3426" t="s">
        <v>4207</v>
      </c>
      <c r="D3426" t="s">
        <v>133</v>
      </c>
      <c r="E3426" t="s">
        <v>4900</v>
      </c>
    </row>
    <row r="3427" spans="1:5" x14ac:dyDescent="0.3">
      <c r="A3427" t="s">
        <v>3930</v>
      </c>
      <c r="B3427" t="s">
        <v>3931</v>
      </c>
      <c r="C3427" t="s">
        <v>2851</v>
      </c>
      <c r="D3427" t="s">
        <v>2852</v>
      </c>
      <c r="E3427" t="s">
        <v>3932</v>
      </c>
    </row>
    <row r="3428" spans="1:5" x14ac:dyDescent="0.3">
      <c r="A3428" t="s">
        <v>1363</v>
      </c>
      <c r="B3428" t="s">
        <v>1364</v>
      </c>
      <c r="C3428" t="s">
        <v>1115</v>
      </c>
      <c r="D3428" t="s">
        <v>1111</v>
      </c>
      <c r="E3428" t="s">
        <v>1365</v>
      </c>
    </row>
    <row r="3429" spans="1:5" x14ac:dyDescent="0.3">
      <c r="A3429" t="s">
        <v>4223</v>
      </c>
      <c r="B3429" t="s">
        <v>4224</v>
      </c>
      <c r="C3429" t="s">
        <v>4207</v>
      </c>
      <c r="D3429" t="s">
        <v>133</v>
      </c>
      <c r="E3429" t="s">
        <v>4225</v>
      </c>
    </row>
    <row r="3430" spans="1:5" x14ac:dyDescent="0.3">
      <c r="A3430" t="s">
        <v>1330</v>
      </c>
      <c r="B3430" t="s">
        <v>1331</v>
      </c>
      <c r="C3430" t="s">
        <v>1209</v>
      </c>
      <c r="D3430" t="s">
        <v>1088</v>
      </c>
      <c r="E3430" t="s">
        <v>1332</v>
      </c>
    </row>
    <row r="3431" spans="1:5" x14ac:dyDescent="0.3">
      <c r="A3431" t="s">
        <v>4921</v>
      </c>
      <c r="B3431" t="s">
        <v>4922</v>
      </c>
      <c r="C3431" t="s">
        <v>134</v>
      </c>
      <c r="D3431" t="s">
        <v>133</v>
      </c>
      <c r="E3431" t="s">
        <v>4923</v>
      </c>
    </row>
    <row r="3432" spans="1:5" x14ac:dyDescent="0.3">
      <c r="A3432" t="s">
        <v>1390</v>
      </c>
      <c r="B3432" t="s">
        <v>1391</v>
      </c>
      <c r="C3432" t="s">
        <v>1087</v>
      </c>
      <c r="D3432" t="s">
        <v>1088</v>
      </c>
      <c r="E3432" t="s">
        <v>1392</v>
      </c>
    </row>
    <row r="3433" spans="1:5" x14ac:dyDescent="0.3">
      <c r="A3433" t="s">
        <v>1369</v>
      </c>
      <c r="B3433" t="s">
        <v>1370</v>
      </c>
      <c r="C3433" t="s">
        <v>1115</v>
      </c>
      <c r="D3433" t="s">
        <v>1111</v>
      </c>
      <c r="E3433" t="s">
        <v>1371</v>
      </c>
    </row>
    <row r="3434" spans="1:5" x14ac:dyDescent="0.3">
      <c r="A3434" t="s">
        <v>1372</v>
      </c>
      <c r="B3434" t="s">
        <v>1373</v>
      </c>
      <c r="C3434" t="s">
        <v>1115</v>
      </c>
      <c r="D3434" t="s">
        <v>1111</v>
      </c>
      <c r="E3434" t="s">
        <v>1374</v>
      </c>
    </row>
    <row r="3435" spans="1:5" x14ac:dyDescent="0.3">
      <c r="A3435" t="s">
        <v>1396</v>
      </c>
      <c r="B3435" t="s">
        <v>1397</v>
      </c>
      <c r="C3435" t="s">
        <v>1196</v>
      </c>
      <c r="D3435" t="s">
        <v>1088</v>
      </c>
      <c r="E3435" t="s">
        <v>1398</v>
      </c>
    </row>
    <row r="3436" spans="1:5" x14ac:dyDescent="0.3">
      <c r="A3436" t="s">
        <v>4937</v>
      </c>
      <c r="B3436" t="s">
        <v>4938</v>
      </c>
      <c r="C3436" t="s">
        <v>2703</v>
      </c>
      <c r="D3436" t="s">
        <v>2704</v>
      </c>
      <c r="E3436" t="s">
        <v>4939</v>
      </c>
    </row>
    <row r="3437" spans="1:5" x14ac:dyDescent="0.3">
      <c r="A3437" t="s">
        <v>4243</v>
      </c>
      <c r="B3437" t="s">
        <v>4244</v>
      </c>
      <c r="C3437" t="s">
        <v>4246</v>
      </c>
      <c r="D3437" t="s">
        <v>2709</v>
      </c>
      <c r="E3437" t="s">
        <v>4245</v>
      </c>
    </row>
    <row r="3438" spans="1:5" x14ac:dyDescent="0.3">
      <c r="A3438" t="s">
        <v>4266</v>
      </c>
      <c r="B3438" t="s">
        <v>4267</v>
      </c>
      <c r="C3438" t="s">
        <v>4256</v>
      </c>
      <c r="D3438" t="s">
        <v>133</v>
      </c>
      <c r="E3438" t="s">
        <v>4268</v>
      </c>
    </row>
    <row r="3439" spans="1:5" x14ac:dyDescent="0.3">
      <c r="A3439" t="s">
        <v>3965</v>
      </c>
      <c r="B3439" t="s">
        <v>3966</v>
      </c>
      <c r="C3439" t="s">
        <v>2851</v>
      </c>
      <c r="D3439" t="s">
        <v>2852</v>
      </c>
      <c r="E3439" t="s">
        <v>3967</v>
      </c>
    </row>
    <row r="3440" spans="1:5" x14ac:dyDescent="0.3">
      <c r="A3440" t="s">
        <v>3990</v>
      </c>
      <c r="B3440" t="s">
        <v>3991</v>
      </c>
      <c r="C3440" t="s">
        <v>2851</v>
      </c>
      <c r="D3440" t="s">
        <v>2852</v>
      </c>
      <c r="E3440" t="s">
        <v>3992</v>
      </c>
    </row>
    <row r="3441" spans="1:5" x14ac:dyDescent="0.3">
      <c r="A3441" t="s">
        <v>7433</v>
      </c>
      <c r="B3441" t="s">
        <v>7434</v>
      </c>
      <c r="C3441" t="s">
        <v>3860</v>
      </c>
      <c r="D3441" t="s">
        <v>2704</v>
      </c>
      <c r="E3441" t="s">
        <v>7435</v>
      </c>
    </row>
    <row r="3442" spans="1:5" x14ac:dyDescent="0.3">
      <c r="A3442" t="s">
        <v>7456</v>
      </c>
      <c r="B3442" t="s">
        <v>7457</v>
      </c>
      <c r="C3442" t="s">
        <v>4649</v>
      </c>
      <c r="D3442" t="s">
        <v>3712</v>
      </c>
      <c r="E3442" t="s">
        <v>7458</v>
      </c>
    </row>
    <row r="3443" spans="1:5" x14ac:dyDescent="0.3">
      <c r="A3443" t="s">
        <v>4960</v>
      </c>
      <c r="B3443" t="s">
        <v>4961</v>
      </c>
      <c r="C3443" t="s">
        <v>2696</v>
      </c>
      <c r="D3443" t="s">
        <v>2696</v>
      </c>
      <c r="E3443" t="s">
        <v>4962</v>
      </c>
    </row>
    <row r="3444" spans="1:5" x14ac:dyDescent="0.3">
      <c r="A3444" t="s">
        <v>4982</v>
      </c>
      <c r="B3444" t="s">
        <v>4983</v>
      </c>
      <c r="C3444" t="s">
        <v>2696</v>
      </c>
      <c r="D3444" t="s">
        <v>2696</v>
      </c>
      <c r="E3444" t="s">
        <v>4984</v>
      </c>
    </row>
    <row r="3445" spans="1:5" x14ac:dyDescent="0.3">
      <c r="A3445" t="s">
        <v>4289</v>
      </c>
      <c r="B3445" t="s">
        <v>4290</v>
      </c>
      <c r="C3445" t="s">
        <v>2851</v>
      </c>
      <c r="D3445" t="s">
        <v>2852</v>
      </c>
      <c r="E3445" t="s">
        <v>4291</v>
      </c>
    </row>
    <row r="3446" spans="1:5" x14ac:dyDescent="0.3">
      <c r="A3446" t="s">
        <v>4315</v>
      </c>
      <c r="B3446" t="s">
        <v>4316</v>
      </c>
      <c r="C3446" t="s">
        <v>2851</v>
      </c>
      <c r="D3446" t="s">
        <v>2852</v>
      </c>
      <c r="E3446" t="s">
        <v>4317</v>
      </c>
    </row>
    <row r="3447" spans="1:5" x14ac:dyDescent="0.3">
      <c r="A3447" t="s">
        <v>4283</v>
      </c>
      <c r="B3447" t="s">
        <v>4284</v>
      </c>
      <c r="C3447" t="s">
        <v>2851</v>
      </c>
      <c r="D3447" t="s">
        <v>2852</v>
      </c>
      <c r="E3447" t="s">
        <v>4285</v>
      </c>
    </row>
    <row r="3448" spans="1:5" x14ac:dyDescent="0.3">
      <c r="A3448" t="s">
        <v>4309</v>
      </c>
      <c r="B3448" t="s">
        <v>4310</v>
      </c>
      <c r="C3448" t="s">
        <v>4308</v>
      </c>
      <c r="D3448" t="s">
        <v>133</v>
      </c>
      <c r="E3448" t="s">
        <v>4311</v>
      </c>
    </row>
    <row r="3449" spans="1:5" x14ac:dyDescent="0.3">
      <c r="A3449" t="s">
        <v>4014</v>
      </c>
      <c r="B3449" t="s">
        <v>4015</v>
      </c>
      <c r="C3449" t="s">
        <v>3093</v>
      </c>
      <c r="D3449" t="s">
        <v>2852</v>
      </c>
      <c r="E3449" t="s">
        <v>4016</v>
      </c>
    </row>
    <row r="3450" spans="1:5" x14ac:dyDescent="0.3">
      <c r="A3450" t="s">
        <v>4037</v>
      </c>
      <c r="B3450" t="s">
        <v>4038</v>
      </c>
      <c r="C3450" t="s">
        <v>3093</v>
      </c>
      <c r="D3450" t="s">
        <v>2852</v>
      </c>
      <c r="E3450" t="s">
        <v>4039</v>
      </c>
    </row>
    <row r="3451" spans="1:5" x14ac:dyDescent="0.3">
      <c r="A3451" t="s">
        <v>7477</v>
      </c>
      <c r="B3451" t="s">
        <v>7478</v>
      </c>
      <c r="C3451" t="s">
        <v>4246</v>
      </c>
      <c r="D3451" t="s">
        <v>2709</v>
      </c>
      <c r="E3451" t="s">
        <v>7479</v>
      </c>
    </row>
    <row r="3452" spans="1:5" x14ac:dyDescent="0.3">
      <c r="A3452" t="s">
        <v>7501</v>
      </c>
      <c r="B3452" t="s">
        <v>3880</v>
      </c>
      <c r="C3452" t="s">
        <v>4246</v>
      </c>
      <c r="D3452" t="s">
        <v>2709</v>
      </c>
      <c r="E3452" t="s">
        <v>7502</v>
      </c>
    </row>
    <row r="3453" spans="1:5" x14ac:dyDescent="0.3">
      <c r="A3453" t="s">
        <v>4339</v>
      </c>
      <c r="B3453" t="s">
        <v>4340</v>
      </c>
      <c r="C3453" t="s">
        <v>3860</v>
      </c>
      <c r="D3453" t="s">
        <v>2704</v>
      </c>
      <c r="E3453" t="s">
        <v>4341</v>
      </c>
    </row>
    <row r="3454" spans="1:5" x14ac:dyDescent="0.3">
      <c r="A3454" t="s">
        <v>1360</v>
      </c>
      <c r="B3454" t="s">
        <v>1361</v>
      </c>
      <c r="C3454" t="s">
        <v>1110</v>
      </c>
      <c r="D3454" t="s">
        <v>1111</v>
      </c>
      <c r="E3454" t="s">
        <v>1362</v>
      </c>
    </row>
    <row r="3455" spans="1:5" x14ac:dyDescent="0.3">
      <c r="A3455" t="s">
        <v>5004</v>
      </c>
      <c r="B3455" t="s">
        <v>5005</v>
      </c>
      <c r="C3455" t="s">
        <v>2696</v>
      </c>
      <c r="D3455" t="s">
        <v>2696</v>
      </c>
      <c r="E3455" t="s">
        <v>5006</v>
      </c>
    </row>
    <row r="3456" spans="1:5" x14ac:dyDescent="0.3">
      <c r="A3456" t="s">
        <v>5027</v>
      </c>
      <c r="B3456" t="s">
        <v>5028</v>
      </c>
      <c r="C3456" t="s">
        <v>2696</v>
      </c>
      <c r="D3456" t="s">
        <v>2696</v>
      </c>
      <c r="E3456" t="s">
        <v>5029</v>
      </c>
    </row>
    <row r="3457" spans="1:5" x14ac:dyDescent="0.3">
      <c r="A3457" t="s">
        <v>4333</v>
      </c>
      <c r="B3457" t="s">
        <v>4334</v>
      </c>
      <c r="C3457" t="s">
        <v>2851</v>
      </c>
      <c r="D3457" t="s">
        <v>2852</v>
      </c>
      <c r="E3457" t="s">
        <v>4335</v>
      </c>
    </row>
    <row r="3458" spans="1:5" x14ac:dyDescent="0.3">
      <c r="A3458" t="s">
        <v>2713</v>
      </c>
      <c r="B3458" t="s">
        <v>2714</v>
      </c>
      <c r="C3458" t="s">
        <v>2708</v>
      </c>
      <c r="D3458" t="s">
        <v>2709</v>
      </c>
      <c r="E3458" t="s">
        <v>2715</v>
      </c>
    </row>
    <row r="3459" spans="1:5" x14ac:dyDescent="0.3">
      <c r="A3459" t="s">
        <v>2737</v>
      </c>
      <c r="B3459" t="s">
        <v>2738</v>
      </c>
      <c r="C3459" t="s">
        <v>2708</v>
      </c>
      <c r="D3459" t="s">
        <v>2709</v>
      </c>
      <c r="E3459" t="s">
        <v>2739</v>
      </c>
    </row>
    <row r="3460" spans="1:5" x14ac:dyDescent="0.3">
      <c r="A3460" t="s">
        <v>4342</v>
      </c>
      <c r="B3460" t="s">
        <v>4343</v>
      </c>
      <c r="C3460" t="s">
        <v>4308</v>
      </c>
      <c r="D3460" t="s">
        <v>133</v>
      </c>
      <c r="E3460" t="s">
        <v>4344</v>
      </c>
    </row>
    <row r="3461" spans="1:5" x14ac:dyDescent="0.3">
      <c r="A3461" t="s">
        <v>4366</v>
      </c>
      <c r="B3461" t="s">
        <v>4367</v>
      </c>
      <c r="C3461" t="s">
        <v>3983</v>
      </c>
      <c r="D3461" t="s">
        <v>3712</v>
      </c>
      <c r="E3461" t="s">
        <v>4368</v>
      </c>
    </row>
    <row r="3462" spans="1:5" x14ac:dyDescent="0.3">
      <c r="A3462" t="s">
        <v>4061</v>
      </c>
      <c r="B3462" t="s">
        <v>4062</v>
      </c>
      <c r="C3462" t="s">
        <v>3093</v>
      </c>
      <c r="D3462" t="s">
        <v>2852</v>
      </c>
      <c r="E3462" t="s">
        <v>4063</v>
      </c>
    </row>
    <row r="3463" spans="1:5" x14ac:dyDescent="0.3">
      <c r="A3463" t="s">
        <v>1381</v>
      </c>
      <c r="B3463" t="s">
        <v>1382</v>
      </c>
      <c r="C3463" t="s">
        <v>1140</v>
      </c>
      <c r="D3463" t="s">
        <v>1088</v>
      </c>
      <c r="E3463" t="s">
        <v>1383</v>
      </c>
    </row>
    <row r="3464" spans="1:5" x14ac:dyDescent="0.3">
      <c r="A3464" t="s">
        <v>5051</v>
      </c>
      <c r="B3464" t="s">
        <v>5052</v>
      </c>
      <c r="C3464" t="s">
        <v>2696</v>
      </c>
      <c r="D3464" t="s">
        <v>2696</v>
      </c>
      <c r="E3464" t="s">
        <v>5053</v>
      </c>
    </row>
    <row r="3465" spans="1:5" x14ac:dyDescent="0.3">
      <c r="A3465" t="s">
        <v>5075</v>
      </c>
      <c r="B3465" t="s">
        <v>1607</v>
      </c>
      <c r="C3465" t="s">
        <v>2696</v>
      </c>
      <c r="D3465" t="s">
        <v>2696</v>
      </c>
      <c r="E3465" t="s">
        <v>5076</v>
      </c>
    </row>
    <row r="3466" spans="1:5" x14ac:dyDescent="0.3">
      <c r="A3466" t="s">
        <v>1333</v>
      </c>
      <c r="B3466" t="s">
        <v>1334</v>
      </c>
      <c r="C3466" t="s">
        <v>1110</v>
      </c>
      <c r="D3466" t="s">
        <v>1111</v>
      </c>
      <c r="E3466" t="s">
        <v>1335</v>
      </c>
    </row>
    <row r="3467" spans="1:5" x14ac:dyDescent="0.3">
      <c r="A3467" t="s">
        <v>1342</v>
      </c>
      <c r="B3467" t="s">
        <v>1343</v>
      </c>
      <c r="C3467" t="s">
        <v>1110</v>
      </c>
      <c r="D3467" t="s">
        <v>1111</v>
      </c>
      <c r="E3467" t="s">
        <v>1344</v>
      </c>
    </row>
    <row r="3468" spans="1:5" x14ac:dyDescent="0.3">
      <c r="A3468" t="s">
        <v>2760</v>
      </c>
      <c r="B3468" t="s">
        <v>2761</v>
      </c>
      <c r="C3468" t="s">
        <v>2696</v>
      </c>
      <c r="D3468" t="s">
        <v>2696</v>
      </c>
      <c r="E3468" t="s">
        <v>2762</v>
      </c>
    </row>
    <row r="3469" spans="1:5" x14ac:dyDescent="0.3">
      <c r="A3469" t="s">
        <v>2782</v>
      </c>
      <c r="B3469" t="s">
        <v>2783</v>
      </c>
      <c r="C3469" t="s">
        <v>2696</v>
      </c>
      <c r="D3469" t="s">
        <v>2696</v>
      </c>
      <c r="E3469" t="s">
        <v>2784</v>
      </c>
    </row>
    <row r="3470" spans="1:5" x14ac:dyDescent="0.3">
      <c r="A3470" t="s">
        <v>4390</v>
      </c>
      <c r="B3470" t="s">
        <v>4391</v>
      </c>
      <c r="C3470" t="s">
        <v>3983</v>
      </c>
      <c r="D3470" t="s">
        <v>3712</v>
      </c>
      <c r="E3470" t="s">
        <v>4392</v>
      </c>
    </row>
    <row r="3471" spans="1:5" x14ac:dyDescent="0.3">
      <c r="A3471" t="s">
        <v>4414</v>
      </c>
      <c r="B3471" t="s">
        <v>4415</v>
      </c>
      <c r="C3471" t="s">
        <v>2696</v>
      </c>
      <c r="D3471" t="s">
        <v>2696</v>
      </c>
      <c r="E3471" t="s">
        <v>4416</v>
      </c>
    </row>
    <row r="3472" spans="1:5" x14ac:dyDescent="0.3">
      <c r="A3472" t="s">
        <v>1384</v>
      </c>
      <c r="B3472" t="s">
        <v>1385</v>
      </c>
      <c r="C3472" t="s">
        <v>1140</v>
      </c>
      <c r="D3472" t="s">
        <v>1088</v>
      </c>
      <c r="E3472" t="s">
        <v>1386</v>
      </c>
    </row>
    <row r="3473" spans="1:5" x14ac:dyDescent="0.3">
      <c r="A3473" t="s">
        <v>4084</v>
      </c>
      <c r="B3473" t="s">
        <v>1685</v>
      </c>
      <c r="C3473" t="s">
        <v>4086</v>
      </c>
      <c r="D3473" t="s">
        <v>2704</v>
      </c>
      <c r="E3473" t="s">
        <v>4085</v>
      </c>
    </row>
    <row r="3474" spans="1:5" x14ac:dyDescent="0.3">
      <c r="A3474" t="s">
        <v>5097</v>
      </c>
      <c r="B3474" t="s">
        <v>5098</v>
      </c>
      <c r="C3474" t="s">
        <v>2696</v>
      </c>
      <c r="D3474" t="s">
        <v>2696</v>
      </c>
      <c r="E3474" t="s">
        <v>5099</v>
      </c>
    </row>
    <row r="3475" spans="1:5" x14ac:dyDescent="0.3">
      <c r="A3475" t="s">
        <v>5120</v>
      </c>
      <c r="B3475" t="s">
        <v>5121</v>
      </c>
      <c r="C3475" t="s">
        <v>2696</v>
      </c>
      <c r="D3475" t="s">
        <v>2696</v>
      </c>
      <c r="E3475" t="s">
        <v>5122</v>
      </c>
    </row>
    <row r="3476" spans="1:5" x14ac:dyDescent="0.3">
      <c r="A3476" t="s">
        <v>4360</v>
      </c>
      <c r="B3476" t="s">
        <v>4361</v>
      </c>
      <c r="C3476" t="s">
        <v>3983</v>
      </c>
      <c r="D3476" t="s">
        <v>3712</v>
      </c>
      <c r="E3476" t="s">
        <v>4362</v>
      </c>
    </row>
    <row r="3477" spans="1:5" x14ac:dyDescent="0.3">
      <c r="A3477" t="s">
        <v>4384</v>
      </c>
      <c r="B3477" t="s">
        <v>4385</v>
      </c>
      <c r="C3477" t="s">
        <v>3983</v>
      </c>
      <c r="D3477" t="s">
        <v>3712</v>
      </c>
      <c r="E3477" t="s">
        <v>4386</v>
      </c>
    </row>
    <row r="3478" spans="1:5" x14ac:dyDescent="0.3">
      <c r="A3478" t="s">
        <v>4438</v>
      </c>
      <c r="B3478" t="s">
        <v>3785</v>
      </c>
      <c r="C3478" t="s">
        <v>3983</v>
      </c>
      <c r="D3478" t="s">
        <v>3712</v>
      </c>
      <c r="E3478" t="s">
        <v>4439</v>
      </c>
    </row>
    <row r="3479" spans="1:5" x14ac:dyDescent="0.3">
      <c r="A3479" t="s">
        <v>4460</v>
      </c>
      <c r="B3479" t="s">
        <v>4461</v>
      </c>
      <c r="C3479" t="s">
        <v>4167</v>
      </c>
      <c r="D3479" t="s">
        <v>2852</v>
      </c>
      <c r="E3479" t="s">
        <v>4462</v>
      </c>
    </row>
    <row r="3480" spans="1:5" x14ac:dyDescent="0.3">
      <c r="A3480" t="s">
        <v>2806</v>
      </c>
      <c r="B3480" t="s">
        <v>2807</v>
      </c>
      <c r="C3480" t="s">
        <v>2708</v>
      </c>
      <c r="D3480" t="s">
        <v>2709</v>
      </c>
      <c r="E3480" t="s">
        <v>2808</v>
      </c>
    </row>
    <row r="3481" spans="1:5" x14ac:dyDescent="0.3">
      <c r="A3481" t="s">
        <v>2831</v>
      </c>
      <c r="B3481" t="s">
        <v>2832</v>
      </c>
      <c r="C3481" t="s">
        <v>2821</v>
      </c>
      <c r="D3481" t="s">
        <v>133</v>
      </c>
      <c r="E3481" t="s">
        <v>2833</v>
      </c>
    </row>
    <row r="3482" spans="1:5" x14ac:dyDescent="0.3">
      <c r="A3482" t="s">
        <v>4408</v>
      </c>
      <c r="B3482" t="s">
        <v>4409</v>
      </c>
      <c r="C3482" t="s">
        <v>2696</v>
      </c>
      <c r="D3482" t="s">
        <v>2696</v>
      </c>
      <c r="E3482" t="s">
        <v>4410</v>
      </c>
    </row>
    <row r="3483" spans="1:5" x14ac:dyDescent="0.3">
      <c r="A3483" t="s">
        <v>4432</v>
      </c>
      <c r="B3483" t="s">
        <v>4433</v>
      </c>
      <c r="C3483" t="s">
        <v>3983</v>
      </c>
      <c r="D3483" t="s">
        <v>3712</v>
      </c>
      <c r="E3483" t="s">
        <v>4434</v>
      </c>
    </row>
    <row r="3484" spans="1:5" x14ac:dyDescent="0.3">
      <c r="A3484" t="s">
        <v>1402</v>
      </c>
      <c r="B3484" t="s">
        <v>1403</v>
      </c>
      <c r="C3484" t="s">
        <v>1110</v>
      </c>
      <c r="D3484" t="s">
        <v>1111</v>
      </c>
      <c r="E3484" t="s">
        <v>1404</v>
      </c>
    </row>
    <row r="3485" spans="1:5" x14ac:dyDescent="0.3">
      <c r="A3485" t="s">
        <v>4491</v>
      </c>
      <c r="B3485" t="s">
        <v>4492</v>
      </c>
      <c r="C3485" t="s">
        <v>3946</v>
      </c>
      <c r="D3485" t="s">
        <v>2709</v>
      </c>
      <c r="E3485" t="s">
        <v>4493</v>
      </c>
    </row>
    <row r="3486" spans="1:5" x14ac:dyDescent="0.3">
      <c r="A3486" t="s">
        <v>5144</v>
      </c>
      <c r="B3486" t="s">
        <v>5145</v>
      </c>
      <c r="C3486" t="s">
        <v>2696</v>
      </c>
      <c r="D3486" t="s">
        <v>2696</v>
      </c>
      <c r="E3486" t="s">
        <v>5146</v>
      </c>
    </row>
    <row r="3487" spans="1:5" x14ac:dyDescent="0.3">
      <c r="A3487" t="s">
        <v>5168</v>
      </c>
      <c r="B3487" t="s">
        <v>5169</v>
      </c>
      <c r="C3487" t="s">
        <v>2696</v>
      </c>
      <c r="D3487" t="s">
        <v>2696</v>
      </c>
      <c r="E3487" t="s">
        <v>5170</v>
      </c>
    </row>
    <row r="3488" spans="1:5" x14ac:dyDescent="0.3">
      <c r="A3488" t="s">
        <v>4454</v>
      </c>
      <c r="B3488" t="s">
        <v>4455</v>
      </c>
      <c r="C3488" t="s">
        <v>4167</v>
      </c>
      <c r="D3488" t="s">
        <v>2852</v>
      </c>
      <c r="E3488" t="s">
        <v>4456</v>
      </c>
    </row>
    <row r="3489" spans="1:5" x14ac:dyDescent="0.3">
      <c r="A3489" t="s">
        <v>4479</v>
      </c>
      <c r="B3489" t="s">
        <v>4480</v>
      </c>
      <c r="C3489" t="s">
        <v>4469</v>
      </c>
      <c r="D3489" t="s">
        <v>2709</v>
      </c>
      <c r="E3489" t="s">
        <v>4481</v>
      </c>
    </row>
    <row r="3490" spans="1:5" x14ac:dyDescent="0.3">
      <c r="A3490" t="s">
        <v>4515</v>
      </c>
      <c r="B3490" t="s">
        <v>4516</v>
      </c>
      <c r="C3490" t="s">
        <v>4229</v>
      </c>
      <c r="D3490" t="s">
        <v>2841</v>
      </c>
      <c r="E3490" t="s">
        <v>4517</v>
      </c>
    </row>
    <row r="3491" spans="1:5" x14ac:dyDescent="0.3">
      <c r="A3491" t="s">
        <v>4539</v>
      </c>
      <c r="B3491" t="s">
        <v>4540</v>
      </c>
      <c r="C3491" t="s">
        <v>2840</v>
      </c>
      <c r="D3491" t="s">
        <v>2841</v>
      </c>
      <c r="E3491" t="s">
        <v>4541</v>
      </c>
    </row>
    <row r="3492" spans="1:5" x14ac:dyDescent="0.3">
      <c r="A3492" t="s">
        <v>5190</v>
      </c>
      <c r="B3492" t="s">
        <v>5191</v>
      </c>
      <c r="C3492" t="s">
        <v>2696</v>
      </c>
      <c r="D3492" t="s">
        <v>2696</v>
      </c>
      <c r="E3492" t="s">
        <v>5192</v>
      </c>
    </row>
    <row r="3493" spans="1:5" x14ac:dyDescent="0.3">
      <c r="A3493" t="s">
        <v>5214</v>
      </c>
      <c r="B3493" t="s">
        <v>5215</v>
      </c>
      <c r="C3493" t="s">
        <v>2696</v>
      </c>
      <c r="D3493" t="s">
        <v>2696</v>
      </c>
      <c r="E3493" t="s">
        <v>5216</v>
      </c>
    </row>
    <row r="3494" spans="1:5" x14ac:dyDescent="0.3">
      <c r="A3494" t="s">
        <v>4087</v>
      </c>
      <c r="B3494" t="s">
        <v>4088</v>
      </c>
      <c r="C3494" t="s">
        <v>3758</v>
      </c>
      <c r="D3494" t="s">
        <v>3712</v>
      </c>
      <c r="E3494" t="s">
        <v>4089</v>
      </c>
    </row>
    <row r="3495" spans="1:5" x14ac:dyDescent="0.3">
      <c r="A3495" t="s">
        <v>4110</v>
      </c>
      <c r="B3495" t="s">
        <v>4111</v>
      </c>
      <c r="C3495" t="s">
        <v>3758</v>
      </c>
      <c r="D3495" t="s">
        <v>3712</v>
      </c>
      <c r="E3495" t="s">
        <v>4112</v>
      </c>
    </row>
    <row r="3496" spans="1:5" x14ac:dyDescent="0.3">
      <c r="A3496" t="s">
        <v>4485</v>
      </c>
      <c r="B3496" t="s">
        <v>4486</v>
      </c>
      <c r="C3496" t="s">
        <v>3946</v>
      </c>
      <c r="D3496" t="s">
        <v>2709</v>
      </c>
      <c r="E3496" t="s">
        <v>4487</v>
      </c>
    </row>
    <row r="3497" spans="1:5" x14ac:dyDescent="0.3">
      <c r="A3497" t="s">
        <v>4509</v>
      </c>
      <c r="B3497" t="s">
        <v>4510</v>
      </c>
      <c r="C3497" t="s">
        <v>4229</v>
      </c>
      <c r="D3497" t="s">
        <v>2841</v>
      </c>
      <c r="E3497" t="s">
        <v>4511</v>
      </c>
    </row>
    <row r="3498" spans="1:5" x14ac:dyDescent="0.3">
      <c r="A3498" t="s">
        <v>4563</v>
      </c>
      <c r="B3498" t="s">
        <v>1862</v>
      </c>
      <c r="C3498" t="s">
        <v>2840</v>
      </c>
      <c r="D3498" t="s">
        <v>2841</v>
      </c>
      <c r="E3498" t="s">
        <v>4564</v>
      </c>
    </row>
    <row r="3499" spans="1:5" x14ac:dyDescent="0.3">
      <c r="A3499" t="s">
        <v>4586</v>
      </c>
      <c r="B3499" t="s">
        <v>4587</v>
      </c>
      <c r="C3499" t="s">
        <v>2840</v>
      </c>
      <c r="D3499" t="s">
        <v>2841</v>
      </c>
      <c r="E3499" t="s">
        <v>4588</v>
      </c>
    </row>
    <row r="3500" spans="1:5" x14ac:dyDescent="0.3">
      <c r="A3500" t="s">
        <v>5237</v>
      </c>
      <c r="B3500" t="s">
        <v>5238</v>
      </c>
      <c r="C3500" t="s">
        <v>2696</v>
      </c>
      <c r="D3500" t="s">
        <v>2696</v>
      </c>
      <c r="E3500" t="s">
        <v>5239</v>
      </c>
    </row>
    <row r="3501" spans="1:5" x14ac:dyDescent="0.3">
      <c r="A3501" t="s">
        <v>1084</v>
      </c>
      <c r="B3501" t="s">
        <v>1085</v>
      </c>
      <c r="C3501" t="s">
        <v>1087</v>
      </c>
      <c r="D3501" t="s">
        <v>1088</v>
      </c>
      <c r="E3501" t="s">
        <v>1086</v>
      </c>
    </row>
    <row r="3502" spans="1:5" x14ac:dyDescent="0.3">
      <c r="A3502" t="s">
        <v>2862</v>
      </c>
      <c r="B3502" t="s">
        <v>2863</v>
      </c>
      <c r="C3502" t="s">
        <v>2696</v>
      </c>
      <c r="D3502" t="s">
        <v>2696</v>
      </c>
      <c r="E3502" t="s">
        <v>2864</v>
      </c>
    </row>
    <row r="3503" spans="1:5" x14ac:dyDescent="0.3">
      <c r="A3503" t="s">
        <v>4533</v>
      </c>
      <c r="B3503" t="s">
        <v>4534</v>
      </c>
      <c r="C3503" t="s">
        <v>2840</v>
      </c>
      <c r="D3503" t="s">
        <v>2841</v>
      </c>
      <c r="E3503" t="s">
        <v>4535</v>
      </c>
    </row>
    <row r="3504" spans="1:5" x14ac:dyDescent="0.3">
      <c r="A3504" t="s">
        <v>4557</v>
      </c>
      <c r="B3504" t="s">
        <v>4558</v>
      </c>
      <c r="C3504" t="s">
        <v>2840</v>
      </c>
      <c r="D3504" t="s">
        <v>2841</v>
      </c>
      <c r="E3504" t="s">
        <v>4559</v>
      </c>
    </row>
    <row r="3505" spans="1:5" x14ac:dyDescent="0.3">
      <c r="A3505" t="s">
        <v>4610</v>
      </c>
      <c r="B3505" t="s">
        <v>4611</v>
      </c>
      <c r="C3505" t="s">
        <v>4595</v>
      </c>
      <c r="D3505" t="s">
        <v>133</v>
      </c>
      <c r="E3505" t="s">
        <v>4612</v>
      </c>
    </row>
    <row r="3506" spans="1:5" x14ac:dyDescent="0.3">
      <c r="A3506" t="s">
        <v>1461</v>
      </c>
      <c r="B3506" t="s">
        <v>1462</v>
      </c>
      <c r="C3506" t="s">
        <v>1209</v>
      </c>
      <c r="D3506" t="s">
        <v>1088</v>
      </c>
      <c r="E3506" t="s">
        <v>1463</v>
      </c>
    </row>
    <row r="3507" spans="1:5" x14ac:dyDescent="0.3">
      <c r="A3507" t="s">
        <v>2885</v>
      </c>
      <c r="B3507" t="s">
        <v>2886</v>
      </c>
      <c r="C3507" t="s">
        <v>2696</v>
      </c>
      <c r="D3507" t="s">
        <v>2696</v>
      </c>
      <c r="E3507" t="s">
        <v>2887</v>
      </c>
    </row>
    <row r="3508" spans="1:5" x14ac:dyDescent="0.3">
      <c r="A3508" t="s">
        <v>2908</v>
      </c>
      <c r="B3508" t="s">
        <v>2909</v>
      </c>
      <c r="C3508" t="s">
        <v>2696</v>
      </c>
      <c r="D3508" t="s">
        <v>2696</v>
      </c>
      <c r="E3508" t="s">
        <v>2910</v>
      </c>
    </row>
    <row r="3509" spans="1:5" x14ac:dyDescent="0.3">
      <c r="A3509" t="s">
        <v>4134</v>
      </c>
      <c r="B3509" t="s">
        <v>4135</v>
      </c>
      <c r="C3509" t="s">
        <v>3946</v>
      </c>
      <c r="D3509" t="s">
        <v>2709</v>
      </c>
      <c r="E3509" t="s">
        <v>4136</v>
      </c>
    </row>
    <row r="3510" spans="1:5" x14ac:dyDescent="0.3">
      <c r="A3510" t="s">
        <v>4580</v>
      </c>
      <c r="B3510" t="s">
        <v>4581</v>
      </c>
      <c r="C3510" t="s">
        <v>2840</v>
      </c>
      <c r="D3510" t="s">
        <v>2841</v>
      </c>
      <c r="E3510" t="s">
        <v>4582</v>
      </c>
    </row>
    <row r="3511" spans="1:5" x14ac:dyDescent="0.3">
      <c r="A3511" t="s">
        <v>4604</v>
      </c>
      <c r="B3511" t="s">
        <v>4605</v>
      </c>
      <c r="C3511" t="s">
        <v>4595</v>
      </c>
      <c r="D3511" t="s">
        <v>133</v>
      </c>
      <c r="E3511" t="s">
        <v>4606</v>
      </c>
    </row>
    <row r="3512" spans="1:5" x14ac:dyDescent="0.3">
      <c r="A3512" t="s">
        <v>4632</v>
      </c>
      <c r="B3512" t="s">
        <v>4633</v>
      </c>
      <c r="C3512" t="s">
        <v>4625</v>
      </c>
      <c r="D3512" t="s">
        <v>133</v>
      </c>
      <c r="E3512" t="s">
        <v>4634</v>
      </c>
    </row>
    <row r="3513" spans="1:5" x14ac:dyDescent="0.3">
      <c r="A3513" t="s">
        <v>1387</v>
      </c>
      <c r="B3513" t="s">
        <v>1388</v>
      </c>
      <c r="C3513" t="s">
        <v>1209</v>
      </c>
      <c r="D3513" t="s">
        <v>1088</v>
      </c>
      <c r="E3513" t="s">
        <v>1389</v>
      </c>
    </row>
    <row r="3514" spans="1:5" x14ac:dyDescent="0.3">
      <c r="A3514" t="s">
        <v>4626</v>
      </c>
      <c r="B3514" t="s">
        <v>4627</v>
      </c>
      <c r="C3514" t="s">
        <v>4625</v>
      </c>
      <c r="D3514" t="s">
        <v>133</v>
      </c>
      <c r="E3514" t="s">
        <v>4628</v>
      </c>
    </row>
    <row r="3515" spans="1:5" x14ac:dyDescent="0.3">
      <c r="A3515" t="s">
        <v>4158</v>
      </c>
      <c r="B3515" t="s">
        <v>4159</v>
      </c>
      <c r="C3515" t="s">
        <v>3946</v>
      </c>
      <c r="D3515" t="s">
        <v>2709</v>
      </c>
      <c r="E3515" t="s">
        <v>4160</v>
      </c>
    </row>
    <row r="3516" spans="1:5" x14ac:dyDescent="0.3">
      <c r="A3516" t="s">
        <v>1405</v>
      </c>
      <c r="B3516" t="s">
        <v>1406</v>
      </c>
      <c r="C3516" t="s">
        <v>1110</v>
      </c>
      <c r="D3516" t="s">
        <v>1111</v>
      </c>
      <c r="E3516" t="s">
        <v>1407</v>
      </c>
    </row>
    <row r="3517" spans="1:5" x14ac:dyDescent="0.3">
      <c r="A3517" t="s">
        <v>2932</v>
      </c>
      <c r="B3517" t="s">
        <v>2933</v>
      </c>
      <c r="C3517" t="s">
        <v>2696</v>
      </c>
      <c r="D3517" t="s">
        <v>2696</v>
      </c>
      <c r="E3517" t="s">
        <v>2934</v>
      </c>
    </row>
    <row r="3518" spans="1:5" x14ac:dyDescent="0.3">
      <c r="A3518" t="s">
        <v>2955</v>
      </c>
      <c r="B3518" t="s">
        <v>2956</v>
      </c>
      <c r="C3518" t="s">
        <v>2696</v>
      </c>
      <c r="D3518" t="s">
        <v>2696</v>
      </c>
      <c r="E3518" t="s">
        <v>2957</v>
      </c>
    </row>
    <row r="3519" spans="1:5" x14ac:dyDescent="0.3">
      <c r="A3519" t="s">
        <v>4650</v>
      </c>
      <c r="B3519" t="s">
        <v>4129</v>
      </c>
      <c r="C3519" t="s">
        <v>4649</v>
      </c>
      <c r="D3519" t="s">
        <v>3712</v>
      </c>
      <c r="E3519" t="s">
        <v>4651</v>
      </c>
    </row>
    <row r="3520" spans="1:5" x14ac:dyDescent="0.3">
      <c r="A3520" t="s">
        <v>4673</v>
      </c>
      <c r="B3520" t="s">
        <v>4674</v>
      </c>
      <c r="C3520" t="s">
        <v>4649</v>
      </c>
      <c r="D3520" t="s">
        <v>3712</v>
      </c>
      <c r="E3520" t="s">
        <v>4675</v>
      </c>
    </row>
    <row r="3521" spans="1:5" x14ac:dyDescent="0.3">
      <c r="A3521" t="s">
        <v>4192</v>
      </c>
      <c r="B3521" t="s">
        <v>4193</v>
      </c>
      <c r="C3521" t="s">
        <v>3093</v>
      </c>
      <c r="D3521" t="s">
        <v>2852</v>
      </c>
      <c r="E3521" t="s">
        <v>4194</v>
      </c>
    </row>
    <row r="3522" spans="1:5" x14ac:dyDescent="0.3">
      <c r="A3522" t="s">
        <v>1411</v>
      </c>
      <c r="B3522" t="s">
        <v>1412</v>
      </c>
      <c r="C3522" t="s">
        <v>1196</v>
      </c>
      <c r="D3522" t="s">
        <v>1088</v>
      </c>
      <c r="E3522" t="s">
        <v>1413</v>
      </c>
    </row>
    <row r="3523" spans="1:5" x14ac:dyDescent="0.3">
      <c r="A3523" t="s">
        <v>4655</v>
      </c>
      <c r="B3523" t="s">
        <v>4656</v>
      </c>
      <c r="C3523" t="s">
        <v>4649</v>
      </c>
      <c r="D3523" t="s">
        <v>3712</v>
      </c>
      <c r="E3523" t="s">
        <v>4657</v>
      </c>
    </row>
    <row r="3524" spans="1:5" x14ac:dyDescent="0.3">
      <c r="A3524" t="s">
        <v>1475</v>
      </c>
      <c r="B3524" t="s">
        <v>1343</v>
      </c>
      <c r="C3524" t="s">
        <v>1110</v>
      </c>
      <c r="D3524" t="s">
        <v>1111</v>
      </c>
      <c r="E3524" t="s">
        <v>1476</v>
      </c>
    </row>
    <row r="3525" spans="1:5" x14ac:dyDescent="0.3">
      <c r="A3525" t="s">
        <v>4676</v>
      </c>
      <c r="B3525" t="s">
        <v>4677</v>
      </c>
      <c r="C3525" t="s">
        <v>4679</v>
      </c>
      <c r="D3525" t="s">
        <v>2704</v>
      </c>
      <c r="E3525" t="s">
        <v>4678</v>
      </c>
    </row>
    <row r="3526" spans="1:5" x14ac:dyDescent="0.3">
      <c r="A3526" t="s">
        <v>1414</v>
      </c>
      <c r="B3526" t="s">
        <v>1415</v>
      </c>
      <c r="C3526" t="s">
        <v>1196</v>
      </c>
      <c r="D3526" t="s">
        <v>1088</v>
      </c>
      <c r="E3526" t="s">
        <v>1416</v>
      </c>
    </row>
    <row r="3527" spans="1:5" x14ac:dyDescent="0.3">
      <c r="A3527" t="s">
        <v>1420</v>
      </c>
      <c r="B3527" t="s">
        <v>1421</v>
      </c>
      <c r="C3527" t="s">
        <v>1196</v>
      </c>
      <c r="D3527" t="s">
        <v>1088</v>
      </c>
      <c r="E3527" t="s">
        <v>1422</v>
      </c>
    </row>
    <row r="3528" spans="1:5" x14ac:dyDescent="0.3">
      <c r="A3528" t="s">
        <v>2979</v>
      </c>
      <c r="B3528" t="s">
        <v>2980</v>
      </c>
      <c r="C3528" t="s">
        <v>2696</v>
      </c>
      <c r="D3528" t="s">
        <v>2696</v>
      </c>
      <c r="E3528" t="s">
        <v>2981</v>
      </c>
    </row>
    <row r="3529" spans="1:5" x14ac:dyDescent="0.3">
      <c r="A3529" t="s">
        <v>3003</v>
      </c>
      <c r="B3529" t="s">
        <v>3004</v>
      </c>
      <c r="C3529" t="s">
        <v>2696</v>
      </c>
      <c r="D3529" t="s">
        <v>2696</v>
      </c>
      <c r="E3529" t="s">
        <v>3005</v>
      </c>
    </row>
    <row r="3530" spans="1:5" x14ac:dyDescent="0.3">
      <c r="A3530" t="s">
        <v>4682</v>
      </c>
      <c r="B3530" t="s">
        <v>4683</v>
      </c>
      <c r="C3530" t="s">
        <v>4679</v>
      </c>
      <c r="D3530" t="s">
        <v>2704</v>
      </c>
      <c r="E3530" t="s">
        <v>4684</v>
      </c>
    </row>
    <row r="3531" spans="1:5" x14ac:dyDescent="0.3">
      <c r="A3531" t="s">
        <v>4706</v>
      </c>
      <c r="B3531" t="s">
        <v>4707</v>
      </c>
      <c r="C3531" t="s">
        <v>4679</v>
      </c>
      <c r="D3531" t="s">
        <v>2704</v>
      </c>
      <c r="E3531" t="s">
        <v>4708</v>
      </c>
    </row>
    <row r="3532" spans="1:5" x14ac:dyDescent="0.3">
      <c r="A3532" t="s">
        <v>4700</v>
      </c>
      <c r="B3532" t="s">
        <v>4701</v>
      </c>
      <c r="C3532" t="s">
        <v>4679</v>
      </c>
      <c r="D3532" t="s">
        <v>2704</v>
      </c>
      <c r="E3532" t="s">
        <v>4702</v>
      </c>
    </row>
    <row r="3533" spans="1:5" x14ac:dyDescent="0.3">
      <c r="A3533" t="s">
        <v>4724</v>
      </c>
      <c r="B3533" t="s">
        <v>4725</v>
      </c>
      <c r="C3533" t="s">
        <v>3946</v>
      </c>
      <c r="D3533" t="s">
        <v>2709</v>
      </c>
      <c r="E3533" t="s">
        <v>4726</v>
      </c>
    </row>
    <row r="3534" spans="1:5" x14ac:dyDescent="0.3">
      <c r="A3534" t="s">
        <v>4214</v>
      </c>
      <c r="B3534" t="s">
        <v>4215</v>
      </c>
      <c r="C3534" t="s">
        <v>4207</v>
      </c>
      <c r="D3534" t="s">
        <v>133</v>
      </c>
      <c r="E3534" t="s">
        <v>4216</v>
      </c>
    </row>
    <row r="3535" spans="1:5" x14ac:dyDescent="0.3">
      <c r="A3535" t="s">
        <v>1435</v>
      </c>
      <c r="B3535" t="s">
        <v>1436</v>
      </c>
      <c r="C3535" t="s">
        <v>1209</v>
      </c>
      <c r="D3535" t="s">
        <v>1088</v>
      </c>
      <c r="E3535" t="s">
        <v>1437</v>
      </c>
    </row>
    <row r="3536" spans="1:5" x14ac:dyDescent="0.3">
      <c r="A3536" t="s">
        <v>4730</v>
      </c>
      <c r="B3536" t="s">
        <v>4731</v>
      </c>
      <c r="C3536" t="s">
        <v>4733</v>
      </c>
      <c r="D3536" t="s">
        <v>2704</v>
      </c>
      <c r="E3536" t="s">
        <v>4732</v>
      </c>
    </row>
    <row r="3537" spans="1:5" x14ac:dyDescent="0.3">
      <c r="A3537" t="s">
        <v>4755</v>
      </c>
      <c r="B3537" t="s">
        <v>4756</v>
      </c>
      <c r="C3537" t="s">
        <v>4733</v>
      </c>
      <c r="D3537" t="s">
        <v>2704</v>
      </c>
      <c r="E3537" t="s">
        <v>4757</v>
      </c>
    </row>
    <row r="3538" spans="1:5" x14ac:dyDescent="0.3">
      <c r="A3538" t="s">
        <v>4749</v>
      </c>
      <c r="B3538" t="s">
        <v>4750</v>
      </c>
      <c r="C3538" t="s">
        <v>4733</v>
      </c>
      <c r="D3538" t="s">
        <v>2704</v>
      </c>
      <c r="E3538" t="s">
        <v>4751</v>
      </c>
    </row>
    <row r="3539" spans="1:5" x14ac:dyDescent="0.3">
      <c r="A3539" t="s">
        <v>4772</v>
      </c>
      <c r="B3539" t="s">
        <v>4773</v>
      </c>
      <c r="C3539" t="s">
        <v>134</v>
      </c>
      <c r="D3539" t="s">
        <v>133</v>
      </c>
      <c r="E3539" t="s">
        <v>4774</v>
      </c>
    </row>
    <row r="3540" spans="1:5" x14ac:dyDescent="0.3">
      <c r="A3540" t="s">
        <v>3027</v>
      </c>
      <c r="B3540" t="s">
        <v>3028</v>
      </c>
      <c r="C3540" t="s">
        <v>2696</v>
      </c>
      <c r="D3540" t="s">
        <v>2696</v>
      </c>
      <c r="E3540" t="s">
        <v>3029</v>
      </c>
    </row>
    <row r="3541" spans="1:5" x14ac:dyDescent="0.3">
      <c r="A3541" t="s">
        <v>3051</v>
      </c>
      <c r="B3541" t="s">
        <v>3052</v>
      </c>
      <c r="C3541" t="s">
        <v>2696</v>
      </c>
      <c r="D3541" t="s">
        <v>2696</v>
      </c>
      <c r="E3541" t="s">
        <v>3053</v>
      </c>
    </row>
    <row r="3542" spans="1:5" x14ac:dyDescent="0.3">
      <c r="A3542" t="s">
        <v>4235</v>
      </c>
      <c r="B3542" t="s">
        <v>4236</v>
      </c>
      <c r="C3542" t="s">
        <v>4229</v>
      </c>
      <c r="D3542" t="s">
        <v>2841</v>
      </c>
      <c r="E3542" t="s">
        <v>4237</v>
      </c>
    </row>
    <row r="3543" spans="1:5" x14ac:dyDescent="0.3">
      <c r="A3543" t="s">
        <v>4257</v>
      </c>
      <c r="B3543" t="s">
        <v>4258</v>
      </c>
      <c r="C3543" t="s">
        <v>4256</v>
      </c>
      <c r="D3543" t="s">
        <v>133</v>
      </c>
      <c r="E3543" t="s">
        <v>4259</v>
      </c>
    </row>
    <row r="3544" spans="1:5" x14ac:dyDescent="0.3">
      <c r="A3544" t="s">
        <v>4778</v>
      </c>
      <c r="B3544" t="s">
        <v>4779</v>
      </c>
      <c r="C3544" t="s">
        <v>4781</v>
      </c>
      <c r="D3544" t="s">
        <v>133</v>
      </c>
      <c r="E3544" t="s">
        <v>4780</v>
      </c>
    </row>
    <row r="3545" spans="1:5" x14ac:dyDescent="0.3">
      <c r="A3545" t="s">
        <v>4802</v>
      </c>
      <c r="B3545" t="s">
        <v>4803</v>
      </c>
      <c r="C3545" t="s">
        <v>4781</v>
      </c>
      <c r="D3545" t="s">
        <v>133</v>
      </c>
      <c r="E3545" t="s">
        <v>4804</v>
      </c>
    </row>
    <row r="3546" spans="1:5" x14ac:dyDescent="0.3">
      <c r="A3546" t="s">
        <v>4796</v>
      </c>
      <c r="B3546" t="s">
        <v>4797</v>
      </c>
      <c r="C3546" t="s">
        <v>4781</v>
      </c>
      <c r="D3546" t="s">
        <v>133</v>
      </c>
      <c r="E3546" t="s">
        <v>4798</v>
      </c>
    </row>
    <row r="3547" spans="1:5" x14ac:dyDescent="0.3">
      <c r="A3547" t="s">
        <v>4820</v>
      </c>
      <c r="B3547" t="s">
        <v>4821</v>
      </c>
      <c r="C3547" t="s">
        <v>4781</v>
      </c>
      <c r="D3547" t="s">
        <v>133</v>
      </c>
      <c r="E3547" t="s">
        <v>4822</v>
      </c>
    </row>
    <row r="3548" spans="1:5" x14ac:dyDescent="0.3">
      <c r="A3548" t="s">
        <v>3074</v>
      </c>
      <c r="B3548" t="s">
        <v>3075</v>
      </c>
      <c r="C3548" t="s">
        <v>2696</v>
      </c>
      <c r="D3548" t="s">
        <v>2696</v>
      </c>
      <c r="E3548" t="s">
        <v>3076</v>
      </c>
    </row>
    <row r="3549" spans="1:5" x14ac:dyDescent="0.3">
      <c r="A3549" t="s">
        <v>3097</v>
      </c>
      <c r="B3549" t="s">
        <v>3098</v>
      </c>
      <c r="C3549" t="s">
        <v>2696</v>
      </c>
      <c r="D3549" t="s">
        <v>2696</v>
      </c>
      <c r="E3549" t="s">
        <v>3099</v>
      </c>
    </row>
    <row r="3550" spans="1:5" x14ac:dyDescent="0.3">
      <c r="A3550" t="s">
        <v>4825</v>
      </c>
      <c r="B3550" t="s">
        <v>4826</v>
      </c>
      <c r="C3550" t="s">
        <v>2840</v>
      </c>
      <c r="D3550" t="s">
        <v>2841</v>
      </c>
      <c r="E3550" t="s">
        <v>4827</v>
      </c>
    </row>
    <row r="3551" spans="1:5" x14ac:dyDescent="0.3">
      <c r="A3551" t="s">
        <v>1495</v>
      </c>
      <c r="B3551" t="s">
        <v>1496</v>
      </c>
      <c r="C3551" t="s">
        <v>1196</v>
      </c>
      <c r="D3551" t="s">
        <v>1088</v>
      </c>
      <c r="E3551" t="s">
        <v>1497</v>
      </c>
    </row>
    <row r="3552" spans="1:5" x14ac:dyDescent="0.3">
      <c r="A3552" t="s">
        <v>4842</v>
      </c>
      <c r="B3552" t="s">
        <v>4843</v>
      </c>
      <c r="C3552" t="s">
        <v>2840</v>
      </c>
      <c r="D3552" t="s">
        <v>2841</v>
      </c>
      <c r="E3552" t="s">
        <v>4844</v>
      </c>
    </row>
    <row r="3553" spans="1:5" x14ac:dyDescent="0.3">
      <c r="A3553" t="s">
        <v>4848</v>
      </c>
      <c r="B3553" t="s">
        <v>4849</v>
      </c>
      <c r="C3553" t="s">
        <v>2840</v>
      </c>
      <c r="D3553" t="s">
        <v>2841</v>
      </c>
      <c r="E3553" t="s">
        <v>4850</v>
      </c>
    </row>
    <row r="3554" spans="1:5" x14ac:dyDescent="0.3">
      <c r="A3554" t="s">
        <v>3120</v>
      </c>
      <c r="B3554" t="s">
        <v>3121</v>
      </c>
      <c r="C3554" t="s">
        <v>2696</v>
      </c>
      <c r="D3554" t="s">
        <v>2696</v>
      </c>
      <c r="E3554" t="s">
        <v>3122</v>
      </c>
    </row>
    <row r="3555" spans="1:5" x14ac:dyDescent="0.3">
      <c r="A3555" t="s">
        <v>3143</v>
      </c>
      <c r="B3555" t="s">
        <v>3144</v>
      </c>
      <c r="C3555" t="s">
        <v>2696</v>
      </c>
      <c r="D3555" t="s">
        <v>2696</v>
      </c>
      <c r="E3555" t="s">
        <v>3145</v>
      </c>
    </row>
    <row r="3556" spans="1:5" x14ac:dyDescent="0.3">
      <c r="A3556" t="s">
        <v>4854</v>
      </c>
      <c r="B3556" t="s">
        <v>4855</v>
      </c>
      <c r="C3556" t="s">
        <v>2840</v>
      </c>
      <c r="D3556" t="s">
        <v>2841</v>
      </c>
      <c r="E3556" t="s">
        <v>4856</v>
      </c>
    </row>
    <row r="3557" spans="1:5" x14ac:dyDescent="0.3">
      <c r="A3557" t="s">
        <v>4877</v>
      </c>
      <c r="B3557" t="s">
        <v>4878</v>
      </c>
      <c r="C3557" t="s">
        <v>4781</v>
      </c>
      <c r="D3557" t="s">
        <v>133</v>
      </c>
      <c r="E3557" t="s">
        <v>4879</v>
      </c>
    </row>
    <row r="3558" spans="1:5" x14ac:dyDescent="0.3">
      <c r="A3558" t="s">
        <v>4872</v>
      </c>
      <c r="B3558" t="s">
        <v>1082</v>
      </c>
      <c r="C3558" t="s">
        <v>4781</v>
      </c>
      <c r="D3558" t="s">
        <v>133</v>
      </c>
      <c r="E3558" t="s">
        <v>4873</v>
      </c>
    </row>
    <row r="3559" spans="1:5" x14ac:dyDescent="0.3">
      <c r="A3559" t="s">
        <v>4895</v>
      </c>
      <c r="B3559" t="s">
        <v>4896</v>
      </c>
      <c r="C3559" t="s">
        <v>4207</v>
      </c>
      <c r="D3559" t="s">
        <v>133</v>
      </c>
      <c r="E3559" t="s">
        <v>4897</v>
      </c>
    </row>
    <row r="3560" spans="1:5" x14ac:dyDescent="0.3">
      <c r="A3560" t="s">
        <v>4901</v>
      </c>
      <c r="B3560" t="s">
        <v>4902</v>
      </c>
      <c r="C3560" t="s">
        <v>4207</v>
      </c>
      <c r="D3560" t="s">
        <v>133</v>
      </c>
      <c r="E3560" t="s">
        <v>4903</v>
      </c>
    </row>
    <row r="3561" spans="1:5" x14ac:dyDescent="0.3">
      <c r="A3561" t="s">
        <v>1502</v>
      </c>
      <c r="B3561" t="s">
        <v>1503</v>
      </c>
      <c r="C3561" t="s">
        <v>1087</v>
      </c>
      <c r="D3561" t="s">
        <v>1088</v>
      </c>
      <c r="E3561" t="s">
        <v>1504</v>
      </c>
    </row>
    <row r="3562" spans="1:5" x14ac:dyDescent="0.3">
      <c r="A3562" t="s">
        <v>4918</v>
      </c>
      <c r="B3562" t="s">
        <v>4919</v>
      </c>
      <c r="C3562" t="s">
        <v>134</v>
      </c>
      <c r="D3562" t="s">
        <v>133</v>
      </c>
      <c r="E3562" t="s">
        <v>4920</v>
      </c>
    </row>
    <row r="3563" spans="1:5" x14ac:dyDescent="0.3">
      <c r="A3563" t="s">
        <v>1449</v>
      </c>
      <c r="B3563" t="s">
        <v>1450</v>
      </c>
      <c r="C3563" t="s">
        <v>1087</v>
      </c>
      <c r="D3563" t="s">
        <v>1088</v>
      </c>
      <c r="E3563" t="s">
        <v>1451</v>
      </c>
    </row>
    <row r="3564" spans="1:5" x14ac:dyDescent="0.3">
      <c r="A3564" t="s">
        <v>1508</v>
      </c>
      <c r="B3564" t="s">
        <v>1509</v>
      </c>
      <c r="C3564" t="s">
        <v>1087</v>
      </c>
      <c r="D3564" t="s">
        <v>1088</v>
      </c>
      <c r="E3564" t="s">
        <v>1510</v>
      </c>
    </row>
    <row r="3565" spans="1:5" x14ac:dyDescent="0.3">
      <c r="A3565" t="s">
        <v>1511</v>
      </c>
      <c r="B3565" t="s">
        <v>1512</v>
      </c>
      <c r="C3565" t="s">
        <v>1196</v>
      </c>
      <c r="D3565" t="s">
        <v>1088</v>
      </c>
      <c r="E3565" t="s">
        <v>1513</v>
      </c>
    </row>
    <row r="3566" spans="1:5" x14ac:dyDescent="0.3">
      <c r="A3566" t="s">
        <v>4280</v>
      </c>
      <c r="B3566" t="s">
        <v>4281</v>
      </c>
      <c r="C3566" t="s">
        <v>2851</v>
      </c>
      <c r="D3566" t="s">
        <v>2852</v>
      </c>
      <c r="E3566" t="s">
        <v>4282</v>
      </c>
    </row>
    <row r="3567" spans="1:5" x14ac:dyDescent="0.3">
      <c r="A3567" t="s">
        <v>4305</v>
      </c>
      <c r="B3567" t="s">
        <v>4306</v>
      </c>
      <c r="C3567" t="s">
        <v>4308</v>
      </c>
      <c r="D3567" t="s">
        <v>133</v>
      </c>
      <c r="E3567" t="s">
        <v>4307</v>
      </c>
    </row>
    <row r="3568" spans="1:5" x14ac:dyDescent="0.3">
      <c r="A3568" t="s">
        <v>1452</v>
      </c>
      <c r="B3568" t="s">
        <v>1453</v>
      </c>
      <c r="C3568" t="s">
        <v>1196</v>
      </c>
      <c r="D3568" t="s">
        <v>1088</v>
      </c>
      <c r="E3568" t="s">
        <v>1454</v>
      </c>
    </row>
    <row r="3569" spans="1:5" x14ac:dyDescent="0.3">
      <c r="A3569" t="s">
        <v>1455</v>
      </c>
      <c r="B3569" t="s">
        <v>1456</v>
      </c>
      <c r="C3569" t="s">
        <v>1196</v>
      </c>
      <c r="D3569" t="s">
        <v>1088</v>
      </c>
      <c r="E3569" t="s">
        <v>1457</v>
      </c>
    </row>
    <row r="3570" spans="1:5" x14ac:dyDescent="0.3">
      <c r="A3570" t="s">
        <v>4940</v>
      </c>
      <c r="B3570" t="s">
        <v>4941</v>
      </c>
      <c r="C3570" t="s">
        <v>2703</v>
      </c>
      <c r="D3570" t="s">
        <v>2704</v>
      </c>
      <c r="E3570" t="s">
        <v>4942</v>
      </c>
    </row>
    <row r="3571" spans="1:5" x14ac:dyDescent="0.3">
      <c r="A3571" t="s">
        <v>4330</v>
      </c>
      <c r="B3571" t="s">
        <v>4331</v>
      </c>
      <c r="C3571" t="s">
        <v>2851</v>
      </c>
      <c r="D3571" t="s">
        <v>2852</v>
      </c>
      <c r="E3571" t="s">
        <v>4332</v>
      </c>
    </row>
    <row r="3572" spans="1:5" x14ac:dyDescent="0.3">
      <c r="A3572" t="s">
        <v>1441</v>
      </c>
      <c r="B3572" t="s">
        <v>1442</v>
      </c>
      <c r="C3572" t="s">
        <v>1110</v>
      </c>
      <c r="D3572" t="s">
        <v>1111</v>
      </c>
      <c r="E3572" t="s">
        <v>1443</v>
      </c>
    </row>
    <row r="3573" spans="1:5" x14ac:dyDescent="0.3">
      <c r="A3573" t="s">
        <v>4957</v>
      </c>
      <c r="B3573" t="s">
        <v>4958</v>
      </c>
      <c r="C3573" t="s">
        <v>2696</v>
      </c>
      <c r="D3573" t="s">
        <v>2696</v>
      </c>
      <c r="E3573" t="s">
        <v>4959</v>
      </c>
    </row>
    <row r="3574" spans="1:5" x14ac:dyDescent="0.3">
      <c r="A3574" t="s">
        <v>4979</v>
      </c>
      <c r="B3574" t="s">
        <v>4980</v>
      </c>
      <c r="C3574" t="s">
        <v>2696</v>
      </c>
      <c r="D3574" t="s">
        <v>2696</v>
      </c>
      <c r="E3574" t="s">
        <v>4981</v>
      </c>
    </row>
    <row r="3575" spans="1:5" x14ac:dyDescent="0.3">
      <c r="A3575" t="s">
        <v>4963</v>
      </c>
      <c r="B3575" t="s">
        <v>4964</v>
      </c>
      <c r="C3575" t="s">
        <v>2696</v>
      </c>
      <c r="D3575" t="s">
        <v>2696</v>
      </c>
      <c r="E3575" t="s">
        <v>4965</v>
      </c>
    </row>
    <row r="3576" spans="1:5" x14ac:dyDescent="0.3">
      <c r="A3576" t="s">
        <v>4985</v>
      </c>
      <c r="B3576" t="s">
        <v>4986</v>
      </c>
      <c r="C3576" t="s">
        <v>2696</v>
      </c>
      <c r="D3576" t="s">
        <v>2696</v>
      </c>
      <c r="E3576" t="s">
        <v>4987</v>
      </c>
    </row>
    <row r="3577" spans="1:5" x14ac:dyDescent="0.3">
      <c r="A3577" t="s">
        <v>1444</v>
      </c>
      <c r="B3577" t="s">
        <v>1325</v>
      </c>
      <c r="C3577" t="s">
        <v>1110</v>
      </c>
      <c r="D3577" t="s">
        <v>1111</v>
      </c>
      <c r="E3577" t="s">
        <v>1445</v>
      </c>
    </row>
    <row r="3578" spans="1:5" x14ac:dyDescent="0.3">
      <c r="A3578" t="s">
        <v>4357</v>
      </c>
      <c r="B3578" t="s">
        <v>4358</v>
      </c>
      <c r="C3578" t="s">
        <v>3983</v>
      </c>
      <c r="D3578" t="s">
        <v>3712</v>
      </c>
      <c r="E3578" t="s">
        <v>4359</v>
      </c>
    </row>
    <row r="3579" spans="1:5" x14ac:dyDescent="0.3">
      <c r="A3579" t="s">
        <v>5002</v>
      </c>
      <c r="B3579" t="s">
        <v>3001</v>
      </c>
      <c r="C3579" t="s">
        <v>2696</v>
      </c>
      <c r="D3579" t="s">
        <v>2696</v>
      </c>
      <c r="E3579" t="s">
        <v>5003</v>
      </c>
    </row>
    <row r="3580" spans="1:5" x14ac:dyDescent="0.3">
      <c r="A3580" t="s">
        <v>5024</v>
      </c>
      <c r="B3580" t="s">
        <v>5025</v>
      </c>
      <c r="C3580" t="s">
        <v>2696</v>
      </c>
      <c r="D3580" t="s">
        <v>2696</v>
      </c>
      <c r="E3580" t="s">
        <v>5026</v>
      </c>
    </row>
    <row r="3581" spans="1:5" x14ac:dyDescent="0.3">
      <c r="A3581" t="s">
        <v>5007</v>
      </c>
      <c r="B3581" t="s">
        <v>5008</v>
      </c>
      <c r="C3581" t="s">
        <v>2696</v>
      </c>
      <c r="D3581" t="s">
        <v>2696</v>
      </c>
      <c r="E3581" t="s">
        <v>5009</v>
      </c>
    </row>
    <row r="3582" spans="1:5" x14ac:dyDescent="0.3">
      <c r="A3582" t="s">
        <v>5030</v>
      </c>
      <c r="B3582" t="s">
        <v>5031</v>
      </c>
      <c r="C3582" t="s">
        <v>2696</v>
      </c>
      <c r="D3582" t="s">
        <v>2696</v>
      </c>
      <c r="E3582" t="s">
        <v>5032</v>
      </c>
    </row>
    <row r="3583" spans="1:5" x14ac:dyDescent="0.3">
      <c r="A3583" t="s">
        <v>4381</v>
      </c>
      <c r="B3583" t="s">
        <v>4382</v>
      </c>
      <c r="C3583" t="s">
        <v>3983</v>
      </c>
      <c r="D3583" t="s">
        <v>3712</v>
      </c>
      <c r="E3583" t="s">
        <v>4383</v>
      </c>
    </row>
    <row r="3584" spans="1:5" x14ac:dyDescent="0.3">
      <c r="A3584" t="s">
        <v>4405</v>
      </c>
      <c r="B3584" t="s">
        <v>4406</v>
      </c>
      <c r="C3584" t="s">
        <v>2696</v>
      </c>
      <c r="D3584" t="s">
        <v>2696</v>
      </c>
      <c r="E3584" t="s">
        <v>4407</v>
      </c>
    </row>
    <row r="3585" spans="1:5" x14ac:dyDescent="0.3">
      <c r="A3585" t="s">
        <v>5048</v>
      </c>
      <c r="B3585" t="s">
        <v>5049</v>
      </c>
      <c r="C3585" t="s">
        <v>2696</v>
      </c>
      <c r="D3585" t="s">
        <v>2696</v>
      </c>
      <c r="E3585" t="s">
        <v>5050</v>
      </c>
    </row>
    <row r="3586" spans="1:5" x14ac:dyDescent="0.3">
      <c r="A3586" t="s">
        <v>5054</v>
      </c>
      <c r="B3586" t="s">
        <v>5055</v>
      </c>
      <c r="C3586" t="s">
        <v>2696</v>
      </c>
      <c r="D3586" t="s">
        <v>2696</v>
      </c>
      <c r="E3586" t="s">
        <v>5056</v>
      </c>
    </row>
    <row r="3587" spans="1:5" x14ac:dyDescent="0.3">
      <c r="A3587" t="s">
        <v>5077</v>
      </c>
      <c r="B3587" t="s">
        <v>5078</v>
      </c>
      <c r="C3587" t="s">
        <v>2696</v>
      </c>
      <c r="D3587" t="s">
        <v>2696</v>
      </c>
      <c r="E3587" t="s">
        <v>5079</v>
      </c>
    </row>
    <row r="3588" spans="1:5" x14ac:dyDescent="0.3">
      <c r="A3588" t="s">
        <v>5072</v>
      </c>
      <c r="B3588" t="s">
        <v>5073</v>
      </c>
      <c r="C3588" t="s">
        <v>2696</v>
      </c>
      <c r="D3588" t="s">
        <v>2696</v>
      </c>
      <c r="E3588" t="s">
        <v>5074</v>
      </c>
    </row>
    <row r="3589" spans="1:5" x14ac:dyDescent="0.3">
      <c r="A3589" t="s">
        <v>5095</v>
      </c>
      <c r="B3589" t="s">
        <v>1081</v>
      </c>
      <c r="C3589" t="s">
        <v>2696</v>
      </c>
      <c r="D3589" t="s">
        <v>2696</v>
      </c>
      <c r="E3589" t="s">
        <v>5096</v>
      </c>
    </row>
    <row r="3590" spans="1:5" x14ac:dyDescent="0.3">
      <c r="A3590" t="s">
        <v>5100</v>
      </c>
      <c r="B3590" t="s">
        <v>5101</v>
      </c>
      <c r="C3590" t="s">
        <v>2696</v>
      </c>
      <c r="D3590" t="s">
        <v>2696</v>
      </c>
      <c r="E3590" t="s">
        <v>5102</v>
      </c>
    </row>
    <row r="3591" spans="1:5" x14ac:dyDescent="0.3">
      <c r="A3591" t="s">
        <v>5123</v>
      </c>
      <c r="B3591" t="s">
        <v>5124</v>
      </c>
      <c r="C3591" t="s">
        <v>2696</v>
      </c>
      <c r="D3591" t="s">
        <v>2696</v>
      </c>
      <c r="E3591" t="s">
        <v>5125</v>
      </c>
    </row>
    <row r="3592" spans="1:5" x14ac:dyDescent="0.3">
      <c r="A3592" t="s">
        <v>4429</v>
      </c>
      <c r="B3592" t="s">
        <v>4430</v>
      </c>
      <c r="C3592" t="s">
        <v>2696</v>
      </c>
      <c r="D3592" t="s">
        <v>2696</v>
      </c>
      <c r="E3592" t="s">
        <v>4431</v>
      </c>
    </row>
    <row r="3593" spans="1:5" x14ac:dyDescent="0.3">
      <c r="A3593" t="s">
        <v>4452</v>
      </c>
      <c r="B3593" t="s">
        <v>2823</v>
      </c>
      <c r="C3593" t="s">
        <v>4167</v>
      </c>
      <c r="D3593" t="s">
        <v>2852</v>
      </c>
      <c r="E3593" t="s">
        <v>4453</v>
      </c>
    </row>
    <row r="3594" spans="1:5" x14ac:dyDescent="0.3">
      <c r="A3594" t="s">
        <v>5117</v>
      </c>
      <c r="B3594" t="s">
        <v>5118</v>
      </c>
      <c r="C3594" t="s">
        <v>2696</v>
      </c>
      <c r="D3594" t="s">
        <v>2696</v>
      </c>
      <c r="E3594" t="s">
        <v>5119</v>
      </c>
    </row>
    <row r="3595" spans="1:5" x14ac:dyDescent="0.3">
      <c r="A3595" t="s">
        <v>5141</v>
      </c>
      <c r="B3595" t="s">
        <v>5142</v>
      </c>
      <c r="C3595" t="s">
        <v>2696</v>
      </c>
      <c r="D3595" t="s">
        <v>2696</v>
      </c>
      <c r="E3595" t="s">
        <v>5143</v>
      </c>
    </row>
    <row r="3596" spans="1:5" x14ac:dyDescent="0.3">
      <c r="A3596" t="s">
        <v>4476</v>
      </c>
      <c r="B3596" t="s">
        <v>4477</v>
      </c>
      <c r="C3596" t="s">
        <v>4469</v>
      </c>
      <c r="D3596" t="s">
        <v>2709</v>
      </c>
      <c r="E3596" t="s">
        <v>4478</v>
      </c>
    </row>
    <row r="3597" spans="1:5" x14ac:dyDescent="0.3">
      <c r="A3597" t="s">
        <v>1458</v>
      </c>
      <c r="B3597" t="s">
        <v>1459</v>
      </c>
      <c r="C3597" t="s">
        <v>1110</v>
      </c>
      <c r="D3597" t="s">
        <v>1111</v>
      </c>
      <c r="E3597" t="s">
        <v>1460</v>
      </c>
    </row>
    <row r="3598" spans="1:5" x14ac:dyDescent="0.3">
      <c r="A3598" t="s">
        <v>5147</v>
      </c>
      <c r="B3598" t="s">
        <v>5148</v>
      </c>
      <c r="C3598" t="s">
        <v>2696</v>
      </c>
      <c r="D3598" t="s">
        <v>2696</v>
      </c>
      <c r="E3598" t="s">
        <v>5149</v>
      </c>
    </row>
    <row r="3599" spans="1:5" x14ac:dyDescent="0.3">
      <c r="A3599" t="s">
        <v>5171</v>
      </c>
      <c r="B3599" t="s">
        <v>5172</v>
      </c>
      <c r="C3599" t="s">
        <v>2696</v>
      </c>
      <c r="D3599" t="s">
        <v>2696</v>
      </c>
      <c r="E3599" t="s">
        <v>5173</v>
      </c>
    </row>
    <row r="3600" spans="1:5" x14ac:dyDescent="0.3">
      <c r="A3600" t="s">
        <v>3167</v>
      </c>
      <c r="B3600" t="s">
        <v>3168</v>
      </c>
      <c r="C3600" t="s">
        <v>2696</v>
      </c>
      <c r="D3600" t="s">
        <v>2696</v>
      </c>
      <c r="E3600" t="s">
        <v>3169</v>
      </c>
    </row>
    <row r="3601" spans="1:5" x14ac:dyDescent="0.3">
      <c r="A3601" t="s">
        <v>3191</v>
      </c>
      <c r="B3601" t="s">
        <v>3192</v>
      </c>
      <c r="C3601" t="s">
        <v>2696</v>
      </c>
      <c r="D3601" t="s">
        <v>2696</v>
      </c>
      <c r="E3601" t="s">
        <v>3193</v>
      </c>
    </row>
    <row r="3602" spans="1:5" x14ac:dyDescent="0.3">
      <c r="A3602" t="s">
        <v>5165</v>
      </c>
      <c r="B3602" t="s">
        <v>5166</v>
      </c>
      <c r="C3602" t="s">
        <v>2696</v>
      </c>
      <c r="D3602" t="s">
        <v>2696</v>
      </c>
      <c r="E3602" t="s">
        <v>5167</v>
      </c>
    </row>
    <row r="3603" spans="1:5" x14ac:dyDescent="0.3">
      <c r="A3603" t="s">
        <v>5188</v>
      </c>
      <c r="B3603" t="s">
        <v>3275</v>
      </c>
      <c r="C3603" t="s">
        <v>2696</v>
      </c>
      <c r="D3603" t="s">
        <v>2696</v>
      </c>
      <c r="E3603" t="s">
        <v>5189</v>
      </c>
    </row>
    <row r="3604" spans="1:5" x14ac:dyDescent="0.3">
      <c r="A3604" t="s">
        <v>4506</v>
      </c>
      <c r="B3604" t="s">
        <v>4507</v>
      </c>
      <c r="C3604" t="s">
        <v>4229</v>
      </c>
      <c r="D3604" t="s">
        <v>2841</v>
      </c>
      <c r="E3604" t="s">
        <v>4508</v>
      </c>
    </row>
    <row r="3605" spans="1:5" x14ac:dyDescent="0.3">
      <c r="A3605" t="s">
        <v>4530</v>
      </c>
      <c r="B3605" t="s">
        <v>4531</v>
      </c>
      <c r="C3605" t="s">
        <v>3850</v>
      </c>
      <c r="D3605" t="s">
        <v>3712</v>
      </c>
      <c r="E3605" t="s">
        <v>4532</v>
      </c>
    </row>
    <row r="3606" spans="1:5" x14ac:dyDescent="0.3">
      <c r="A3606" t="s">
        <v>5193</v>
      </c>
      <c r="B3606" t="s">
        <v>5194</v>
      </c>
      <c r="C3606" t="s">
        <v>2696</v>
      </c>
      <c r="D3606" t="s">
        <v>2696</v>
      </c>
      <c r="E3606" t="s">
        <v>5195</v>
      </c>
    </row>
    <row r="3607" spans="1:5" x14ac:dyDescent="0.3">
      <c r="A3607" t="s">
        <v>5217</v>
      </c>
      <c r="B3607" t="s">
        <v>5218</v>
      </c>
      <c r="C3607" t="s">
        <v>2696</v>
      </c>
      <c r="D3607" t="s">
        <v>2696</v>
      </c>
      <c r="E3607" t="s">
        <v>5219</v>
      </c>
    </row>
    <row r="3608" spans="1:5" x14ac:dyDescent="0.3">
      <c r="A3608" t="s">
        <v>5211</v>
      </c>
      <c r="B3608" t="s">
        <v>5212</v>
      </c>
      <c r="C3608" t="s">
        <v>2696</v>
      </c>
      <c r="D3608" t="s">
        <v>2696</v>
      </c>
      <c r="E3608" t="s">
        <v>5213</v>
      </c>
    </row>
    <row r="3609" spans="1:5" x14ac:dyDescent="0.3">
      <c r="A3609" t="s">
        <v>5234</v>
      </c>
      <c r="B3609" t="s">
        <v>5235</v>
      </c>
      <c r="C3609" t="s">
        <v>2696</v>
      </c>
      <c r="D3609" t="s">
        <v>2696</v>
      </c>
      <c r="E3609" t="s">
        <v>5236</v>
      </c>
    </row>
    <row r="3610" spans="1:5" x14ac:dyDescent="0.3">
      <c r="A3610" t="s">
        <v>3215</v>
      </c>
      <c r="B3610" t="s">
        <v>3216</v>
      </c>
      <c r="C3610" t="s">
        <v>2696</v>
      </c>
      <c r="D3610" t="s">
        <v>2696</v>
      </c>
      <c r="E3610" t="s">
        <v>3217</v>
      </c>
    </row>
    <row r="3611" spans="1:5" x14ac:dyDescent="0.3">
      <c r="A3611" t="s">
        <v>3238</v>
      </c>
      <c r="B3611" t="s">
        <v>3239</v>
      </c>
      <c r="C3611" t="s">
        <v>2696</v>
      </c>
      <c r="D3611" t="s">
        <v>2696</v>
      </c>
      <c r="E3611" t="s">
        <v>3240</v>
      </c>
    </row>
    <row r="3612" spans="1:5" x14ac:dyDescent="0.3">
      <c r="A3612" t="s">
        <v>4554</v>
      </c>
      <c r="B3612" t="s">
        <v>4555</v>
      </c>
      <c r="C3612" t="s">
        <v>2840</v>
      </c>
      <c r="D3612" t="s">
        <v>2841</v>
      </c>
      <c r="E3612" t="s">
        <v>4556</v>
      </c>
    </row>
    <row r="3613" spans="1:5" x14ac:dyDescent="0.3">
      <c r="A3613" t="s">
        <v>4577</v>
      </c>
      <c r="B3613" t="s">
        <v>4578</v>
      </c>
      <c r="C3613" t="s">
        <v>2840</v>
      </c>
      <c r="D3613" t="s">
        <v>2841</v>
      </c>
      <c r="E3613" t="s">
        <v>4579</v>
      </c>
    </row>
    <row r="3614" spans="1:5" x14ac:dyDescent="0.3">
      <c r="A3614" t="s">
        <v>5240</v>
      </c>
      <c r="B3614" t="s">
        <v>5241</v>
      </c>
      <c r="C3614" t="s">
        <v>2696</v>
      </c>
      <c r="D3614" t="s">
        <v>2696</v>
      </c>
      <c r="E3614" t="s">
        <v>5242</v>
      </c>
    </row>
    <row r="3615" spans="1:5" x14ac:dyDescent="0.3">
      <c r="A3615" t="s">
        <v>4602</v>
      </c>
      <c r="B3615" t="s">
        <v>2771</v>
      </c>
      <c r="C3615" t="s">
        <v>4595</v>
      </c>
      <c r="D3615" t="s">
        <v>133</v>
      </c>
      <c r="E3615" t="s">
        <v>4603</v>
      </c>
    </row>
    <row r="3616" spans="1:5" x14ac:dyDescent="0.3">
      <c r="A3616" t="s">
        <v>1467</v>
      </c>
      <c r="B3616" t="s">
        <v>1468</v>
      </c>
      <c r="C3616" t="s">
        <v>1209</v>
      </c>
      <c r="D3616" t="s">
        <v>1088</v>
      </c>
      <c r="E3616" t="s">
        <v>1469</v>
      </c>
    </row>
    <row r="3617" spans="1:5" x14ac:dyDescent="0.3">
      <c r="A3617" t="s">
        <v>3262</v>
      </c>
      <c r="B3617" t="s">
        <v>3263</v>
      </c>
      <c r="C3617" t="s">
        <v>2696</v>
      </c>
      <c r="D3617" t="s">
        <v>2696</v>
      </c>
      <c r="E3617" t="s">
        <v>3264</v>
      </c>
    </row>
    <row r="3618" spans="1:5" x14ac:dyDescent="0.3">
      <c r="A3618" t="s">
        <v>3286</v>
      </c>
      <c r="B3618" t="s">
        <v>3287</v>
      </c>
      <c r="C3618" t="s">
        <v>2696</v>
      </c>
      <c r="D3618" t="s">
        <v>2696</v>
      </c>
      <c r="E3618" t="s">
        <v>3288</v>
      </c>
    </row>
    <row r="3619" spans="1:5" x14ac:dyDescent="0.3">
      <c r="A3619" t="s">
        <v>4622</v>
      </c>
      <c r="B3619" t="s">
        <v>4623</v>
      </c>
      <c r="C3619" t="s">
        <v>4625</v>
      </c>
      <c r="D3619" t="s">
        <v>133</v>
      </c>
      <c r="E3619" t="s">
        <v>4624</v>
      </c>
    </row>
    <row r="3620" spans="1:5" x14ac:dyDescent="0.3">
      <c r="A3620" t="s">
        <v>4647</v>
      </c>
      <c r="B3620" t="s">
        <v>1191</v>
      </c>
      <c r="C3620" t="s">
        <v>4649</v>
      </c>
      <c r="D3620" t="s">
        <v>3712</v>
      </c>
      <c r="E3620" t="s">
        <v>4648</v>
      </c>
    </row>
    <row r="3621" spans="1:5" x14ac:dyDescent="0.3">
      <c r="A3621" t="s">
        <v>3310</v>
      </c>
      <c r="B3621" t="s">
        <v>2600</v>
      </c>
      <c r="C3621" t="s">
        <v>2696</v>
      </c>
      <c r="D3621" t="s">
        <v>2696</v>
      </c>
      <c r="E3621" t="s">
        <v>3311</v>
      </c>
    </row>
    <row r="3622" spans="1:5" x14ac:dyDescent="0.3">
      <c r="A3622" t="s">
        <v>3333</v>
      </c>
      <c r="B3622" t="s">
        <v>3334</v>
      </c>
      <c r="C3622" t="s">
        <v>2696</v>
      </c>
      <c r="D3622" t="s">
        <v>2696</v>
      </c>
      <c r="E3622" t="s">
        <v>3335</v>
      </c>
    </row>
    <row r="3623" spans="1:5" x14ac:dyDescent="0.3">
      <c r="A3623" t="s">
        <v>4670</v>
      </c>
      <c r="B3623" t="s">
        <v>4671</v>
      </c>
      <c r="C3623" t="s">
        <v>4649</v>
      </c>
      <c r="D3623" t="s">
        <v>3712</v>
      </c>
      <c r="E3623" t="s">
        <v>4672</v>
      </c>
    </row>
    <row r="3624" spans="1:5" x14ac:dyDescent="0.3">
      <c r="A3624" t="s">
        <v>1472</v>
      </c>
      <c r="B3624" t="s">
        <v>1473</v>
      </c>
      <c r="C3624" t="s">
        <v>1110</v>
      </c>
      <c r="D3624" t="s">
        <v>1111</v>
      </c>
      <c r="E3624" t="s">
        <v>1474</v>
      </c>
    </row>
    <row r="3625" spans="1:5" x14ac:dyDescent="0.3">
      <c r="A3625" t="s">
        <v>3357</v>
      </c>
      <c r="B3625" t="s">
        <v>3358</v>
      </c>
      <c r="C3625" t="s">
        <v>2696</v>
      </c>
      <c r="D3625" t="s">
        <v>2696</v>
      </c>
      <c r="E3625" t="s">
        <v>3359</v>
      </c>
    </row>
    <row r="3626" spans="1:5" x14ac:dyDescent="0.3">
      <c r="A3626" t="s">
        <v>3380</v>
      </c>
      <c r="B3626" t="s">
        <v>3381</v>
      </c>
      <c r="C3626" t="s">
        <v>2696</v>
      </c>
      <c r="D3626" t="s">
        <v>2696</v>
      </c>
      <c r="E3626" t="s">
        <v>3382</v>
      </c>
    </row>
    <row r="3627" spans="1:5" x14ac:dyDescent="0.3">
      <c r="A3627" t="s">
        <v>3404</v>
      </c>
      <c r="B3627" t="s">
        <v>3405</v>
      </c>
      <c r="C3627" t="s">
        <v>2696</v>
      </c>
      <c r="D3627" t="s">
        <v>2696</v>
      </c>
      <c r="E3627" t="s">
        <v>3406</v>
      </c>
    </row>
    <row r="3628" spans="1:5" x14ac:dyDescent="0.3">
      <c r="A3628" t="s">
        <v>3428</v>
      </c>
      <c r="B3628" t="s">
        <v>3429</v>
      </c>
      <c r="C3628" t="s">
        <v>2696</v>
      </c>
      <c r="D3628" t="s">
        <v>2696</v>
      </c>
      <c r="E3628" t="s">
        <v>3430</v>
      </c>
    </row>
    <row r="3629" spans="1:5" x14ac:dyDescent="0.3">
      <c r="A3629" t="s">
        <v>3452</v>
      </c>
      <c r="B3629" t="s">
        <v>3453</v>
      </c>
      <c r="C3629" t="s">
        <v>2696</v>
      </c>
      <c r="D3629" t="s">
        <v>2696</v>
      </c>
      <c r="E3629" t="s">
        <v>3454</v>
      </c>
    </row>
    <row r="3630" spans="1:5" x14ac:dyDescent="0.3">
      <c r="A3630" t="s">
        <v>3474</v>
      </c>
      <c r="B3630" t="s">
        <v>3475</v>
      </c>
      <c r="C3630" t="s">
        <v>2696</v>
      </c>
      <c r="D3630" t="s">
        <v>2696</v>
      </c>
      <c r="E3630" t="s">
        <v>3476</v>
      </c>
    </row>
    <row r="3631" spans="1:5" x14ac:dyDescent="0.3">
      <c r="A3631" t="s">
        <v>3497</v>
      </c>
      <c r="B3631" t="s">
        <v>3498</v>
      </c>
      <c r="C3631" t="s">
        <v>2696</v>
      </c>
      <c r="D3631" t="s">
        <v>2696</v>
      </c>
      <c r="E3631" t="s">
        <v>3499</v>
      </c>
    </row>
    <row r="3632" spans="1:5" x14ac:dyDescent="0.3">
      <c r="A3632" t="s">
        <v>3521</v>
      </c>
      <c r="B3632" t="s">
        <v>3522</v>
      </c>
      <c r="C3632" t="s">
        <v>2696</v>
      </c>
      <c r="D3632" t="s">
        <v>2696</v>
      </c>
      <c r="E3632" t="s">
        <v>3523</v>
      </c>
    </row>
    <row r="3633" spans="1:5" x14ac:dyDescent="0.3">
      <c r="A3633" t="s">
        <v>3544</v>
      </c>
      <c r="B3633" t="s">
        <v>3545</v>
      </c>
      <c r="C3633" t="s">
        <v>2696</v>
      </c>
      <c r="D3633" t="s">
        <v>2696</v>
      </c>
      <c r="E3633" t="s">
        <v>3546</v>
      </c>
    </row>
    <row r="3634" spans="1:5" x14ac:dyDescent="0.3">
      <c r="A3634" t="s">
        <v>3568</v>
      </c>
      <c r="B3634" t="s">
        <v>3569</v>
      </c>
      <c r="C3634" t="s">
        <v>2696</v>
      </c>
      <c r="D3634" t="s">
        <v>2696</v>
      </c>
      <c r="E3634" t="s">
        <v>3570</v>
      </c>
    </row>
    <row r="3635" spans="1:5" x14ac:dyDescent="0.3">
      <c r="A3635" t="s">
        <v>3592</v>
      </c>
      <c r="B3635" t="s">
        <v>3593</v>
      </c>
      <c r="C3635" t="s">
        <v>2696</v>
      </c>
      <c r="D3635" t="s">
        <v>2696</v>
      </c>
      <c r="E3635" t="s">
        <v>3594</v>
      </c>
    </row>
    <row r="3636" spans="1:5" x14ac:dyDescent="0.3">
      <c r="A3636" t="s">
        <v>3616</v>
      </c>
      <c r="B3636" t="s">
        <v>3617</v>
      </c>
      <c r="C3636" t="s">
        <v>2696</v>
      </c>
      <c r="D3636" t="s">
        <v>2696</v>
      </c>
      <c r="E3636" t="s">
        <v>3618</v>
      </c>
    </row>
    <row r="3637" spans="1:5" x14ac:dyDescent="0.3">
      <c r="A3637" t="s">
        <v>3639</v>
      </c>
      <c r="B3637" t="s">
        <v>3640</v>
      </c>
      <c r="C3637" t="s">
        <v>2696</v>
      </c>
      <c r="D3637" t="s">
        <v>2696</v>
      </c>
      <c r="E3637" t="s">
        <v>3641</v>
      </c>
    </row>
    <row r="3638" spans="1:5" x14ac:dyDescent="0.3">
      <c r="A3638" t="s">
        <v>3663</v>
      </c>
      <c r="B3638" t="s">
        <v>3664</v>
      </c>
      <c r="C3638" t="s">
        <v>2696</v>
      </c>
      <c r="D3638" t="s">
        <v>2696</v>
      </c>
      <c r="E3638" t="s">
        <v>3665</v>
      </c>
    </row>
    <row r="3639" spans="1:5" x14ac:dyDescent="0.3">
      <c r="A3639" t="s">
        <v>3687</v>
      </c>
      <c r="B3639" t="s">
        <v>3688</v>
      </c>
      <c r="C3639" t="s">
        <v>2696</v>
      </c>
      <c r="D3639" t="s">
        <v>2696</v>
      </c>
      <c r="E3639" t="s">
        <v>3689</v>
      </c>
    </row>
    <row r="3640" spans="1:5" x14ac:dyDescent="0.3">
      <c r="A3640" t="s">
        <v>3713</v>
      </c>
      <c r="B3640" t="s">
        <v>3714</v>
      </c>
      <c r="C3640" t="s">
        <v>3711</v>
      </c>
      <c r="D3640" t="s">
        <v>3712</v>
      </c>
      <c r="E3640" t="s">
        <v>3715</v>
      </c>
    </row>
    <row r="3641" spans="1:5" x14ac:dyDescent="0.3">
      <c r="A3641" t="s">
        <v>3737</v>
      </c>
      <c r="B3641" t="s">
        <v>3738</v>
      </c>
      <c r="C3641" t="s">
        <v>3711</v>
      </c>
      <c r="D3641" t="s">
        <v>3712</v>
      </c>
      <c r="E3641" t="s">
        <v>3739</v>
      </c>
    </row>
    <row r="3642" spans="1:5" x14ac:dyDescent="0.3">
      <c r="A3642" t="s">
        <v>3762</v>
      </c>
      <c r="B3642" t="s">
        <v>3763</v>
      </c>
      <c r="C3642" t="s">
        <v>3758</v>
      </c>
      <c r="D3642" t="s">
        <v>3712</v>
      </c>
      <c r="E3642" t="s">
        <v>3764</v>
      </c>
    </row>
    <row r="3643" spans="1:5" x14ac:dyDescent="0.3">
      <c r="A3643" t="s">
        <v>3787</v>
      </c>
      <c r="B3643" t="s">
        <v>3788</v>
      </c>
      <c r="C3643" t="s">
        <v>3768</v>
      </c>
      <c r="D3643" t="s">
        <v>2852</v>
      </c>
      <c r="E3643" t="s">
        <v>3789</v>
      </c>
    </row>
    <row r="3644" spans="1:5" x14ac:dyDescent="0.3">
      <c r="A3644" t="s">
        <v>3811</v>
      </c>
      <c r="B3644" t="s">
        <v>3812</v>
      </c>
      <c r="C3644" t="s">
        <v>3768</v>
      </c>
      <c r="D3644" t="s">
        <v>2852</v>
      </c>
      <c r="E3644" t="s">
        <v>3813</v>
      </c>
    </row>
    <row r="3645" spans="1:5" x14ac:dyDescent="0.3">
      <c r="A3645" t="s">
        <v>3835</v>
      </c>
      <c r="B3645" t="s">
        <v>3836</v>
      </c>
      <c r="C3645" t="s">
        <v>3768</v>
      </c>
      <c r="D3645" t="s">
        <v>2852</v>
      </c>
      <c r="E3645" t="s">
        <v>3837</v>
      </c>
    </row>
    <row r="3646" spans="1:5" x14ac:dyDescent="0.3">
      <c r="A3646" t="s">
        <v>3861</v>
      </c>
      <c r="B3646" t="s">
        <v>3862</v>
      </c>
      <c r="C3646" t="s">
        <v>3860</v>
      </c>
      <c r="D3646" t="s">
        <v>2704</v>
      </c>
      <c r="E3646" t="s">
        <v>3863</v>
      </c>
    </row>
    <row r="3647" spans="1:5" x14ac:dyDescent="0.3">
      <c r="A3647" t="s">
        <v>3885</v>
      </c>
      <c r="B3647" t="s">
        <v>3886</v>
      </c>
      <c r="C3647" t="s">
        <v>3860</v>
      </c>
      <c r="D3647" t="s">
        <v>2704</v>
      </c>
      <c r="E3647" t="s">
        <v>3887</v>
      </c>
    </row>
    <row r="3648" spans="1:5" x14ac:dyDescent="0.3">
      <c r="A3648" t="s">
        <v>3910</v>
      </c>
      <c r="B3648" t="s">
        <v>3911</v>
      </c>
      <c r="C3648" t="s">
        <v>3906</v>
      </c>
      <c r="D3648" t="s">
        <v>133</v>
      </c>
      <c r="E3648" t="s">
        <v>3912</v>
      </c>
    </row>
    <row r="3649" spans="1:5" x14ac:dyDescent="0.3">
      <c r="A3649" t="s">
        <v>3919</v>
      </c>
      <c r="B3649" t="s">
        <v>3920</v>
      </c>
      <c r="C3649" t="s">
        <v>2851</v>
      </c>
      <c r="D3649" t="s">
        <v>2852</v>
      </c>
      <c r="E3649" t="s">
        <v>3921</v>
      </c>
    </row>
    <row r="3650" spans="1:5" x14ac:dyDescent="0.3">
      <c r="A3650" t="s">
        <v>1184</v>
      </c>
      <c r="B3650" t="s">
        <v>1185</v>
      </c>
      <c r="C3650" t="s">
        <v>1115</v>
      </c>
      <c r="D3650" t="s">
        <v>1111</v>
      </c>
      <c r="E3650" t="s">
        <v>1186</v>
      </c>
    </row>
    <row r="3651" spans="1:5" x14ac:dyDescent="0.3">
      <c r="A3651" t="s">
        <v>1190</v>
      </c>
      <c r="B3651" t="s">
        <v>1191</v>
      </c>
      <c r="C3651" t="s">
        <v>1115</v>
      </c>
      <c r="D3651" t="s">
        <v>1111</v>
      </c>
      <c r="E3651" t="s">
        <v>1192</v>
      </c>
    </row>
    <row r="3652" spans="1:5" x14ac:dyDescent="0.3">
      <c r="A3652" t="s">
        <v>1197</v>
      </c>
      <c r="B3652" t="s">
        <v>1198</v>
      </c>
      <c r="C3652" t="s">
        <v>1115</v>
      </c>
      <c r="D3652" t="s">
        <v>1111</v>
      </c>
      <c r="E3652" t="s">
        <v>1199</v>
      </c>
    </row>
    <row r="3653" spans="1:5" x14ac:dyDescent="0.3">
      <c r="A3653" t="s">
        <v>3953</v>
      </c>
      <c r="B3653" t="s">
        <v>3954</v>
      </c>
      <c r="C3653" t="s">
        <v>2851</v>
      </c>
      <c r="D3653" t="s">
        <v>2852</v>
      </c>
      <c r="E3653" t="s">
        <v>3955</v>
      </c>
    </row>
    <row r="3654" spans="1:5" x14ac:dyDescent="0.3">
      <c r="A3654" t="s">
        <v>3977</v>
      </c>
      <c r="B3654" t="s">
        <v>3978</v>
      </c>
      <c r="C3654" t="s">
        <v>2851</v>
      </c>
      <c r="D3654" t="s">
        <v>2852</v>
      </c>
      <c r="E3654" t="s">
        <v>3979</v>
      </c>
    </row>
    <row r="3655" spans="1:5" x14ac:dyDescent="0.3">
      <c r="A3655" t="s">
        <v>4697</v>
      </c>
      <c r="B3655" t="s">
        <v>4698</v>
      </c>
      <c r="C3655" t="s">
        <v>4679</v>
      </c>
      <c r="D3655" t="s">
        <v>2704</v>
      </c>
      <c r="E3655" t="s">
        <v>4699</v>
      </c>
    </row>
    <row r="3656" spans="1:5" x14ac:dyDescent="0.3">
      <c r="A3656" t="s">
        <v>4721</v>
      </c>
      <c r="B3656" t="s">
        <v>4722</v>
      </c>
      <c r="C3656" t="s">
        <v>3946</v>
      </c>
      <c r="D3656" t="s">
        <v>2709</v>
      </c>
      <c r="E3656" t="s">
        <v>4723</v>
      </c>
    </row>
    <row r="3657" spans="1:5" x14ac:dyDescent="0.3">
      <c r="A3657" t="s">
        <v>4002</v>
      </c>
      <c r="B3657" t="s">
        <v>4003</v>
      </c>
      <c r="C3657" t="s">
        <v>3093</v>
      </c>
      <c r="D3657" t="s">
        <v>2852</v>
      </c>
      <c r="E3657" t="s">
        <v>4004</v>
      </c>
    </row>
    <row r="3658" spans="1:5" x14ac:dyDescent="0.3">
      <c r="A3658" t="s">
        <v>4025</v>
      </c>
      <c r="B3658" t="s">
        <v>4026</v>
      </c>
      <c r="C3658" t="s">
        <v>3093</v>
      </c>
      <c r="D3658" t="s">
        <v>2852</v>
      </c>
      <c r="E3658" t="s">
        <v>4027</v>
      </c>
    </row>
    <row r="3659" spans="1:5" x14ac:dyDescent="0.3">
      <c r="A3659" t="s">
        <v>4746</v>
      </c>
      <c r="B3659" t="s">
        <v>4747</v>
      </c>
      <c r="C3659" t="s">
        <v>4733</v>
      </c>
      <c r="D3659" t="s">
        <v>2704</v>
      </c>
      <c r="E3659" t="s">
        <v>4748</v>
      </c>
    </row>
    <row r="3660" spans="1:5" x14ac:dyDescent="0.3">
      <c r="A3660" t="s">
        <v>4049</v>
      </c>
      <c r="B3660" t="s">
        <v>4050</v>
      </c>
      <c r="C3660" t="s">
        <v>3093</v>
      </c>
      <c r="D3660" t="s">
        <v>2852</v>
      </c>
      <c r="E3660" t="s">
        <v>4051</v>
      </c>
    </row>
    <row r="3661" spans="1:5" x14ac:dyDescent="0.3">
      <c r="A3661" t="s">
        <v>4072</v>
      </c>
      <c r="B3661" t="s">
        <v>4073</v>
      </c>
      <c r="C3661" t="s">
        <v>3946</v>
      </c>
      <c r="D3661" t="s">
        <v>2709</v>
      </c>
      <c r="E3661" t="s">
        <v>4074</v>
      </c>
    </row>
    <row r="3662" spans="1:5" x14ac:dyDescent="0.3">
      <c r="A3662" t="s">
        <v>4770</v>
      </c>
      <c r="B3662" t="s">
        <v>3025</v>
      </c>
      <c r="C3662" t="s">
        <v>134</v>
      </c>
      <c r="D3662" t="s">
        <v>133</v>
      </c>
      <c r="E3662" t="s">
        <v>4771</v>
      </c>
    </row>
    <row r="3663" spans="1:5" x14ac:dyDescent="0.3">
      <c r="A3663" t="s">
        <v>4793</v>
      </c>
      <c r="B3663" t="s">
        <v>4794</v>
      </c>
      <c r="C3663" t="s">
        <v>4781</v>
      </c>
      <c r="D3663" t="s">
        <v>133</v>
      </c>
      <c r="E3663" t="s">
        <v>4795</v>
      </c>
    </row>
    <row r="3664" spans="1:5" x14ac:dyDescent="0.3">
      <c r="A3664" t="s">
        <v>1213</v>
      </c>
      <c r="B3664" t="s">
        <v>1214</v>
      </c>
      <c r="C3664" t="s">
        <v>1140</v>
      </c>
      <c r="D3664" t="s">
        <v>1088</v>
      </c>
      <c r="E3664" t="s">
        <v>1215</v>
      </c>
    </row>
    <row r="3665" spans="1:5" x14ac:dyDescent="0.3">
      <c r="A3665" t="s">
        <v>1216</v>
      </c>
      <c r="B3665" t="s">
        <v>1217</v>
      </c>
      <c r="C3665" t="s">
        <v>1140</v>
      </c>
      <c r="D3665" t="s">
        <v>1088</v>
      </c>
      <c r="E3665" t="s">
        <v>1218</v>
      </c>
    </row>
    <row r="3666" spans="1:5" x14ac:dyDescent="0.3">
      <c r="A3666" t="s">
        <v>4817</v>
      </c>
      <c r="B3666" t="s">
        <v>4818</v>
      </c>
      <c r="C3666" t="s">
        <v>4781</v>
      </c>
      <c r="D3666" t="s">
        <v>133</v>
      </c>
      <c r="E3666" t="s">
        <v>4819</v>
      </c>
    </row>
    <row r="3667" spans="1:5" x14ac:dyDescent="0.3">
      <c r="A3667" t="s">
        <v>4840</v>
      </c>
      <c r="B3667" t="s">
        <v>3034</v>
      </c>
      <c r="C3667" t="s">
        <v>2840</v>
      </c>
      <c r="D3667" t="s">
        <v>2841</v>
      </c>
      <c r="E3667" t="s">
        <v>4841</v>
      </c>
    </row>
    <row r="3668" spans="1:5" x14ac:dyDescent="0.3">
      <c r="A3668" t="s">
        <v>1222</v>
      </c>
      <c r="B3668" t="s">
        <v>1223</v>
      </c>
      <c r="C3668" t="s">
        <v>1153</v>
      </c>
      <c r="D3668" t="s">
        <v>1088</v>
      </c>
      <c r="E3668" t="s">
        <v>1224</v>
      </c>
    </row>
    <row r="3669" spans="1:5" x14ac:dyDescent="0.3">
      <c r="A3669" t="s">
        <v>4098</v>
      </c>
      <c r="B3669" t="s">
        <v>4099</v>
      </c>
      <c r="C3669" t="s">
        <v>3758</v>
      </c>
      <c r="D3669" t="s">
        <v>3712</v>
      </c>
      <c r="E3669" t="s">
        <v>4100</v>
      </c>
    </row>
    <row r="3670" spans="1:5" x14ac:dyDescent="0.3">
      <c r="A3670" t="s">
        <v>1480</v>
      </c>
      <c r="B3670" t="s">
        <v>1481</v>
      </c>
      <c r="C3670" t="s">
        <v>1196</v>
      </c>
      <c r="D3670" t="s">
        <v>1088</v>
      </c>
      <c r="E3670" t="s">
        <v>1482</v>
      </c>
    </row>
    <row r="3671" spans="1:5" x14ac:dyDescent="0.3">
      <c r="A3671" t="s">
        <v>4869</v>
      </c>
      <c r="B3671" t="s">
        <v>4870</v>
      </c>
      <c r="C3671" t="s">
        <v>4781</v>
      </c>
      <c r="D3671" t="s">
        <v>133</v>
      </c>
      <c r="E3671" t="s">
        <v>4871</v>
      </c>
    </row>
    <row r="3672" spans="1:5" x14ac:dyDescent="0.3">
      <c r="A3672" t="s">
        <v>4122</v>
      </c>
      <c r="B3672" t="s">
        <v>4123</v>
      </c>
      <c r="C3672" t="s">
        <v>3758</v>
      </c>
      <c r="D3672" t="s">
        <v>3712</v>
      </c>
      <c r="E3672" t="s">
        <v>4124</v>
      </c>
    </row>
    <row r="3673" spans="1:5" x14ac:dyDescent="0.3">
      <c r="A3673" t="s">
        <v>4892</v>
      </c>
      <c r="B3673" t="s">
        <v>4893</v>
      </c>
      <c r="C3673" t="s">
        <v>4207</v>
      </c>
      <c r="D3673" t="s">
        <v>133</v>
      </c>
      <c r="E3673" t="s">
        <v>4894</v>
      </c>
    </row>
    <row r="3674" spans="1:5" x14ac:dyDescent="0.3">
      <c r="A3674" t="s">
        <v>4915</v>
      </c>
      <c r="B3674" t="s">
        <v>4916</v>
      </c>
      <c r="C3674" t="s">
        <v>134</v>
      </c>
      <c r="D3674" t="s">
        <v>133</v>
      </c>
      <c r="E3674" t="s">
        <v>4917</v>
      </c>
    </row>
    <row r="3675" spans="1:5" x14ac:dyDescent="0.3">
      <c r="A3675" t="s">
        <v>4146</v>
      </c>
      <c r="B3675" t="s">
        <v>4147</v>
      </c>
      <c r="C3675" t="s">
        <v>3946</v>
      </c>
      <c r="D3675" t="s">
        <v>2709</v>
      </c>
      <c r="E3675" t="s">
        <v>4148</v>
      </c>
    </row>
    <row r="3676" spans="1:5" x14ac:dyDescent="0.3">
      <c r="A3676" t="s">
        <v>4171</v>
      </c>
      <c r="B3676" t="s">
        <v>4172</v>
      </c>
      <c r="C3676" t="s">
        <v>4167</v>
      </c>
      <c r="D3676" t="s">
        <v>2852</v>
      </c>
      <c r="E3676" t="s">
        <v>4173</v>
      </c>
    </row>
    <row r="3677" spans="1:5" x14ac:dyDescent="0.3">
      <c r="A3677" t="s">
        <v>1486</v>
      </c>
      <c r="B3677" t="s">
        <v>1487</v>
      </c>
      <c r="C3677" t="s">
        <v>1087</v>
      </c>
      <c r="D3677" t="s">
        <v>1088</v>
      </c>
      <c r="E3677" t="s">
        <v>1488</v>
      </c>
    </row>
    <row r="3678" spans="1:5" x14ac:dyDescent="0.3">
      <c r="A3678" t="s">
        <v>4934</v>
      </c>
      <c r="B3678" t="s">
        <v>4935</v>
      </c>
      <c r="C3678" t="s">
        <v>4933</v>
      </c>
      <c r="D3678" t="s">
        <v>3712</v>
      </c>
      <c r="E3678" t="s">
        <v>4936</v>
      </c>
    </row>
    <row r="3679" spans="1:5" x14ac:dyDescent="0.3">
      <c r="A3679" t="s">
        <v>4180</v>
      </c>
      <c r="B3679" t="s">
        <v>4181</v>
      </c>
      <c r="C3679" t="s">
        <v>3093</v>
      </c>
      <c r="D3679" t="s">
        <v>2852</v>
      </c>
      <c r="E3679" t="s">
        <v>4182</v>
      </c>
    </row>
    <row r="3680" spans="1:5" x14ac:dyDescent="0.3">
      <c r="A3680" t="s">
        <v>1240</v>
      </c>
      <c r="B3680" t="s">
        <v>1241</v>
      </c>
      <c r="C3680" t="s">
        <v>1196</v>
      </c>
      <c r="D3680" t="s">
        <v>1088</v>
      </c>
      <c r="E3680" t="s">
        <v>1242</v>
      </c>
    </row>
    <row r="3681" spans="1:5" x14ac:dyDescent="0.3">
      <c r="A3681" t="s">
        <v>1489</v>
      </c>
      <c r="B3681" t="s">
        <v>1490</v>
      </c>
      <c r="C3681" t="s">
        <v>1196</v>
      </c>
      <c r="D3681" t="s">
        <v>1088</v>
      </c>
      <c r="E3681" t="s">
        <v>1491</v>
      </c>
    </row>
    <row r="3682" spans="1:5" x14ac:dyDescent="0.3">
      <c r="A3682" t="s">
        <v>4954</v>
      </c>
      <c r="B3682" t="s">
        <v>4955</v>
      </c>
      <c r="C3682" t="s">
        <v>2696</v>
      </c>
      <c r="D3682" t="s">
        <v>2696</v>
      </c>
      <c r="E3682" t="s">
        <v>4956</v>
      </c>
    </row>
    <row r="3683" spans="1:5" x14ac:dyDescent="0.3">
      <c r="A3683" t="s">
        <v>1246</v>
      </c>
      <c r="B3683" t="s">
        <v>1247</v>
      </c>
      <c r="C3683" t="s">
        <v>1196</v>
      </c>
      <c r="D3683" t="s">
        <v>1088</v>
      </c>
      <c r="E3683" t="s">
        <v>1248</v>
      </c>
    </row>
    <row r="3684" spans="1:5" x14ac:dyDescent="0.3">
      <c r="A3684" t="s">
        <v>1249</v>
      </c>
      <c r="B3684" t="s">
        <v>1250</v>
      </c>
      <c r="C3684" t="s">
        <v>1196</v>
      </c>
      <c r="D3684" t="s">
        <v>1088</v>
      </c>
      <c r="E3684" t="s">
        <v>1251</v>
      </c>
    </row>
    <row r="3685" spans="1:5" x14ac:dyDescent="0.3">
      <c r="A3685" t="s">
        <v>4977</v>
      </c>
      <c r="B3685" t="s">
        <v>2600</v>
      </c>
      <c r="C3685" t="s">
        <v>2696</v>
      </c>
      <c r="D3685" t="s">
        <v>2696</v>
      </c>
      <c r="E3685" t="s">
        <v>4978</v>
      </c>
    </row>
    <row r="3686" spans="1:5" x14ac:dyDescent="0.3">
      <c r="A3686" t="s">
        <v>4999</v>
      </c>
      <c r="B3686" t="s">
        <v>5000</v>
      </c>
      <c r="C3686" t="s">
        <v>2696</v>
      </c>
      <c r="D3686" t="s">
        <v>2696</v>
      </c>
      <c r="E3686" t="s">
        <v>5001</v>
      </c>
    </row>
    <row r="3687" spans="1:5" x14ac:dyDescent="0.3">
      <c r="A3687" t="s">
        <v>1252</v>
      </c>
      <c r="B3687" t="s">
        <v>1253</v>
      </c>
      <c r="C3687" t="s">
        <v>1196</v>
      </c>
      <c r="D3687" t="s">
        <v>1088</v>
      </c>
      <c r="E3687" t="s">
        <v>1254</v>
      </c>
    </row>
    <row r="3688" spans="1:5" x14ac:dyDescent="0.3">
      <c r="A3688" t="s">
        <v>1255</v>
      </c>
      <c r="B3688" t="s">
        <v>1256</v>
      </c>
      <c r="C3688" t="s">
        <v>1209</v>
      </c>
      <c r="D3688" t="s">
        <v>1088</v>
      </c>
      <c r="E3688" t="s">
        <v>1257</v>
      </c>
    </row>
    <row r="3689" spans="1:5" x14ac:dyDescent="0.3">
      <c r="A3689" t="s">
        <v>5021</v>
      </c>
      <c r="B3689" t="s">
        <v>5022</v>
      </c>
      <c r="C3689" t="s">
        <v>2696</v>
      </c>
      <c r="D3689" t="s">
        <v>2696</v>
      </c>
      <c r="E3689" t="s">
        <v>5023</v>
      </c>
    </row>
    <row r="3690" spans="1:5" x14ac:dyDescent="0.3">
      <c r="A3690" t="s">
        <v>5045</v>
      </c>
      <c r="B3690" t="s">
        <v>5046</v>
      </c>
      <c r="C3690" t="s">
        <v>2696</v>
      </c>
      <c r="D3690" t="s">
        <v>2696</v>
      </c>
      <c r="E3690" t="s">
        <v>5047</v>
      </c>
    </row>
    <row r="3691" spans="1:5" x14ac:dyDescent="0.3">
      <c r="A3691" t="s">
        <v>1261</v>
      </c>
      <c r="B3691" t="s">
        <v>1262</v>
      </c>
      <c r="C3691" t="s">
        <v>1209</v>
      </c>
      <c r="D3691" t="s">
        <v>1088</v>
      </c>
      <c r="E3691" t="s">
        <v>1263</v>
      </c>
    </row>
    <row r="3692" spans="1:5" x14ac:dyDescent="0.3">
      <c r="A3692" t="s">
        <v>5069</v>
      </c>
      <c r="B3692" t="s">
        <v>5070</v>
      </c>
      <c r="C3692" t="s">
        <v>2696</v>
      </c>
      <c r="D3692" t="s">
        <v>2696</v>
      </c>
      <c r="E3692" t="s">
        <v>5071</v>
      </c>
    </row>
    <row r="3693" spans="1:5" x14ac:dyDescent="0.3">
      <c r="A3693" t="s">
        <v>5092</v>
      </c>
      <c r="B3693" t="s">
        <v>5093</v>
      </c>
      <c r="C3693" t="s">
        <v>2696</v>
      </c>
      <c r="D3693" t="s">
        <v>2696</v>
      </c>
      <c r="E3693" t="s">
        <v>5094</v>
      </c>
    </row>
    <row r="3694" spans="1:5" x14ac:dyDescent="0.3">
      <c r="A3694" t="s">
        <v>4247</v>
      </c>
      <c r="B3694" t="s">
        <v>4248</v>
      </c>
      <c r="C3694" t="s">
        <v>4246</v>
      </c>
      <c r="D3694" t="s">
        <v>2709</v>
      </c>
      <c r="E3694" t="s">
        <v>4249</v>
      </c>
    </row>
    <row r="3695" spans="1:5" x14ac:dyDescent="0.3">
      <c r="A3695" t="s">
        <v>4269</v>
      </c>
      <c r="B3695" t="s">
        <v>2792</v>
      </c>
      <c r="C3695" t="s">
        <v>4256</v>
      </c>
      <c r="D3695" t="s">
        <v>133</v>
      </c>
      <c r="E3695" t="s">
        <v>4270</v>
      </c>
    </row>
    <row r="3696" spans="1:5" x14ac:dyDescent="0.3">
      <c r="A3696" t="s">
        <v>5114</v>
      </c>
      <c r="B3696" t="s">
        <v>5115</v>
      </c>
      <c r="C3696" t="s">
        <v>2696</v>
      </c>
      <c r="D3696" t="s">
        <v>2696</v>
      </c>
      <c r="E3696" t="s">
        <v>5116</v>
      </c>
    </row>
    <row r="3697" spans="1:5" x14ac:dyDescent="0.3">
      <c r="A3697" t="s">
        <v>4292</v>
      </c>
      <c r="B3697" t="s">
        <v>4293</v>
      </c>
      <c r="C3697" t="s">
        <v>2851</v>
      </c>
      <c r="D3697" t="s">
        <v>2852</v>
      </c>
      <c r="E3697" t="s">
        <v>4294</v>
      </c>
    </row>
    <row r="3698" spans="1:5" x14ac:dyDescent="0.3">
      <c r="A3698" t="s">
        <v>4318</v>
      </c>
      <c r="B3698" t="s">
        <v>4319</v>
      </c>
      <c r="C3698" t="s">
        <v>2851</v>
      </c>
      <c r="D3698" t="s">
        <v>2852</v>
      </c>
      <c r="E3698" t="s">
        <v>4320</v>
      </c>
    </row>
    <row r="3699" spans="1:5" x14ac:dyDescent="0.3">
      <c r="A3699" t="s">
        <v>5138</v>
      </c>
      <c r="B3699" t="s">
        <v>5139</v>
      </c>
      <c r="C3699" t="s">
        <v>2696</v>
      </c>
      <c r="D3699" t="s">
        <v>2696</v>
      </c>
      <c r="E3699" t="s">
        <v>5140</v>
      </c>
    </row>
    <row r="3700" spans="1:5" x14ac:dyDescent="0.3">
      <c r="A3700" t="s">
        <v>5162</v>
      </c>
      <c r="B3700" t="s">
        <v>5163</v>
      </c>
      <c r="C3700" t="s">
        <v>2696</v>
      </c>
      <c r="D3700" t="s">
        <v>2696</v>
      </c>
      <c r="E3700" t="s">
        <v>5164</v>
      </c>
    </row>
    <row r="3701" spans="1:5" x14ac:dyDescent="0.3">
      <c r="A3701" t="s">
        <v>1282</v>
      </c>
      <c r="B3701" t="s">
        <v>1283</v>
      </c>
      <c r="C3701" t="s">
        <v>1110</v>
      </c>
      <c r="D3701" t="s">
        <v>1111</v>
      </c>
      <c r="E3701" t="s">
        <v>1284</v>
      </c>
    </row>
    <row r="3702" spans="1:5" x14ac:dyDescent="0.3">
      <c r="A3702" t="s">
        <v>1285</v>
      </c>
      <c r="B3702" t="s">
        <v>1286</v>
      </c>
      <c r="C3702" t="s">
        <v>1110</v>
      </c>
      <c r="D3702" t="s">
        <v>1111</v>
      </c>
      <c r="E3702" t="s">
        <v>1287</v>
      </c>
    </row>
    <row r="3703" spans="1:5" x14ac:dyDescent="0.3">
      <c r="A3703" t="s">
        <v>5185</v>
      </c>
      <c r="B3703" t="s">
        <v>5186</v>
      </c>
      <c r="C3703" t="s">
        <v>2696</v>
      </c>
      <c r="D3703" t="s">
        <v>2696</v>
      </c>
      <c r="E3703" t="s">
        <v>5187</v>
      </c>
    </row>
    <row r="3704" spans="1:5" x14ac:dyDescent="0.3">
      <c r="A3704" t="s">
        <v>5208</v>
      </c>
      <c r="B3704" t="s">
        <v>5209</v>
      </c>
      <c r="C3704" t="s">
        <v>2696</v>
      </c>
      <c r="D3704" t="s">
        <v>2696</v>
      </c>
      <c r="E3704" t="s">
        <v>5210</v>
      </c>
    </row>
    <row r="3705" spans="1:5" x14ac:dyDescent="0.3">
      <c r="A3705" t="s">
        <v>4345</v>
      </c>
      <c r="B3705" t="s">
        <v>4346</v>
      </c>
      <c r="C3705" t="s">
        <v>4308</v>
      </c>
      <c r="D3705" t="s">
        <v>133</v>
      </c>
      <c r="E3705" t="s">
        <v>4347</v>
      </c>
    </row>
    <row r="3706" spans="1:5" x14ac:dyDescent="0.3">
      <c r="A3706" t="s">
        <v>4369</v>
      </c>
      <c r="B3706" t="s">
        <v>4370</v>
      </c>
      <c r="C3706" t="s">
        <v>3983</v>
      </c>
      <c r="D3706" t="s">
        <v>3712</v>
      </c>
      <c r="E3706" t="s">
        <v>4371</v>
      </c>
    </row>
    <row r="3707" spans="1:5" x14ac:dyDescent="0.3">
      <c r="A3707" t="s">
        <v>5231</v>
      </c>
      <c r="B3707" t="s">
        <v>5232</v>
      </c>
      <c r="C3707" t="s">
        <v>2696</v>
      </c>
      <c r="D3707" t="s">
        <v>2696</v>
      </c>
      <c r="E3707" t="s">
        <v>5233</v>
      </c>
    </row>
    <row r="3708" spans="1:5" x14ac:dyDescent="0.3">
      <c r="A3708" t="s">
        <v>5251</v>
      </c>
      <c r="B3708" t="s">
        <v>5252</v>
      </c>
      <c r="C3708" t="s">
        <v>3860</v>
      </c>
      <c r="D3708" t="s">
        <v>2704</v>
      </c>
      <c r="E3708" t="s">
        <v>5253</v>
      </c>
    </row>
    <row r="3709" spans="1:5" x14ac:dyDescent="0.3">
      <c r="A3709" t="s">
        <v>4393</v>
      </c>
      <c r="B3709" t="s">
        <v>4394</v>
      </c>
      <c r="C3709" t="s">
        <v>2696</v>
      </c>
      <c r="D3709" t="s">
        <v>2696</v>
      </c>
      <c r="E3709" t="s">
        <v>4395</v>
      </c>
    </row>
    <row r="3710" spans="1:5" x14ac:dyDescent="0.3">
      <c r="A3710" t="s">
        <v>4417</v>
      </c>
      <c r="B3710" t="s">
        <v>4418</v>
      </c>
      <c r="C3710" t="s">
        <v>2696</v>
      </c>
      <c r="D3710" t="s">
        <v>2696</v>
      </c>
      <c r="E3710" t="s">
        <v>4419</v>
      </c>
    </row>
    <row r="3711" spans="1:5" x14ac:dyDescent="0.3">
      <c r="A3711" t="s">
        <v>4440</v>
      </c>
      <c r="B3711" t="s">
        <v>4441</v>
      </c>
      <c r="C3711" t="s">
        <v>3983</v>
      </c>
      <c r="D3711" t="s">
        <v>3712</v>
      </c>
      <c r="E3711" t="s">
        <v>4442</v>
      </c>
    </row>
    <row r="3712" spans="1:5" x14ac:dyDescent="0.3">
      <c r="A3712" t="s">
        <v>4463</v>
      </c>
      <c r="B3712" t="s">
        <v>4464</v>
      </c>
      <c r="C3712" t="s">
        <v>4167</v>
      </c>
      <c r="D3712" t="s">
        <v>2852</v>
      </c>
      <c r="E3712" t="s">
        <v>4465</v>
      </c>
    </row>
    <row r="3713" spans="1:5" x14ac:dyDescent="0.3">
      <c r="A3713" t="s">
        <v>1339</v>
      </c>
      <c r="B3713" t="s">
        <v>1340</v>
      </c>
      <c r="C3713" t="s">
        <v>1110</v>
      </c>
      <c r="D3713" t="s">
        <v>1111</v>
      </c>
      <c r="E3713" t="s">
        <v>1341</v>
      </c>
    </row>
    <row r="3714" spans="1:5" x14ac:dyDescent="0.3">
      <c r="A3714" t="s">
        <v>4494</v>
      </c>
      <c r="B3714" t="s">
        <v>4495</v>
      </c>
      <c r="C3714" t="s">
        <v>3946</v>
      </c>
      <c r="D3714" t="s">
        <v>2709</v>
      </c>
      <c r="E3714" t="s">
        <v>4496</v>
      </c>
    </row>
    <row r="3715" spans="1:5" x14ac:dyDescent="0.3">
      <c r="A3715" t="s">
        <v>4518</v>
      </c>
      <c r="B3715" t="s">
        <v>4519</v>
      </c>
      <c r="C3715" t="s">
        <v>3850</v>
      </c>
      <c r="D3715" t="s">
        <v>3712</v>
      </c>
      <c r="E3715" t="s">
        <v>4520</v>
      </c>
    </row>
    <row r="3716" spans="1:5" x14ac:dyDescent="0.3">
      <c r="A3716" t="s">
        <v>4542</v>
      </c>
      <c r="B3716" t="s">
        <v>4543</v>
      </c>
      <c r="C3716" t="s">
        <v>2840</v>
      </c>
      <c r="D3716" t="s">
        <v>2841</v>
      </c>
      <c r="E3716" t="s">
        <v>4544</v>
      </c>
    </row>
    <row r="3717" spans="1:5" x14ac:dyDescent="0.3">
      <c r="A3717" t="s">
        <v>4565</v>
      </c>
      <c r="B3717" t="s">
        <v>4566</v>
      </c>
      <c r="C3717" t="s">
        <v>2840</v>
      </c>
      <c r="D3717" t="s">
        <v>2841</v>
      </c>
      <c r="E3717" t="s">
        <v>4567</v>
      </c>
    </row>
    <row r="3718" spans="1:5" x14ac:dyDescent="0.3">
      <c r="A3718" t="s">
        <v>4589</v>
      </c>
      <c r="B3718" t="s">
        <v>4590</v>
      </c>
      <c r="C3718" t="s">
        <v>2840</v>
      </c>
      <c r="D3718" t="s">
        <v>2841</v>
      </c>
      <c r="E3718" t="s">
        <v>4591</v>
      </c>
    </row>
    <row r="3719" spans="1:5" x14ac:dyDescent="0.3">
      <c r="A3719" t="s">
        <v>4613</v>
      </c>
      <c r="B3719" t="s">
        <v>4614</v>
      </c>
      <c r="C3719" t="s">
        <v>4595</v>
      </c>
      <c r="D3719" t="s">
        <v>133</v>
      </c>
      <c r="E3719" t="s">
        <v>4615</v>
      </c>
    </row>
    <row r="3720" spans="1:5" x14ac:dyDescent="0.3">
      <c r="A3720" t="s">
        <v>1366</v>
      </c>
      <c r="B3720" t="s">
        <v>1367</v>
      </c>
      <c r="C3720" t="s">
        <v>1209</v>
      </c>
      <c r="D3720" t="s">
        <v>1088</v>
      </c>
      <c r="E3720" t="s">
        <v>1368</v>
      </c>
    </row>
    <row r="3721" spans="1:5" x14ac:dyDescent="0.3">
      <c r="A3721" t="s">
        <v>4635</v>
      </c>
      <c r="B3721" t="s">
        <v>4636</v>
      </c>
      <c r="C3721" t="s">
        <v>4625</v>
      </c>
      <c r="D3721" t="s">
        <v>133</v>
      </c>
      <c r="E3721" t="s">
        <v>4637</v>
      </c>
    </row>
    <row r="3722" spans="1:5" x14ac:dyDescent="0.3">
      <c r="A3722" t="s">
        <v>4658</v>
      </c>
      <c r="B3722" t="s">
        <v>4659</v>
      </c>
      <c r="C3722" t="s">
        <v>4649</v>
      </c>
      <c r="D3722" t="s">
        <v>3712</v>
      </c>
      <c r="E3722" t="s">
        <v>4660</v>
      </c>
    </row>
    <row r="3723" spans="1:5" x14ac:dyDescent="0.3">
      <c r="A3723" t="s">
        <v>1375</v>
      </c>
      <c r="B3723" t="s">
        <v>1376</v>
      </c>
      <c r="C3723" t="s">
        <v>1110</v>
      </c>
      <c r="D3723" t="s">
        <v>1111</v>
      </c>
      <c r="E3723" t="s">
        <v>1377</v>
      </c>
    </row>
    <row r="3724" spans="1:5" x14ac:dyDescent="0.3">
      <c r="A3724" t="s">
        <v>4685</v>
      </c>
      <c r="B3724" t="s">
        <v>4686</v>
      </c>
      <c r="C3724" t="s">
        <v>4679</v>
      </c>
      <c r="D3724" t="s">
        <v>2704</v>
      </c>
      <c r="E3724" t="s">
        <v>4687</v>
      </c>
    </row>
    <row r="3725" spans="1:5" x14ac:dyDescent="0.3">
      <c r="A3725" t="s">
        <v>4709</v>
      </c>
      <c r="B3725" t="s">
        <v>4710</v>
      </c>
      <c r="C3725" t="s">
        <v>4679</v>
      </c>
      <c r="D3725" t="s">
        <v>2704</v>
      </c>
      <c r="E3725" t="s">
        <v>4711</v>
      </c>
    </row>
    <row r="3726" spans="1:5" x14ac:dyDescent="0.3">
      <c r="A3726" t="s">
        <v>4734</v>
      </c>
      <c r="B3726" t="s">
        <v>4735</v>
      </c>
      <c r="C3726" t="s">
        <v>4733</v>
      </c>
      <c r="D3726" t="s">
        <v>2704</v>
      </c>
      <c r="E3726" t="s">
        <v>4736</v>
      </c>
    </row>
    <row r="3727" spans="1:5" x14ac:dyDescent="0.3">
      <c r="A3727" t="s">
        <v>4758</v>
      </c>
      <c r="B3727" t="s">
        <v>4759</v>
      </c>
      <c r="C3727" t="s">
        <v>4733</v>
      </c>
      <c r="D3727" t="s">
        <v>2704</v>
      </c>
      <c r="E3727" t="s">
        <v>4760</v>
      </c>
    </row>
    <row r="3728" spans="1:5" x14ac:dyDescent="0.3">
      <c r="A3728" t="s">
        <v>4782</v>
      </c>
      <c r="B3728" t="s">
        <v>4783</v>
      </c>
      <c r="C3728" t="s">
        <v>4781</v>
      </c>
      <c r="D3728" t="s">
        <v>133</v>
      </c>
      <c r="E3728" t="s">
        <v>4784</v>
      </c>
    </row>
    <row r="3729" spans="1:5" x14ac:dyDescent="0.3">
      <c r="A3729" t="s">
        <v>4805</v>
      </c>
      <c r="B3729" t="s">
        <v>4806</v>
      </c>
      <c r="C3729" t="s">
        <v>4781</v>
      </c>
      <c r="D3729" t="s">
        <v>133</v>
      </c>
      <c r="E3729" t="s">
        <v>4807</v>
      </c>
    </row>
    <row r="3730" spans="1:5" x14ac:dyDescent="0.3">
      <c r="A3730" t="s">
        <v>4828</v>
      </c>
      <c r="B3730" t="s">
        <v>4829</v>
      </c>
      <c r="C3730" t="s">
        <v>2840</v>
      </c>
      <c r="D3730" t="s">
        <v>2841</v>
      </c>
      <c r="E3730" t="s">
        <v>4830</v>
      </c>
    </row>
    <row r="3731" spans="1:5" x14ac:dyDescent="0.3">
      <c r="A3731" t="s">
        <v>1393</v>
      </c>
      <c r="B3731" t="s">
        <v>1394</v>
      </c>
      <c r="C3731" t="s">
        <v>1196</v>
      </c>
      <c r="D3731" t="s">
        <v>1088</v>
      </c>
      <c r="E3731" t="s">
        <v>1395</v>
      </c>
    </row>
    <row r="3732" spans="1:5" x14ac:dyDescent="0.3">
      <c r="A3732" t="s">
        <v>4857</v>
      </c>
      <c r="B3732" t="s">
        <v>4858</v>
      </c>
      <c r="C3732" t="s">
        <v>2840</v>
      </c>
      <c r="D3732" t="s">
        <v>2841</v>
      </c>
      <c r="E3732" t="s">
        <v>4859</v>
      </c>
    </row>
    <row r="3733" spans="1:5" x14ac:dyDescent="0.3">
      <c r="A3733" t="s">
        <v>4880</v>
      </c>
      <c r="B3733" t="s">
        <v>4881</v>
      </c>
      <c r="C3733" t="s">
        <v>4781</v>
      </c>
      <c r="D3733" t="s">
        <v>133</v>
      </c>
      <c r="E3733" t="s">
        <v>4882</v>
      </c>
    </row>
    <row r="3734" spans="1:5" x14ac:dyDescent="0.3">
      <c r="A3734" t="s">
        <v>4904</v>
      </c>
      <c r="B3734" t="s">
        <v>2669</v>
      </c>
      <c r="C3734" t="s">
        <v>4207</v>
      </c>
      <c r="D3734" t="s">
        <v>133</v>
      </c>
      <c r="E3734" t="s">
        <v>4905</v>
      </c>
    </row>
    <row r="3735" spans="1:5" x14ac:dyDescent="0.3">
      <c r="A3735" t="s">
        <v>1408</v>
      </c>
      <c r="B3735" t="s">
        <v>1409</v>
      </c>
      <c r="C3735" t="s">
        <v>1087</v>
      </c>
      <c r="D3735" t="s">
        <v>1088</v>
      </c>
      <c r="E3735" t="s">
        <v>1410</v>
      </c>
    </row>
    <row r="3736" spans="1:5" x14ac:dyDescent="0.3">
      <c r="A3736" t="s">
        <v>1423</v>
      </c>
      <c r="B3736" t="s">
        <v>1424</v>
      </c>
      <c r="C3736" t="s">
        <v>1087</v>
      </c>
      <c r="D3736" t="s">
        <v>1088</v>
      </c>
      <c r="E3736" t="s">
        <v>1425</v>
      </c>
    </row>
    <row r="3737" spans="1:5" x14ac:dyDescent="0.3">
      <c r="A3737" t="s">
        <v>1429</v>
      </c>
      <c r="B3737" t="s">
        <v>1430</v>
      </c>
      <c r="C3737" t="s">
        <v>1196</v>
      </c>
      <c r="D3737" t="s">
        <v>1088</v>
      </c>
      <c r="E3737" t="s">
        <v>1431</v>
      </c>
    </row>
    <row r="3738" spans="1:5" x14ac:dyDescent="0.3">
      <c r="A3738" t="s">
        <v>4943</v>
      </c>
      <c r="B3738" t="s">
        <v>4944</v>
      </c>
      <c r="C3738" t="s">
        <v>2703</v>
      </c>
      <c r="D3738" t="s">
        <v>2704</v>
      </c>
      <c r="E3738" t="s">
        <v>4945</v>
      </c>
    </row>
    <row r="3739" spans="1:5" x14ac:dyDescent="0.3">
      <c r="A3739" t="s">
        <v>4966</v>
      </c>
      <c r="B3739" t="s">
        <v>4967</v>
      </c>
      <c r="C3739" t="s">
        <v>2696</v>
      </c>
      <c r="D3739" t="s">
        <v>2696</v>
      </c>
      <c r="E3739" t="s">
        <v>4968</v>
      </c>
    </row>
    <row r="3740" spans="1:5" x14ac:dyDescent="0.3">
      <c r="A3740" t="s">
        <v>4988</v>
      </c>
      <c r="B3740" t="s">
        <v>4989</v>
      </c>
      <c r="C3740" t="s">
        <v>2696</v>
      </c>
      <c r="D3740" t="s">
        <v>2696</v>
      </c>
      <c r="E3740" t="s">
        <v>4990</v>
      </c>
    </row>
    <row r="3741" spans="1:5" x14ac:dyDescent="0.3">
      <c r="A3741" t="s">
        <v>5010</v>
      </c>
      <c r="B3741" t="s">
        <v>5011</v>
      </c>
      <c r="C3741" t="s">
        <v>2696</v>
      </c>
      <c r="D3741" t="s">
        <v>2696</v>
      </c>
      <c r="E3741" t="s">
        <v>5012</v>
      </c>
    </row>
    <row r="3742" spans="1:5" x14ac:dyDescent="0.3">
      <c r="A3742" t="s">
        <v>5033</v>
      </c>
      <c r="B3742" t="s">
        <v>5034</v>
      </c>
      <c r="C3742" t="s">
        <v>2696</v>
      </c>
      <c r="D3742" t="s">
        <v>2696</v>
      </c>
      <c r="E3742" t="s">
        <v>5035</v>
      </c>
    </row>
    <row r="3743" spans="1:5" x14ac:dyDescent="0.3">
      <c r="A3743" t="s">
        <v>5057</v>
      </c>
      <c r="B3743" t="s">
        <v>5058</v>
      </c>
      <c r="C3743" t="s">
        <v>2696</v>
      </c>
      <c r="D3743" t="s">
        <v>2696</v>
      </c>
      <c r="E3743" t="s">
        <v>5059</v>
      </c>
    </row>
    <row r="3744" spans="1:5" x14ac:dyDescent="0.3">
      <c r="A3744" t="s">
        <v>5080</v>
      </c>
      <c r="B3744" t="s">
        <v>5081</v>
      </c>
      <c r="C3744" t="s">
        <v>2696</v>
      </c>
      <c r="D3744" t="s">
        <v>2696</v>
      </c>
      <c r="E3744" t="s">
        <v>5082</v>
      </c>
    </row>
    <row r="3745" spans="1:5" x14ac:dyDescent="0.3">
      <c r="A3745" t="s">
        <v>5103</v>
      </c>
      <c r="B3745" t="s">
        <v>5104</v>
      </c>
      <c r="C3745" t="s">
        <v>2696</v>
      </c>
      <c r="D3745" t="s">
        <v>2696</v>
      </c>
      <c r="E3745" t="s">
        <v>5105</v>
      </c>
    </row>
    <row r="3746" spans="1:5" x14ac:dyDescent="0.3">
      <c r="A3746" t="s">
        <v>5126</v>
      </c>
      <c r="B3746" t="s">
        <v>5127</v>
      </c>
      <c r="C3746" t="s">
        <v>2696</v>
      </c>
      <c r="D3746" t="s">
        <v>2696</v>
      </c>
      <c r="E3746" t="s">
        <v>5128</v>
      </c>
    </row>
    <row r="3747" spans="1:5" x14ac:dyDescent="0.3">
      <c r="A3747" t="s">
        <v>5150</v>
      </c>
      <c r="B3747" t="s">
        <v>5151</v>
      </c>
      <c r="C3747" t="s">
        <v>2696</v>
      </c>
      <c r="D3747" t="s">
        <v>2696</v>
      </c>
      <c r="E3747" t="s">
        <v>5152</v>
      </c>
    </row>
    <row r="3748" spans="1:5" x14ac:dyDescent="0.3">
      <c r="A3748" t="s">
        <v>5174</v>
      </c>
      <c r="B3748" t="s">
        <v>1649</v>
      </c>
      <c r="C3748" t="s">
        <v>2696</v>
      </c>
      <c r="D3748" t="s">
        <v>2696</v>
      </c>
      <c r="E3748" t="s">
        <v>5175</v>
      </c>
    </row>
    <row r="3749" spans="1:5" x14ac:dyDescent="0.3">
      <c r="A3749" t="s">
        <v>5196</v>
      </c>
      <c r="B3749" t="s">
        <v>5197</v>
      </c>
      <c r="C3749" t="s">
        <v>2696</v>
      </c>
      <c r="D3749" t="s">
        <v>2696</v>
      </c>
      <c r="E3749" t="s">
        <v>5198</v>
      </c>
    </row>
    <row r="3750" spans="1:5" x14ac:dyDescent="0.3">
      <c r="A3750" t="s">
        <v>5220</v>
      </c>
      <c r="B3750" t="s">
        <v>5221</v>
      </c>
      <c r="C3750" t="s">
        <v>2696</v>
      </c>
      <c r="D3750" t="s">
        <v>2696</v>
      </c>
      <c r="E3750" t="s">
        <v>5222</v>
      </c>
    </row>
    <row r="3751" spans="1:5" x14ac:dyDescent="0.3">
      <c r="A3751" t="s">
        <v>5243</v>
      </c>
      <c r="B3751" t="s">
        <v>2573</v>
      </c>
      <c r="C3751" t="s">
        <v>2696</v>
      </c>
      <c r="D3751" t="s">
        <v>2696</v>
      </c>
      <c r="E3751" t="s">
        <v>5244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49"/>
  <sheetViews>
    <sheetView showGridLines="0" workbookViewId="0">
      <selection activeCell="B9" sqref="B9"/>
    </sheetView>
  </sheetViews>
  <sheetFormatPr defaultRowHeight="14.4" x14ac:dyDescent="0.3"/>
  <cols>
    <col min="1" max="1" width="23.33203125" customWidth="1"/>
    <col min="2" max="2" width="10.88671875" bestFit="1" customWidth="1"/>
    <col min="16" max="16" width="10.77734375" bestFit="1" customWidth="1"/>
  </cols>
  <sheetData>
    <row r="2" spans="1:2" x14ac:dyDescent="0.3">
      <c r="A2" s="69" t="s">
        <v>4</v>
      </c>
    </row>
    <row r="3" spans="1:2" x14ac:dyDescent="0.3">
      <c r="A3" t="s">
        <v>114</v>
      </c>
      <c r="B3" s="68">
        <f>IF('TRANG CHU'!G24="MST","-",'TRANG CHU'!H24)</f>
        <v>0</v>
      </c>
    </row>
    <row r="4" spans="1:2" x14ac:dyDescent="0.3">
      <c r="A4" t="s">
        <v>125</v>
      </c>
      <c r="B4" s="68" t="e">
        <f>IF('TRANG CHU'!G24="MST",'TRANG CHU'!H24,INDEX(Data[MST], MATCH($B$3, Data[CIF], 0)))</f>
        <v>#N/A</v>
      </c>
    </row>
    <row r="5" spans="1:2" x14ac:dyDescent="0.3">
      <c r="A5" t="s">
        <v>126</v>
      </c>
      <c r="B5" t="e">
        <f>IF('TRANG CHU'!G24="MST",INDEX(Data[TEN_KHACH_HANG], MATCH($B$4, Data[MST], 0)),INDEX(Data[TEN_KHACH_HANG], MATCH($B$3, Data[CIF], 0)))</f>
        <v>#N/A</v>
      </c>
    </row>
    <row r="6" spans="1:2" x14ac:dyDescent="0.3">
      <c r="A6" t="s">
        <v>151</v>
      </c>
      <c r="B6" t="e">
        <f>IF('TRANG CHU'!G24="MST",'TRANG CHU'!H16,INDEX(Data[HUB], MATCH($B$3, Data[CIF], 0)))</f>
        <v>#N/A</v>
      </c>
    </row>
    <row r="7" spans="1:2" x14ac:dyDescent="0.3">
      <c r="A7" t="s">
        <v>0</v>
      </c>
      <c r="B7" t="e">
        <f>IF('TRANG CHU'!G24="MST",'TRANG CHU'!H14,INDEX(Data[VUNG], MATCH($B$3, Data[CIF], 0)))</f>
        <v>#N/A</v>
      </c>
    </row>
    <row r="8" spans="1:2" x14ac:dyDescent="0.3">
      <c r="A8" t="s">
        <v>152</v>
      </c>
      <c r="B8" t="e">
        <f>IF('TRANG CHU'!G24="MST","-",INDEX(Data[STAFF_NAME], MATCH($B$3, Data[CIF], 0)))</f>
        <v>#N/A</v>
      </c>
    </row>
    <row r="9" spans="1:2" x14ac:dyDescent="0.3">
      <c r="A9" t="s">
        <v>153</v>
      </c>
      <c r="B9" t="e">
        <f>IF('TRANG CHU'!G24="MST", RIGHT(INDEX(Data[MA_NGANH], MATCH($B$4, Data[MST], 0)), 5), RIGHT(INDEX(Data[MA_NGANH], MATCH($B$3, Data[CIF], 0)), 5))</f>
        <v>#N/A</v>
      </c>
    </row>
    <row r="10" spans="1:2" x14ac:dyDescent="0.3">
      <c r="A10" t="s">
        <v>154</v>
      </c>
      <c r="B10" t="e">
        <f>IF('TRANG CHU'!G24="MST",INDEX(Data[NHOM_NGANH], MATCH($B$4, Data[MST], 0)),INDEX(Data[NHOM_NGANH], MATCH($B$3, Data[CIF], 0)))</f>
        <v>#N/A</v>
      </c>
    </row>
    <row r="11" spans="1:2" x14ac:dyDescent="0.3">
      <c r="A11" t="s">
        <v>155</v>
      </c>
      <c r="B11" t="e">
        <f>IF('TRANG CHU'!G24="MST",INDEX(Data[PKKH], MATCH($B$4, Data[MST], 0)),INDEX(Data[PKKH], MATCH($B$3, Data[CIF], 0)))</f>
        <v>#N/A</v>
      </c>
    </row>
    <row r="12" spans="1:2" x14ac:dyDescent="0.3">
      <c r="A12" t="s">
        <v>156</v>
      </c>
      <c r="B12" t="e">
        <f>IF('TRANG CHU'!G24="MST",INDEX(Data[SO_LAO_DONG], MATCH($B$4, Data[MST], 0)),INDEX(Data[SO_LAO_DONG], MATCH($B$3, Data[CIF], 0)))</f>
        <v>#N/A</v>
      </c>
    </row>
    <row r="13" spans="1:2" x14ac:dyDescent="0.3">
      <c r="A13" t="s">
        <v>240</v>
      </c>
      <c r="B13" t="e">
        <f>IF('TRANG CHU'!G24="MST",INDEX(Data[SO_NAM_HD], MATCH($B$4, Data[MST], 0)),INDEX(Data[SO_NAM_HD], MATCH($B$3, Data[CIF], 0)))</f>
        <v>#N/A</v>
      </c>
    </row>
    <row r="14" spans="1:2" x14ac:dyDescent="0.3">
      <c r="A14" s="69" t="s">
        <v>158</v>
      </c>
    </row>
    <row r="15" spans="1:2" x14ac:dyDescent="0.3">
      <c r="A15" t="s">
        <v>157</v>
      </c>
      <c r="B15" t="e">
        <f>IF('TRANG CHU'!G24="MST",INDEX(Data[DU_NO_BQ], MATCH($B$4, Data[MST], 0)),INDEX(Data[DU_NO_BQ], MATCH($B$3, Data[CIF], 0)))</f>
        <v>#N/A</v>
      </c>
    </row>
    <row r="16" spans="1:2" x14ac:dyDescent="0.3">
      <c r="A16" t="s">
        <v>140</v>
      </c>
      <c r="B16" t="e">
        <f>IF('TRANG CHU'!G24="MST",INDEX(Data[TONG_DU_NO_CIC], MATCH($B$4, Data[MST], 0)),INDEX(Data[TONG_DU_NO_CIC], MATCH($B$3, Data[CIF], 0)))</f>
        <v>#N/A</v>
      </c>
    </row>
    <row r="17" spans="1:16" x14ac:dyDescent="0.3">
      <c r="A17" t="s">
        <v>158</v>
      </c>
      <c r="B17" t="str">
        <f>IFERROR(B15/B16,"-")</f>
        <v>-</v>
      </c>
    </row>
    <row r="18" spans="1:16" x14ac:dyDescent="0.3">
      <c r="A18" s="69" t="s">
        <v>159</v>
      </c>
    </row>
    <row r="19" spans="1:16" x14ac:dyDescent="0.3">
      <c r="A19" s="70"/>
      <c r="B19" t="s">
        <v>145</v>
      </c>
      <c r="C19" t="s">
        <v>146</v>
      </c>
      <c r="D19" t="s">
        <v>162</v>
      </c>
    </row>
    <row r="20" spans="1:16" x14ac:dyDescent="0.3">
      <c r="A20" t="s">
        <v>17</v>
      </c>
      <c r="B20" s="72"/>
      <c r="C20" s="72"/>
      <c r="D20" s="71" t="str">
        <f t="shared" ref="D20:D25" si="0">IFERROR(B20/C20,"-")</f>
        <v>-</v>
      </c>
    </row>
    <row r="21" spans="1:16" x14ac:dyDescent="0.3">
      <c r="A21" t="s">
        <v>160</v>
      </c>
      <c r="B21" s="239" t="e">
        <f>IF('TRANG CHU'!G24="MST",INDEX(Data[NII_LENDING_ABB], MATCH($B$4, Data[MST], 0)),INDEX(Data[NII_LENDING_ABB], MATCH($B$3, Data[CIF], 0)))</f>
        <v>#N/A</v>
      </c>
      <c r="C21" s="239" t="e">
        <f>IF('TRANG CHU'!G24="MST",INDEX(Data[NII_LENDING_ALL], MATCH($B$4, Data[MST], 0)),INDEX(Data[NII_LENDING_ALL], MATCH($B$3, Data[CIF], 0)))</f>
        <v>#N/A</v>
      </c>
      <c r="D21" s="71" t="str">
        <f t="shared" si="0"/>
        <v>-</v>
      </c>
    </row>
    <row r="22" spans="1:16" x14ac:dyDescent="0.3">
      <c r="A22" t="s">
        <v>161</v>
      </c>
      <c r="B22" s="239" t="e">
        <f>IF('TRANG CHU'!G24="MST",INDEX(Data[NII_DEPOSIT_ABB], MATCH($B$4, Data[MST], 0)),INDEX(Data[NII_DEPOSIT_ABB], MATCH($B$3, Data[CIF], 0)))</f>
        <v>#N/A</v>
      </c>
      <c r="C22" s="239" t="e">
        <f>IF('TRANG CHU'!G24="MST",INDEX(Data[NII_DEPOSIT_ALL], MATCH($B$4, Data[MST], 0)),INDEX(Data[NII_DEPOSIT_ALL], MATCH($B$3, Data[CIF], 0)))</f>
        <v>#N/A</v>
      </c>
      <c r="D22" s="71" t="str">
        <f t="shared" si="0"/>
        <v>-</v>
      </c>
    </row>
    <row r="23" spans="1:16" x14ac:dyDescent="0.3">
      <c r="A23" t="s">
        <v>15</v>
      </c>
      <c r="B23" s="239" t="e">
        <f>IF('TRANG CHU'!G24="MST",INDEX(Data[NFI_ABB], MATCH($B$4, Data[MST], 0)),INDEX(Data[NFI_ABB], MATCH($B$3, Data[CIF], 0)))</f>
        <v>#N/A</v>
      </c>
      <c r="C23" s="239" t="e">
        <f>IF('TRANG CHU'!G24="MST",INDEX(Data[NFI_ALL], MATCH($B$4, Data[MST], 0)),INDEX(Data[NFI_ALL], MATCH($B$3, Data[CIF], 0)))</f>
        <v>#N/A</v>
      </c>
      <c r="D23" s="71" t="str">
        <f t="shared" si="0"/>
        <v>-</v>
      </c>
    </row>
    <row r="24" spans="1:16" x14ac:dyDescent="0.3">
      <c r="A24" t="s">
        <v>16</v>
      </c>
      <c r="B24" s="239" t="e">
        <f>IF('TRANG CHU'!G24="MST",INDEX(Data[NFX_ABB], MATCH($B$4, Data[MST], 0)),INDEX(Data[NFX_ABB], MATCH($B$3, Data[CIF], 0)))</f>
        <v>#N/A</v>
      </c>
      <c r="C24" s="72" t="e">
        <f>IF('TRANG CHU'!G24="MST",INDEX(Data[NFX_ALL], MATCH($B$4, Data[MST], 0)),INDEX(Data[NFX_ALL], MATCH($B$3, Data[CIF], 0)))</f>
        <v>#N/A</v>
      </c>
      <c r="D24" s="71" t="str">
        <f t="shared" si="0"/>
        <v>-</v>
      </c>
    </row>
    <row r="25" spans="1:16" x14ac:dyDescent="0.3">
      <c r="A25" t="s">
        <v>14</v>
      </c>
      <c r="B25" s="72"/>
      <c r="C25" s="72" t="e">
        <f>C20+C23+C24</f>
        <v>#N/A</v>
      </c>
      <c r="D25" s="71" t="str">
        <f t="shared" si="0"/>
        <v>-</v>
      </c>
    </row>
    <row r="26" spans="1:16" x14ac:dyDescent="0.3">
      <c r="A26" s="69" t="s">
        <v>166</v>
      </c>
    </row>
    <row r="27" spans="1:16" x14ac:dyDescent="0.3">
      <c r="B27" t="str">
        <f>TEXT('TRANG CHU'!H18, "yyyymm")</f>
        <v>202503</v>
      </c>
      <c r="C27" s="97" t="str">
        <f>TEXT(DATE(LEFT(B27,4), MID(B27,5,2)+1, 1), "yyyymm")</f>
        <v>202504</v>
      </c>
      <c r="D27" s="97" t="str">
        <f t="shared" ref="D27:N28" si="1">TEXT(DATE(LEFT(C27,4), MID(C27,5,2)+1, 1), "yyyymm")</f>
        <v>202505</v>
      </c>
      <c r="E27" s="97" t="str">
        <f t="shared" si="1"/>
        <v>202506</v>
      </c>
      <c r="F27" s="97" t="str">
        <f t="shared" si="1"/>
        <v>202507</v>
      </c>
      <c r="G27" s="97" t="str">
        <f t="shared" si="1"/>
        <v>202508</v>
      </c>
      <c r="H27" s="97" t="str">
        <f t="shared" si="1"/>
        <v>202509</v>
      </c>
      <c r="I27" s="97" t="str">
        <f t="shared" si="1"/>
        <v>202510</v>
      </c>
      <c r="J27" s="97" t="str">
        <f t="shared" si="1"/>
        <v>202511</v>
      </c>
      <c r="K27" s="97" t="str">
        <f t="shared" si="1"/>
        <v>202512</v>
      </c>
      <c r="L27" s="97" t="str">
        <f t="shared" si="1"/>
        <v>202601</v>
      </c>
      <c r="M27" s="97" t="str">
        <f t="shared" si="1"/>
        <v>202602</v>
      </c>
      <c r="N27" s="97" t="str">
        <f t="shared" si="1"/>
        <v>202603</v>
      </c>
      <c r="O27" t="s">
        <v>20</v>
      </c>
      <c r="P27" t="s">
        <v>147</v>
      </c>
    </row>
    <row r="28" spans="1:16" x14ac:dyDescent="0.3">
      <c r="B28" t="str">
        <f>TEXT(EDATE('TRANG CHU'!H18, -12), "yyyymm")</f>
        <v>202403</v>
      </c>
      <c r="C28" t="str">
        <f>TEXT(DATE(LEFT(B28,4), MID(B28,5,2)+1, 1), "yyyymm")</f>
        <v>202404</v>
      </c>
      <c r="D28" t="str">
        <f t="shared" si="1"/>
        <v>202405</v>
      </c>
      <c r="E28" t="str">
        <f t="shared" si="1"/>
        <v>202406</v>
      </c>
      <c r="F28" t="str">
        <f t="shared" si="1"/>
        <v>202407</v>
      </c>
      <c r="G28" t="str">
        <f t="shared" si="1"/>
        <v>202408</v>
      </c>
      <c r="H28" t="str">
        <f t="shared" si="1"/>
        <v>202409</v>
      </c>
      <c r="I28" t="str">
        <f t="shared" si="1"/>
        <v>202410</v>
      </c>
      <c r="J28" t="str">
        <f t="shared" si="1"/>
        <v>202411</v>
      </c>
      <c r="K28" t="str">
        <f t="shared" si="1"/>
        <v>202412</v>
      </c>
      <c r="L28" t="str">
        <f t="shared" si="1"/>
        <v>202501</v>
      </c>
      <c r="M28" t="str">
        <f t="shared" si="1"/>
        <v>202502</v>
      </c>
      <c r="N28" t="str">
        <f t="shared" si="1"/>
        <v>202503</v>
      </c>
    </row>
    <row r="29" spans="1:16" x14ac:dyDescent="0.3">
      <c r="A29" t="s">
        <v>79</v>
      </c>
    </row>
    <row r="30" spans="1:16" x14ac:dyDescent="0.3">
      <c r="A30" t="s">
        <v>195</v>
      </c>
      <c r="B30">
        <f>SUMIFS(Data_raw_1[LENDING_AVG], Data_raw_1[MONTH_ID],B28,Data_raw_1[CIF],$B$3)</f>
        <v>0</v>
      </c>
      <c r="C30">
        <f>SUMIFS(Data_raw_1[LENDING_AVG], Data_raw_1[MONTH_ID],C28,Data_raw_1[CIF],$B$3)</f>
        <v>0</v>
      </c>
      <c r="D30">
        <f>SUMIFS(Data_raw_1[LENDING_AVG], Data_raw_1[MONTH_ID],D28,Data_raw_1[CIF],$B$3)</f>
        <v>0</v>
      </c>
      <c r="E30">
        <f>SUMIFS(Data_raw_1[LENDING_AVG], Data_raw_1[MONTH_ID],E28,Data_raw_1[CIF],$B$3)</f>
        <v>0</v>
      </c>
      <c r="F30">
        <f>SUMIFS(Data_raw_1[LENDING_AVG], Data_raw_1[MONTH_ID],F28,Data_raw_1[CIF],$B$3)</f>
        <v>0</v>
      </c>
      <c r="G30">
        <f>SUMIFS(Data_raw_1[LENDING_AVG], Data_raw_1[MONTH_ID],G28,Data_raw_1[CIF],$B$3)</f>
        <v>0</v>
      </c>
      <c r="H30">
        <f>SUMIFS(Data_raw_1[LENDING_AVG], Data_raw_1[MONTH_ID],H28,Data_raw_1[CIF],$B$3)</f>
        <v>0</v>
      </c>
      <c r="I30">
        <f>SUMIFS(Data_raw_1[LENDING_AVG], Data_raw_1[MONTH_ID],I28,Data_raw_1[CIF],$B$3)</f>
        <v>0</v>
      </c>
      <c r="J30">
        <f>SUMIFS(Data_raw_1[LENDING_AVG], Data_raw_1[MONTH_ID],J28,Data_raw_1[CIF],$B$3)</f>
        <v>0</v>
      </c>
      <c r="K30">
        <f>SUMIFS(Data_raw_1[LENDING_AVG], Data_raw_1[MONTH_ID],K28,Data_raw_1[CIF],$B$3)</f>
        <v>0</v>
      </c>
      <c r="L30">
        <f>SUMIFS(Data_raw_1[LENDING_AVG], Data_raw_1[MONTH_ID],L28,Data_raw_1[CIF],$B$3)</f>
        <v>0</v>
      </c>
      <c r="M30">
        <f>SUMIFS(Data_raw_1[LENDING_AVG], Data_raw_1[MONTH_ID],M28,Data_raw_1[CIF],$B$3)</f>
        <v>0</v>
      </c>
      <c r="N30">
        <f>SUMIFS(Data_raw_1[LENDING_AVG], Data_raw_1[MONTH_ID],N28,Data_raw_1[CIF],$B$3)</f>
        <v>0</v>
      </c>
      <c r="P30" t="e">
        <f>IF('TRANG CHU'!G24="MST",INDEX(Data[NII_LENDING_DS], MATCH($B$4, Data[MST], 0)),INDEX(Data[NII_LENDING_DS], MATCH($B$3, Data[CIF], 0)))</f>
        <v>#N/A</v>
      </c>
    </row>
    <row r="31" spans="1:16" x14ac:dyDescent="0.3">
      <c r="A31" t="s">
        <v>196</v>
      </c>
      <c r="B31" s="243">
        <f>IFERROR(SUMIFS(Data_raw_1[NII_LENDING], Data_raw_1[MONTH_ID],B28,Data_raw_1[CIF],$B$3)*12/B30,0)</f>
        <v>0</v>
      </c>
      <c r="C31" s="243">
        <f>IFERROR(SUMIFS(Data_raw_1[NII_LENDING], Data_raw_1[MONTH_ID],C28,Data_raw_1[CIF],$B$3)*12/C30,0)</f>
        <v>0</v>
      </c>
      <c r="D31" s="243">
        <f>IFERROR(SUMIFS(Data_raw_1[NII_LENDING], Data_raw_1[MONTH_ID],D28,Data_raw_1[CIF],$B$3)*12/D30,0)</f>
        <v>0</v>
      </c>
      <c r="E31" s="243">
        <f>IFERROR(SUMIFS(Data_raw_1[NII_LENDING], Data_raw_1[MONTH_ID],E28,Data_raw_1[CIF],$B$3)*12/E30,0)</f>
        <v>0</v>
      </c>
      <c r="F31" s="243">
        <f>IFERROR(SUMIFS(Data_raw_1[NII_LENDING], Data_raw_1[MONTH_ID],F28,Data_raw_1[CIF],$B$3)*12/F30,0)</f>
        <v>0</v>
      </c>
      <c r="G31" s="243">
        <f>IFERROR(SUMIFS(Data_raw_1[NII_LENDING], Data_raw_1[MONTH_ID],G28,Data_raw_1[CIF],$B$3)*12/G30,0)</f>
        <v>0</v>
      </c>
      <c r="H31" s="243">
        <f>IFERROR(SUMIFS(Data_raw_1[NII_LENDING], Data_raw_1[MONTH_ID],H28,Data_raw_1[CIF],$B$3)*12/H30,0)</f>
        <v>0</v>
      </c>
      <c r="I31" s="243">
        <f>IFERROR(SUMIFS(Data_raw_1[NII_LENDING], Data_raw_1[MONTH_ID],I28,Data_raw_1[CIF],$B$3)*12/I30,0)</f>
        <v>0</v>
      </c>
      <c r="J31" s="243">
        <f>IFERROR(SUMIFS(Data_raw_1[NII_LENDING], Data_raw_1[MONTH_ID],J28,Data_raw_1[CIF],$B$3)*12/J30,0)</f>
        <v>0</v>
      </c>
      <c r="K31" s="243">
        <f>IFERROR(SUMIFS(Data_raw_1[NII_LENDING], Data_raw_1[MONTH_ID],K28,Data_raw_1[CIF],$B$3)*12/K30,0)</f>
        <v>0</v>
      </c>
      <c r="L31" s="243">
        <f>IFERROR(SUMIFS(Data_raw_1[NII_LENDING], Data_raw_1[MONTH_ID],L28,Data_raw_1[CIF],$B$3)*12/L30,0)</f>
        <v>0</v>
      </c>
      <c r="M31" s="243">
        <f>IFERROR(SUMIFS(Data_raw_1[NII_LENDING], Data_raw_1[MONTH_ID],M28,Data_raw_1[CIF],$B$3)*12/M30,0)</f>
        <v>0</v>
      </c>
      <c r="N31" s="243">
        <f>IFERROR(SUMIFS(Data_raw_1[NII_LENDING], Data_raw_1[MONTH_ID],N28,Data_raw_1[CIF],$B$3)*12/N30,0)</f>
        <v>0</v>
      </c>
      <c r="P31" s="71">
        <f>IFERROR(IF('TRANG CHU'!G24="MST",INDEX(Data[NII_LENDING_ALL], MATCH($B$4, Data[MST], 0)),INDEX(Data[NII_LENDING_ALL], MATCH($B$3, Data[CIF], 0)))/P30,0)</f>
        <v>0</v>
      </c>
    </row>
    <row r="32" spans="1:16" x14ac:dyDescent="0.3">
      <c r="A32" t="s">
        <v>197</v>
      </c>
      <c r="P32" s="239"/>
    </row>
    <row r="33" spans="1:16" x14ac:dyDescent="0.3">
      <c r="A33" t="s">
        <v>198</v>
      </c>
      <c r="B33">
        <f>SUMIFS(Data_raw_1[CASA_AVG], Data_raw_1[MONTH_ID],B28,Data_raw_1[CIF],$B$3)</f>
        <v>0</v>
      </c>
      <c r="C33">
        <f>SUMIFS(Data_raw_1[CASA_AVG], Data_raw_1[MONTH_ID],C28,Data_raw_1[CIF],$B$3)</f>
        <v>0</v>
      </c>
      <c r="D33">
        <f>SUMIFS(Data_raw_1[CASA_AVG], Data_raw_1[MONTH_ID],D28,Data_raw_1[CIF],$B$3)</f>
        <v>0</v>
      </c>
      <c r="E33">
        <f>SUMIFS(Data_raw_1[CASA_AVG], Data_raw_1[MONTH_ID],E28,Data_raw_1[CIF],$B$3)</f>
        <v>0</v>
      </c>
      <c r="F33">
        <f>SUMIFS(Data_raw_1[CASA_AVG], Data_raw_1[MONTH_ID],F28,Data_raw_1[CIF],$B$3)</f>
        <v>0</v>
      </c>
      <c r="G33">
        <f>SUMIFS(Data_raw_1[CASA_AVG], Data_raw_1[MONTH_ID],G28,Data_raw_1[CIF],$B$3)</f>
        <v>0</v>
      </c>
      <c r="H33">
        <f>SUMIFS(Data_raw_1[CASA_AVG], Data_raw_1[MONTH_ID],H28,Data_raw_1[CIF],$B$3)</f>
        <v>0</v>
      </c>
      <c r="I33">
        <f>SUMIFS(Data_raw_1[CASA_AVG], Data_raw_1[MONTH_ID],I28,Data_raw_1[CIF],$B$3)</f>
        <v>0</v>
      </c>
      <c r="J33">
        <f>SUMIFS(Data_raw_1[CASA_AVG], Data_raw_1[MONTH_ID],J28,Data_raw_1[CIF],$B$3)</f>
        <v>0</v>
      </c>
      <c r="K33">
        <f>SUMIFS(Data_raw_1[CASA_AVG], Data_raw_1[MONTH_ID],K28,Data_raw_1[CIF],$B$3)</f>
        <v>0</v>
      </c>
      <c r="L33">
        <f>SUMIFS(Data_raw_1[CASA_AVG], Data_raw_1[MONTH_ID],L28,Data_raw_1[CIF],$B$3)</f>
        <v>0</v>
      </c>
      <c r="M33">
        <f>SUMIFS(Data_raw_1[CASA_AVG], Data_raw_1[MONTH_ID],M28,Data_raw_1[CIF],$B$3)</f>
        <v>0</v>
      </c>
      <c r="N33">
        <f>SUMIFS(Data_raw_1[CASA_AVG], Data_raw_1[MONTH_ID],N28,Data_raw_1[CIF],$B$3)</f>
        <v>0</v>
      </c>
      <c r="P33" t="e">
        <f>IF('TRANG CHU'!G24="MST",INDEX(Data[NII_DEPOSITS_CASA_DS], MATCH($B$4, Data[MST], 0)),INDEX(Data[NII_DEPOSITS_CASA_DS], MATCH($B$3, Data[CIF], 0)))</f>
        <v>#N/A</v>
      </c>
    </row>
    <row r="34" spans="1:16" x14ac:dyDescent="0.3">
      <c r="A34" t="s">
        <v>196</v>
      </c>
      <c r="B34" s="243">
        <f>IFERROR(SUMIFS(Data_raw_1[NII_CASA], Data_raw_1[MONTH_ID],B28,Data_raw_1[CIF],$B$3)*12/B33,0)</f>
        <v>0</v>
      </c>
      <c r="C34" s="243">
        <f>IFERROR(SUMIFS(Data_raw_1[NII_CASA], Data_raw_1[MONTH_ID],C28,Data_raw_1[CIF],$B$3)*12/C33,0)</f>
        <v>0</v>
      </c>
      <c r="D34" s="243">
        <f>IFERROR(SUMIFS(Data_raw_1[NII_CASA], Data_raw_1[MONTH_ID],D28,Data_raw_1[CIF],$B$3)*12/D33,0)</f>
        <v>0</v>
      </c>
      <c r="E34" s="243">
        <f>IFERROR(SUMIFS(Data_raw_1[NII_CASA], Data_raw_1[MONTH_ID],E28,Data_raw_1[CIF],$B$3)*12/E33,0)</f>
        <v>0</v>
      </c>
      <c r="F34" s="243">
        <f>IFERROR(SUMIFS(Data_raw_1[NII_CASA], Data_raw_1[MONTH_ID],F28,Data_raw_1[CIF],$B$3)*12/F33,0)</f>
        <v>0</v>
      </c>
      <c r="G34" s="243">
        <f>IFERROR(SUMIFS(Data_raw_1[NII_CASA], Data_raw_1[MONTH_ID],G28,Data_raw_1[CIF],$B$3)*12/G33,0)</f>
        <v>0</v>
      </c>
      <c r="H34" s="243">
        <f>IFERROR(SUMIFS(Data_raw_1[NII_CASA], Data_raw_1[MONTH_ID],H28,Data_raw_1[CIF],$B$3)*12/H33,0)</f>
        <v>0</v>
      </c>
      <c r="I34" s="243">
        <f>IFERROR(SUMIFS(Data_raw_1[NII_CASA], Data_raw_1[MONTH_ID],I28,Data_raw_1[CIF],$B$3)*12/I33,0)</f>
        <v>0</v>
      </c>
      <c r="J34" s="243">
        <f>IFERROR(SUMIFS(Data_raw_1[NII_CASA], Data_raw_1[MONTH_ID],J28,Data_raw_1[CIF],$B$3)*12/J33,0)</f>
        <v>0</v>
      </c>
      <c r="K34" s="243">
        <f>IFERROR(SUMIFS(Data_raw_1[NII_CASA], Data_raw_1[MONTH_ID],K28,Data_raw_1[CIF],$B$3)*12/K33,0)</f>
        <v>0</v>
      </c>
      <c r="L34" s="243">
        <f>IFERROR(SUMIFS(Data_raw_1[NII_CASA], Data_raw_1[MONTH_ID],L28,Data_raw_1[CIF],$B$3)*12/L33,0)</f>
        <v>0</v>
      </c>
      <c r="M34" s="243">
        <f>IFERROR(SUMIFS(Data_raw_1[NII_CASA], Data_raw_1[MONTH_ID],M28,Data_raw_1[CIF],$B$3)*12/M33,0)</f>
        <v>0</v>
      </c>
      <c r="N34" s="243">
        <f>IFERROR(SUMIFS(Data_raw_1[NII_CASA], Data_raw_1[MONTH_ID],N28,Data_raw_1[CIF],$B$3)*12/N33,0)</f>
        <v>0</v>
      </c>
      <c r="P34" s="71">
        <f>IFERROR(IF('TRANG CHU'!G24="MST",INDEX(Data[NII_DEPOSITS_CASA], MATCH($B$4, Data[MST], 0)),INDEX(Data[NII_DEPOSITS_CASA], MATCH($B$3, Data[CIF], 0)))/P33,0)</f>
        <v>0</v>
      </c>
    </row>
    <row r="35" spans="1:16" x14ac:dyDescent="0.3">
      <c r="A35" t="s">
        <v>199</v>
      </c>
    </row>
    <row r="36" spans="1:16" x14ac:dyDescent="0.3">
      <c r="A36" t="s">
        <v>200</v>
      </c>
      <c r="B36">
        <f>SUMIFS(Data_raw_1[CKH_AVG], Data_raw_1[MONTH_ID],B28,Data_raw_1[CIF],$B$3)</f>
        <v>0</v>
      </c>
      <c r="C36">
        <f>SUMIFS(Data_raw_1[CKH_AVG], Data_raw_1[MONTH_ID],C28,Data_raw_1[CIF],$B$3)</f>
        <v>0</v>
      </c>
      <c r="D36">
        <f>SUMIFS(Data_raw_1[CKH_AVG], Data_raw_1[MONTH_ID],D28,Data_raw_1[CIF],$B$3)</f>
        <v>0</v>
      </c>
      <c r="E36">
        <f>SUMIFS(Data_raw_1[CKH_AVG], Data_raw_1[MONTH_ID],E28,Data_raw_1[CIF],$B$3)</f>
        <v>0</v>
      </c>
      <c r="F36">
        <f>SUMIFS(Data_raw_1[CKH_AVG], Data_raw_1[MONTH_ID],F28,Data_raw_1[CIF],$B$3)</f>
        <v>0</v>
      </c>
      <c r="G36">
        <f>SUMIFS(Data_raw_1[CKH_AVG], Data_raw_1[MONTH_ID],G28,Data_raw_1[CIF],$B$3)</f>
        <v>0</v>
      </c>
      <c r="H36">
        <f>SUMIFS(Data_raw_1[CKH_AVG], Data_raw_1[MONTH_ID],H28,Data_raw_1[CIF],$B$3)</f>
        <v>0</v>
      </c>
      <c r="I36">
        <f>SUMIFS(Data_raw_1[CKH_AVG], Data_raw_1[MONTH_ID],I28,Data_raw_1[CIF],$B$3)</f>
        <v>0</v>
      </c>
      <c r="J36">
        <f>SUMIFS(Data_raw_1[CKH_AVG], Data_raw_1[MONTH_ID],J28,Data_raw_1[CIF],$B$3)</f>
        <v>0</v>
      </c>
      <c r="K36">
        <f>SUMIFS(Data_raw_1[CKH_AVG], Data_raw_1[MONTH_ID],K28,Data_raw_1[CIF],$B$3)</f>
        <v>0</v>
      </c>
      <c r="L36">
        <f>SUMIFS(Data_raw_1[CKH_AVG], Data_raw_1[MONTH_ID],L28,Data_raw_1[CIF],$B$3)</f>
        <v>0</v>
      </c>
      <c r="M36">
        <f>SUMIFS(Data_raw_1[CKH_AVG], Data_raw_1[MONTH_ID],M28,Data_raw_1[CIF],$B$3)</f>
        <v>0</v>
      </c>
      <c r="N36">
        <f>SUMIFS(Data_raw_1[CKH_AVG], Data_raw_1[MONTH_ID],N28,Data_raw_1[CIF],$B$3)</f>
        <v>0</v>
      </c>
      <c r="P36" t="e">
        <f>IF('TRANG CHU'!G24="MST",INDEX(Data[NII_DEPOSITS_TD_DS], MATCH($B$4, Data[MST], 0)),INDEX(Data[NII_DEPOSITS_TD_DS], MATCH($B$3, Data[CIF], 0)))</f>
        <v>#N/A</v>
      </c>
    </row>
    <row r="37" spans="1:16" x14ac:dyDescent="0.3">
      <c r="A37" t="s">
        <v>196</v>
      </c>
      <c r="B37" s="243">
        <f>IFERROR(SUMIFS(Data_raw_1[NII_CKH], Data_raw_1[MONTH_ID],B28,Data_raw_1[CIF],$B$3)*12/B36,0)</f>
        <v>0</v>
      </c>
      <c r="C37" s="243">
        <f>IFERROR(SUMIFS(Data_raw_1[NII_CKH], Data_raw_1[MONTH_ID],C28,Data_raw_1[CIF],$B$3)*12/C36,0)</f>
        <v>0</v>
      </c>
      <c r="D37" s="243">
        <f>IFERROR(SUMIFS(Data_raw_1[NII_CKH], Data_raw_1[MONTH_ID],D28,Data_raw_1[CIF],$B$3)*12/D36,0)</f>
        <v>0</v>
      </c>
      <c r="E37" s="243">
        <f>IFERROR(SUMIFS(Data_raw_1[NII_CKH], Data_raw_1[MONTH_ID],E28,Data_raw_1[CIF],$B$3)*12/E36,0)</f>
        <v>0</v>
      </c>
      <c r="F37" s="243">
        <f>IFERROR(SUMIFS(Data_raw_1[NII_CKH], Data_raw_1[MONTH_ID],F28,Data_raw_1[CIF],$B$3)*12/F36,0)</f>
        <v>0</v>
      </c>
      <c r="G37" s="243">
        <f>IFERROR(SUMIFS(Data_raw_1[NII_CKH], Data_raw_1[MONTH_ID],G28,Data_raw_1[CIF],$B$3)*12/G36,0)</f>
        <v>0</v>
      </c>
      <c r="H37" s="243">
        <f>IFERROR(SUMIFS(Data_raw_1[NII_CKH], Data_raw_1[MONTH_ID],H28,Data_raw_1[CIF],$B$3)*12/H36,0)</f>
        <v>0</v>
      </c>
      <c r="I37" s="243">
        <f>IFERROR(SUMIFS(Data_raw_1[NII_CKH], Data_raw_1[MONTH_ID],I28,Data_raw_1[CIF],$B$3)*12/I36,0)</f>
        <v>0</v>
      </c>
      <c r="J37" s="243">
        <f>IFERROR(SUMIFS(Data_raw_1[NII_CKH], Data_raw_1[MONTH_ID],J28,Data_raw_1[CIF],$B$3)*12/J36,0)</f>
        <v>0</v>
      </c>
      <c r="K37" s="243">
        <f>IFERROR(SUMIFS(Data_raw_1[NII_CKH], Data_raw_1[MONTH_ID],K28,Data_raw_1[CIF],$B$3)*12/K36,0)</f>
        <v>0</v>
      </c>
      <c r="L37" s="243">
        <f>IFERROR(SUMIFS(Data_raw_1[NII_CKH], Data_raw_1[MONTH_ID],L28,Data_raw_1[CIF],$B$3)*12/L36,0)</f>
        <v>0</v>
      </c>
      <c r="M37" s="243">
        <f>IFERROR(SUMIFS(Data_raw_1[NII_CKH], Data_raw_1[MONTH_ID],M28,Data_raw_1[CIF],$B$3)*12/M36,0)</f>
        <v>0</v>
      </c>
      <c r="N37" s="243">
        <f>IFERROR(SUMIFS(Data_raw_1[NII_CKH], Data_raw_1[MONTH_ID],N28,Data_raw_1[CIF],$B$3)*12/N36,0)</f>
        <v>0</v>
      </c>
      <c r="P37" s="71">
        <f>IFERROR(IF('TRANG CHU'!G24="MST",INDEX(Data[NII_DEPOSITS_TD], MATCH($B$4, Data[MST], 0)),INDEX(Data[NII_DEPOSITS_TD], MATCH($B$3, Data[CIF], 0)))/P36,0)</f>
        <v>0</v>
      </c>
    </row>
    <row r="38" spans="1:16" x14ac:dyDescent="0.3">
      <c r="A38" t="s">
        <v>201</v>
      </c>
    </row>
    <row r="39" spans="1:16" x14ac:dyDescent="0.3">
      <c r="A39" t="s">
        <v>19</v>
      </c>
      <c r="B39">
        <f>SUMIFS(Data_raw_1[DS_BL], Data_raw_1[MONTH_ID],B28,Data_raw_1[CIF],$B$3)</f>
        <v>0</v>
      </c>
      <c r="C39">
        <f>SUMIFS(Data_raw_1[DS_BL], Data_raw_1[MONTH_ID],C28,Data_raw_1[CIF],$B$3)</f>
        <v>0</v>
      </c>
      <c r="D39">
        <f>SUMIFS(Data_raw_1[DS_BL], Data_raw_1[MONTH_ID],D28,Data_raw_1[CIF],$B$3)</f>
        <v>0</v>
      </c>
      <c r="E39">
        <f>SUMIFS(Data_raw_1[DS_BL], Data_raw_1[MONTH_ID],E28,Data_raw_1[CIF],$B$3)</f>
        <v>0</v>
      </c>
      <c r="F39">
        <f>SUMIFS(Data_raw_1[DS_BL], Data_raw_1[MONTH_ID],F28,Data_raw_1[CIF],$B$3)</f>
        <v>0</v>
      </c>
      <c r="G39">
        <f>SUMIFS(Data_raw_1[DS_BL], Data_raw_1[MONTH_ID],G28,Data_raw_1[CIF],$B$3)</f>
        <v>0</v>
      </c>
      <c r="H39">
        <f>SUMIFS(Data_raw_1[DS_BL], Data_raw_1[MONTH_ID],H28,Data_raw_1[CIF],$B$3)</f>
        <v>0</v>
      </c>
      <c r="I39">
        <f>SUMIFS(Data_raw_1[DS_BL], Data_raw_1[MONTH_ID],I28,Data_raw_1[CIF],$B$3)</f>
        <v>0</v>
      </c>
      <c r="J39">
        <f>SUMIFS(Data_raw_1[DS_BL], Data_raw_1[MONTH_ID],J28,Data_raw_1[CIF],$B$3)</f>
        <v>0</v>
      </c>
      <c r="K39">
        <f>SUMIFS(Data_raw_1[DS_BL], Data_raw_1[MONTH_ID],K28,Data_raw_1[CIF],$B$3)</f>
        <v>0</v>
      </c>
      <c r="L39">
        <f>SUMIFS(Data_raw_1[DS_BL], Data_raw_1[MONTH_ID],L28,Data_raw_1[CIF],$B$3)</f>
        <v>0</v>
      </c>
      <c r="M39">
        <f>SUMIFS(Data_raw_1[DS_BL], Data_raw_1[MONTH_ID],M28,Data_raw_1[CIF],$B$3)</f>
        <v>0</v>
      </c>
      <c r="N39">
        <f>SUMIFS(Data_raw_1[DS_BL], Data_raw_1[MONTH_ID],N28,Data_raw_1[CIF],$B$3)</f>
        <v>0</v>
      </c>
      <c r="P39" t="e">
        <f>IF('TRANG CHU'!G24="MST",INDEX(Data[NFI_BL_DS], MATCH($B$4, Data[MST], 0)),INDEX(Data[NFI_BL_DS], MATCH($B$3, Data[CIF], 0)))</f>
        <v>#N/A</v>
      </c>
    </row>
    <row r="40" spans="1:16" x14ac:dyDescent="0.3">
      <c r="A40" t="s">
        <v>27</v>
      </c>
      <c r="B40" s="243">
        <f>IFERROR(SUMIFS(Data_raw_1[NFI_BL], Data_raw_1[MONTH_ID],B28,Data_raw_1[CIF],$B$3)/B39,0)</f>
        <v>0</v>
      </c>
      <c r="C40" s="243">
        <f>IFERROR(SUMIFS(Data_raw_1[NFI_BL], Data_raw_1[MONTH_ID],C28,Data_raw_1[CIF],$B$3)/C39,0)</f>
        <v>0</v>
      </c>
      <c r="D40" s="243">
        <f>IFERROR(SUMIFS(Data_raw_1[NFI_BL], Data_raw_1[MONTH_ID],D28,Data_raw_1[CIF],$B$3)/D39,0)</f>
        <v>0</v>
      </c>
      <c r="E40" s="243">
        <f>IFERROR(SUMIFS(Data_raw_1[NFI_BL], Data_raw_1[MONTH_ID],E28,Data_raw_1[CIF],$B$3)/E39,0)</f>
        <v>0</v>
      </c>
      <c r="F40" s="243">
        <f>IFERROR(SUMIFS(Data_raw_1[NFI_BL], Data_raw_1[MONTH_ID],F28,Data_raw_1[CIF],$B$3)/F39,0)</f>
        <v>0</v>
      </c>
      <c r="G40" s="243">
        <f>IFERROR(SUMIFS(Data_raw_1[NFI_BL], Data_raw_1[MONTH_ID],G28,Data_raw_1[CIF],$B$3)/G39,0)</f>
        <v>0</v>
      </c>
      <c r="H40" s="243">
        <f>IFERROR(SUMIFS(Data_raw_1[NFI_BL], Data_raw_1[MONTH_ID],H28,Data_raw_1[CIF],$B$3)/H39,0)</f>
        <v>0</v>
      </c>
      <c r="I40" s="243">
        <f>IFERROR(SUMIFS(Data_raw_1[NFI_BL], Data_raw_1[MONTH_ID],I28,Data_raw_1[CIF],$B$3)/I39,0)</f>
        <v>0</v>
      </c>
      <c r="J40" s="243">
        <f>IFERROR(SUMIFS(Data_raw_1[NFI_BL], Data_raw_1[MONTH_ID],J28,Data_raw_1[CIF],$B$3)/J39,0)</f>
        <v>0</v>
      </c>
      <c r="K40" s="243">
        <f>IFERROR(SUMIFS(Data_raw_1[NFI_BL], Data_raw_1[MONTH_ID],K28,Data_raw_1[CIF],$B$3)/K39,0)</f>
        <v>0</v>
      </c>
      <c r="L40" s="243">
        <f>IFERROR(SUMIFS(Data_raw_1[NFI_BL], Data_raw_1[MONTH_ID],L28,Data_raw_1[CIF],$B$3)/L39,0)</f>
        <v>0</v>
      </c>
      <c r="M40" s="243">
        <f>IFERROR(SUMIFS(Data_raw_1[NFI_BL], Data_raw_1[MONTH_ID],M28,Data_raw_1[CIF],$B$3)/M39,0)</f>
        <v>0</v>
      </c>
      <c r="N40" s="243">
        <f>IFERROR(SUMIFS(Data_raw_1[NFI_BL], Data_raw_1[MONTH_ID],N28,Data_raw_1[CIF],$B$3)/N39,0)</f>
        <v>0</v>
      </c>
      <c r="P40" s="71">
        <f>IFERROR(IF('TRANG CHU'!G24="MST",INDEX(Data[NFI_BL], MATCH($B$4, Data[MST], 0)),INDEX(Data[NFI_BL], MATCH($B$3, Data[CIF], 0)))/P39,0)</f>
        <v>0</v>
      </c>
    </row>
    <row r="41" spans="1:16" x14ac:dyDescent="0.3">
      <c r="A41" t="s">
        <v>24</v>
      </c>
    </row>
    <row r="42" spans="1:16" x14ac:dyDescent="0.3">
      <c r="A42" t="s">
        <v>19</v>
      </c>
      <c r="B42">
        <f>SUMIFS(Data_raw_1[DS_LC], Data_raw_1[MONTH_ID],B28,Data_raw_1[CIF],$B$3)</f>
        <v>0</v>
      </c>
      <c r="C42">
        <f>SUMIFS(Data_raw_1[DS_LC], Data_raw_1[MONTH_ID],C28,Data_raw_1[CIF],$B$3)</f>
        <v>0</v>
      </c>
      <c r="D42">
        <f>SUMIFS(Data_raw_1[DS_LC], Data_raw_1[MONTH_ID],D28,Data_raw_1[CIF],$B$3)</f>
        <v>0</v>
      </c>
      <c r="E42">
        <f>SUMIFS(Data_raw_1[DS_LC], Data_raw_1[MONTH_ID],E28,Data_raw_1[CIF],$B$3)</f>
        <v>0</v>
      </c>
      <c r="F42">
        <f>SUMIFS(Data_raw_1[DS_LC], Data_raw_1[MONTH_ID],F28,Data_raw_1[CIF],$B$3)</f>
        <v>0</v>
      </c>
      <c r="G42">
        <f>SUMIFS(Data_raw_1[DS_LC], Data_raw_1[MONTH_ID],G28,Data_raw_1[CIF],$B$3)</f>
        <v>0</v>
      </c>
      <c r="H42">
        <f>SUMIFS(Data_raw_1[DS_LC], Data_raw_1[MONTH_ID],H28,Data_raw_1[CIF],$B$3)</f>
        <v>0</v>
      </c>
      <c r="I42">
        <f>SUMIFS(Data_raw_1[DS_LC], Data_raw_1[MONTH_ID],I28,Data_raw_1[CIF],$B$3)</f>
        <v>0</v>
      </c>
      <c r="J42">
        <f>SUMIFS(Data_raw_1[DS_LC], Data_raw_1[MONTH_ID],J28,Data_raw_1[CIF],$B$3)</f>
        <v>0</v>
      </c>
      <c r="K42">
        <f>SUMIFS(Data_raw_1[DS_LC], Data_raw_1[MONTH_ID],K28,Data_raw_1[CIF],$B$3)</f>
        <v>0</v>
      </c>
      <c r="L42">
        <f>SUMIFS(Data_raw_1[DS_LC], Data_raw_1[MONTH_ID],L28,Data_raw_1[CIF],$B$3)</f>
        <v>0</v>
      </c>
      <c r="M42">
        <f>SUMIFS(Data_raw_1[DS_LC], Data_raw_1[MONTH_ID],M28,Data_raw_1[CIF],$B$3)</f>
        <v>0</v>
      </c>
      <c r="N42">
        <f>SUMIFS(Data_raw_1[DS_LC], Data_raw_1[MONTH_ID],N28,Data_raw_1[CIF],$B$3)</f>
        <v>0</v>
      </c>
      <c r="P42" t="e">
        <f>IF('TRANG CHU'!G24="MST",INDEX(Data[NFI_LC_DS], MATCH($B$4, Data[MST], 0)),INDEX(Data[NFI_LC_DS], MATCH($B$3, Data[CIF], 0)))</f>
        <v>#N/A</v>
      </c>
    </row>
    <row r="43" spans="1:16" x14ac:dyDescent="0.3">
      <c r="A43" t="s">
        <v>27</v>
      </c>
      <c r="B43" s="243">
        <f>IFERROR(SUMIFS(Data_raw_1[NFI_LC], Data_raw_1[MONTH_ID],B28,Data_raw_1[CIF],$B$3)/B42,0)</f>
        <v>0</v>
      </c>
      <c r="C43" s="243">
        <f>IFERROR(SUMIFS(Data_raw_1[NFI_LC], Data_raw_1[MONTH_ID],C28,Data_raw_1[CIF],$B$3)/C42,0)</f>
        <v>0</v>
      </c>
      <c r="D43" s="243">
        <f>IFERROR(SUMIFS(Data_raw_1[NFI_LC], Data_raw_1[MONTH_ID],D28,Data_raw_1[CIF],$B$3)/D42,0)</f>
        <v>0</v>
      </c>
      <c r="E43" s="243">
        <f>IFERROR(SUMIFS(Data_raw_1[NFI_LC], Data_raw_1[MONTH_ID],E28,Data_raw_1[CIF],$B$3)/E42,0)</f>
        <v>0</v>
      </c>
      <c r="F43" s="243">
        <f>IFERROR(SUMIFS(Data_raw_1[NFI_LC], Data_raw_1[MONTH_ID],F28,Data_raw_1[CIF],$B$3)/F42,0)</f>
        <v>0</v>
      </c>
      <c r="G43" s="243">
        <f>IFERROR(SUMIFS(Data_raw_1[NFI_LC], Data_raw_1[MONTH_ID],G28,Data_raw_1[CIF],$B$3)/G42,0)</f>
        <v>0</v>
      </c>
      <c r="H43" s="243">
        <f>IFERROR(SUMIFS(Data_raw_1[NFI_LC], Data_raw_1[MONTH_ID],H28,Data_raw_1[CIF],$B$3)/H42,0)</f>
        <v>0</v>
      </c>
      <c r="I43" s="243">
        <f>IFERROR(SUMIFS(Data_raw_1[NFI_LC], Data_raw_1[MONTH_ID],I28,Data_raw_1[CIF],$B$3)/I42,0)</f>
        <v>0</v>
      </c>
      <c r="J43" s="243">
        <f>IFERROR(SUMIFS(Data_raw_1[NFI_LC], Data_raw_1[MONTH_ID],J28,Data_raw_1[CIF],$B$3)/J42,0)</f>
        <v>0</v>
      </c>
      <c r="K43" s="243">
        <f>IFERROR(SUMIFS(Data_raw_1[NFI_LC], Data_raw_1[MONTH_ID],K28,Data_raw_1[CIF],$B$3)/K42,0)</f>
        <v>0</v>
      </c>
      <c r="L43" s="243">
        <f>IFERROR(SUMIFS(Data_raw_1[NFI_LC], Data_raw_1[MONTH_ID],L28,Data_raw_1[CIF],$B$3)/L42,0)</f>
        <v>0</v>
      </c>
      <c r="M43" s="243">
        <f>IFERROR(SUMIFS(Data_raw_1[NFI_LC], Data_raw_1[MONTH_ID],M28,Data_raw_1[CIF],$B$3)/M42,0)</f>
        <v>0</v>
      </c>
      <c r="N43" s="243">
        <f>IFERROR(SUMIFS(Data_raw_1[NFI_LC], Data_raw_1[MONTH_ID],N28,Data_raw_1[CIF],$B$3)/N42,0)</f>
        <v>0</v>
      </c>
      <c r="P43" s="71">
        <f>IFERROR(IF('TRANG CHU'!G24="MST",INDEX(Data[NFI_LC], MATCH($B$4, Data[MST], 0)),INDEX(Data[NFI_LC], MATCH($B$3, Data[CIF], 0)))/P42,0)</f>
        <v>0</v>
      </c>
    </row>
    <row r="44" spans="1:16" x14ac:dyDescent="0.3">
      <c r="A44" t="s">
        <v>202</v>
      </c>
    </row>
    <row r="45" spans="1:16" x14ac:dyDescent="0.3">
      <c r="A45" t="s">
        <v>19</v>
      </c>
      <c r="B45">
        <f>SUMIFS(Data_raw_1[DS_TTR], Data_raw_1[MONTH_ID],B28,Data_raw_1[CIF],$B$3)</f>
        <v>0</v>
      </c>
      <c r="C45">
        <f>SUMIFS(Data_raw_1[DS_TTR], Data_raw_1[MONTH_ID],C28,Data_raw_1[CIF],$B$3)</f>
        <v>0</v>
      </c>
      <c r="D45">
        <f>SUMIFS(Data_raw_1[DS_TTR], Data_raw_1[MONTH_ID],D28,Data_raw_1[CIF],$B$3)</f>
        <v>0</v>
      </c>
      <c r="E45">
        <f>SUMIFS(Data_raw_1[DS_TTR], Data_raw_1[MONTH_ID],E28,Data_raw_1[CIF],$B$3)</f>
        <v>0</v>
      </c>
      <c r="F45">
        <f>SUMIFS(Data_raw_1[DS_TTR], Data_raw_1[MONTH_ID],F28,Data_raw_1[CIF],$B$3)</f>
        <v>0</v>
      </c>
      <c r="G45">
        <f>SUMIFS(Data_raw_1[DS_TTR], Data_raw_1[MONTH_ID],G28,Data_raw_1[CIF],$B$3)</f>
        <v>0</v>
      </c>
      <c r="H45">
        <f>SUMIFS(Data_raw_1[DS_TTR], Data_raw_1[MONTH_ID],H28,Data_raw_1[CIF],$B$3)</f>
        <v>0</v>
      </c>
      <c r="I45">
        <f>SUMIFS(Data_raw_1[DS_TTR], Data_raw_1[MONTH_ID],I28,Data_raw_1[CIF],$B$3)</f>
        <v>0</v>
      </c>
      <c r="J45">
        <f>SUMIFS(Data_raw_1[DS_TTR], Data_raw_1[MONTH_ID],J28,Data_raw_1[CIF],$B$3)</f>
        <v>0</v>
      </c>
      <c r="K45">
        <f>SUMIFS(Data_raw_1[DS_TTR], Data_raw_1[MONTH_ID],K28,Data_raw_1[CIF],$B$3)</f>
        <v>0</v>
      </c>
      <c r="L45">
        <f>SUMIFS(Data_raw_1[DS_TTR], Data_raw_1[MONTH_ID],L28,Data_raw_1[CIF],$B$3)</f>
        <v>0</v>
      </c>
      <c r="M45">
        <f>SUMIFS(Data_raw_1[DS_TTR], Data_raw_1[MONTH_ID],M28,Data_raw_1[CIF],$B$3)</f>
        <v>0</v>
      </c>
      <c r="N45">
        <f>SUMIFS(Data_raw_1[DS_TTR], Data_raw_1[MONTH_ID],N28,Data_raw_1[CIF],$B$3)</f>
        <v>0</v>
      </c>
      <c r="P45" t="e">
        <f>IF('TRANG CHU'!G24="MST",INDEX(Data[NFI_TTR_DS], MATCH($B$4, Data[MST], 0)),INDEX(Data[NFI_TTR_DS], MATCH($B$3, Data[CIF], 0)))</f>
        <v>#N/A</v>
      </c>
    </row>
    <row r="46" spans="1:16" x14ac:dyDescent="0.3">
      <c r="A46" t="s">
        <v>27</v>
      </c>
      <c r="B46" s="243">
        <f>IFERROR(SUMIFS(Data_raw_1[NFI_TTR], Data_raw_1[MONTH_ID],B28,Data_raw_1[CIF],$B$3)/B45,0)</f>
        <v>0</v>
      </c>
      <c r="C46" s="243">
        <f>IFERROR(SUMIFS(Data_raw_1[NFI_TTR], Data_raw_1[MONTH_ID],C28,Data_raw_1[CIF],$B$3)/C45,0)</f>
        <v>0</v>
      </c>
      <c r="D46" s="243">
        <f>IFERROR(SUMIFS(Data_raw_1[NFI_TTR], Data_raw_1[MONTH_ID],D28,Data_raw_1[CIF],$B$3)/D45,0)</f>
        <v>0</v>
      </c>
      <c r="E46" s="243">
        <f>IFERROR(SUMIFS(Data_raw_1[NFI_TTR], Data_raw_1[MONTH_ID],E28,Data_raw_1[CIF],$B$3)/E45,0)</f>
        <v>0</v>
      </c>
      <c r="F46" s="243">
        <f>IFERROR(SUMIFS(Data_raw_1[NFI_TTR], Data_raw_1[MONTH_ID],F28,Data_raw_1[CIF],$B$3)/F45,0)</f>
        <v>0</v>
      </c>
      <c r="G46" s="243">
        <f>IFERROR(SUMIFS(Data_raw_1[NFI_TTR], Data_raw_1[MONTH_ID],G28,Data_raw_1[CIF],$B$3)/G45,0)</f>
        <v>0</v>
      </c>
      <c r="H46" s="243">
        <f>IFERROR(SUMIFS(Data_raw_1[NFI_TTR], Data_raw_1[MONTH_ID],H28,Data_raw_1[CIF],$B$3)/H45,0)</f>
        <v>0</v>
      </c>
      <c r="I46" s="243">
        <f>IFERROR(SUMIFS(Data_raw_1[NFI_TTR], Data_raw_1[MONTH_ID],I28,Data_raw_1[CIF],$B$3)/I45,0)</f>
        <v>0</v>
      </c>
      <c r="J46" s="243">
        <f>IFERROR(SUMIFS(Data_raw_1[NFI_TTR], Data_raw_1[MONTH_ID],J28,Data_raw_1[CIF],$B$3)/J45,0)</f>
        <v>0</v>
      </c>
      <c r="K46" s="243">
        <f>IFERROR(SUMIFS(Data_raw_1[NFI_TTR], Data_raw_1[MONTH_ID],K28,Data_raw_1[CIF],$B$3)/K45,0)</f>
        <v>0</v>
      </c>
      <c r="L46" s="243">
        <f>IFERROR(SUMIFS(Data_raw_1[NFI_TTR], Data_raw_1[MONTH_ID],L28,Data_raw_1[CIF],$B$3)/L45,0)</f>
        <v>0</v>
      </c>
      <c r="M46" s="243">
        <f>IFERROR(SUMIFS(Data_raw_1[NFI_TTR], Data_raw_1[MONTH_ID],M28,Data_raw_1[CIF],$B$3)/M45,0)</f>
        <v>0</v>
      </c>
      <c r="N46" s="243">
        <f>IFERROR(SUMIFS(Data_raw_1[NFI_TTR], Data_raw_1[MONTH_ID],N28,Data_raw_1[CIF],$B$3)/N45,0)</f>
        <v>0</v>
      </c>
      <c r="P46" s="71">
        <f>IFERROR(IF('TRANG CHU'!G24="MST",INDEX(Data[NFI_TTR], MATCH($B$4, Data[MST], 0)),INDEX(Data[NFI_TTR], MATCH($B$3, Data[CIF], 0)))/P45,0)</f>
        <v>0</v>
      </c>
    </row>
    <row r="47" spans="1:16" x14ac:dyDescent="0.3">
      <c r="A47" t="s">
        <v>26</v>
      </c>
    </row>
    <row r="48" spans="1:16" x14ac:dyDescent="0.3">
      <c r="A48" t="s">
        <v>83</v>
      </c>
      <c r="B48">
        <f>SUMIFS(Data_raw_1[DS_PS], Data_raw_1[MONTH_ID],B28,Data_raw_1[CIF],$B$3)</f>
        <v>0</v>
      </c>
      <c r="C48">
        <f>SUMIFS(Data_raw_1[DS_PS], Data_raw_1[MONTH_ID],C28,Data_raw_1[CIF],$B$3)</f>
        <v>0</v>
      </c>
      <c r="D48">
        <f>SUMIFS(Data_raw_1[DS_PS], Data_raw_1[MONTH_ID],D28,Data_raw_1[CIF],$B$3)</f>
        <v>0</v>
      </c>
      <c r="E48">
        <f>SUMIFS(Data_raw_1[DS_PS], Data_raw_1[MONTH_ID],E28,Data_raw_1[CIF],$B$3)</f>
        <v>0</v>
      </c>
      <c r="F48">
        <f>SUMIFS(Data_raw_1[DS_PS], Data_raw_1[MONTH_ID],F28,Data_raw_1[CIF],$B$3)</f>
        <v>0</v>
      </c>
      <c r="G48">
        <f>SUMIFS(Data_raw_1[DS_PS], Data_raw_1[MONTH_ID],G28,Data_raw_1[CIF],$B$3)</f>
        <v>0</v>
      </c>
      <c r="H48">
        <f>SUMIFS(Data_raw_1[DS_PS], Data_raw_1[MONTH_ID],H28,Data_raw_1[CIF],$B$3)</f>
        <v>0</v>
      </c>
      <c r="I48">
        <f>SUMIFS(Data_raw_1[DS_PS], Data_raw_1[MONTH_ID],I28,Data_raw_1[CIF],$B$3)</f>
        <v>0</v>
      </c>
      <c r="J48">
        <f>SUMIFS(Data_raw_1[DS_PS], Data_raw_1[MONTH_ID],J28,Data_raw_1[CIF],$B$3)</f>
        <v>0</v>
      </c>
      <c r="K48">
        <f>SUMIFS(Data_raw_1[DS_PS], Data_raw_1[MONTH_ID],K28,Data_raw_1[CIF],$B$3)</f>
        <v>0</v>
      </c>
      <c r="L48">
        <f>SUMIFS(Data_raw_1[DS_PS], Data_raw_1[MONTH_ID],L28,Data_raw_1[CIF],$B$3)</f>
        <v>0</v>
      </c>
      <c r="M48">
        <f>SUMIFS(Data_raw_1[DS_PS], Data_raw_1[MONTH_ID],M28,Data_raw_1[CIF],$B$3)</f>
        <v>0</v>
      </c>
      <c r="N48">
        <f>SUMIFS(Data_raw_1[DS_PS], Data_raw_1[MONTH_ID],N28,Data_raw_1[CIF],$B$3)</f>
        <v>0</v>
      </c>
      <c r="P48" t="e">
        <f>IF('TRANG CHU'!G24="MST",INDEX(Data[NFX_DS], MATCH($B$4, Data[MST], 0)),INDEX(Data[NFX_DS], MATCH($B$3, Data[CIF], 0)))</f>
        <v>#N/A</v>
      </c>
    </row>
    <row r="49" spans="1:16" x14ac:dyDescent="0.3">
      <c r="A49" t="s">
        <v>27</v>
      </c>
      <c r="B49" s="243">
        <f>IFERROR(SUMIFS(Data_raw_1[NFX_PS], Data_raw_1[MONTH_ID],B28,Data_raw_1[CIF],$B$3)/B48,0)</f>
        <v>0</v>
      </c>
      <c r="C49" s="243">
        <f>IFERROR(SUMIFS(Data_raw_1[NFX_PS], Data_raw_1[MONTH_ID],C28,Data_raw_1[CIF],$B$3)/C48,0)</f>
        <v>0</v>
      </c>
      <c r="D49" s="243">
        <f>IFERROR(SUMIFS(Data_raw_1[NFX_PS], Data_raw_1[MONTH_ID],D28,Data_raw_1[CIF],$B$3)/D48,0)</f>
        <v>0</v>
      </c>
      <c r="E49" s="243">
        <f>IFERROR(SUMIFS(Data_raw_1[NFX_PS], Data_raw_1[MONTH_ID],E28,Data_raw_1[CIF],$B$3)/E48,0)</f>
        <v>0</v>
      </c>
      <c r="F49" s="243">
        <f>IFERROR(SUMIFS(Data_raw_1[NFX_PS], Data_raw_1[MONTH_ID],F28,Data_raw_1[CIF],$B$3)/F48,0)</f>
        <v>0</v>
      </c>
      <c r="G49" s="243">
        <f>IFERROR(SUMIFS(Data_raw_1[NFX_PS], Data_raw_1[MONTH_ID],G28,Data_raw_1[CIF],$B$3)/G48,0)</f>
        <v>0</v>
      </c>
      <c r="H49" s="243">
        <f>IFERROR(SUMIFS(Data_raw_1[NFX_PS], Data_raw_1[MONTH_ID],H28,Data_raw_1[CIF],$B$3)/H48,0)</f>
        <v>0</v>
      </c>
      <c r="I49" s="243">
        <f>IFERROR(SUMIFS(Data_raw_1[NFX_PS], Data_raw_1[MONTH_ID],I28,Data_raw_1[CIF],$B$3)/I48,0)</f>
        <v>0</v>
      </c>
      <c r="J49" s="243">
        <f>IFERROR(SUMIFS(Data_raw_1[NFX_PS], Data_raw_1[MONTH_ID],J28,Data_raw_1[CIF],$B$3)/J48,0)</f>
        <v>0</v>
      </c>
      <c r="K49" s="243">
        <f>IFERROR(SUMIFS(Data_raw_1[NFX_PS], Data_raw_1[MONTH_ID],K28,Data_raw_1[CIF],$B$3)/K48,0)</f>
        <v>0</v>
      </c>
      <c r="L49" s="243">
        <f>IFERROR(SUMIFS(Data_raw_1[NFX_PS], Data_raw_1[MONTH_ID],L28,Data_raw_1[CIF],$B$3)/L48,0)</f>
        <v>0</v>
      </c>
      <c r="M49" s="243">
        <f>IFERROR(SUMIFS(Data_raw_1[NFX_PS], Data_raw_1[MONTH_ID],M28,Data_raw_1[CIF],$B$3)/M48,0)</f>
        <v>0</v>
      </c>
      <c r="N49" s="243">
        <f>IFERROR(SUMIFS(Data_raw_1[NFX_PS], Data_raw_1[MONTH_ID],N30,Data_raw_1[CIF],$B$3)/N48,0)</f>
        <v>0</v>
      </c>
      <c r="P49" s="71">
        <f>IFERROR(IF('TRANG CHU'!G24="MST",INDEX(Data[NFX_TOTAL], MATCH($B$4, Data[MST], 0)),INDEX(Data[NFX_TOTAL], MATCH($B$3, Data[CIF], 0)))/P48,0)</f>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53"/>
  <sheetViews>
    <sheetView workbookViewId="0">
      <selection activeCell="B2" sqref="B2"/>
    </sheetView>
  </sheetViews>
  <sheetFormatPr defaultRowHeight="14.4" x14ac:dyDescent="0.3"/>
  <cols>
    <col min="1" max="1" width="22.33203125" customWidth="1"/>
  </cols>
  <sheetData>
    <row r="1" spans="1:2" x14ac:dyDescent="0.3">
      <c r="A1" t="s">
        <v>1080</v>
      </c>
      <c r="B1" t="s">
        <v>1080</v>
      </c>
    </row>
    <row r="2" spans="1:2" x14ac:dyDescent="0.3">
      <c r="A2" t="s">
        <v>3711</v>
      </c>
      <c r="B2" t="s">
        <v>3712</v>
      </c>
    </row>
    <row r="3" spans="1:2" x14ac:dyDescent="0.3">
      <c r="A3" t="s">
        <v>3768</v>
      </c>
      <c r="B3" t="s">
        <v>2852</v>
      </c>
    </row>
    <row r="4" spans="1:2" x14ac:dyDescent="0.3">
      <c r="A4" t="s">
        <v>3860</v>
      </c>
      <c r="B4" t="s">
        <v>2704</v>
      </c>
    </row>
    <row r="5" spans="1:2" x14ac:dyDescent="0.3">
      <c r="A5" t="s">
        <v>3936</v>
      </c>
      <c r="B5" t="s">
        <v>3712</v>
      </c>
    </row>
    <row r="6" spans="1:2" x14ac:dyDescent="0.3">
      <c r="A6" t="s">
        <v>1115</v>
      </c>
      <c r="B6" t="s">
        <v>1111</v>
      </c>
    </row>
    <row r="7" spans="1:2" x14ac:dyDescent="0.3">
      <c r="A7" t="s">
        <v>2851</v>
      </c>
      <c r="B7" t="s">
        <v>2852</v>
      </c>
    </row>
    <row r="8" spans="1:2" x14ac:dyDescent="0.3">
      <c r="A8" t="s">
        <v>3093</v>
      </c>
      <c r="B8" t="s">
        <v>2852</v>
      </c>
    </row>
    <row r="9" spans="1:2" x14ac:dyDescent="0.3">
      <c r="A9" t="s">
        <v>1140</v>
      </c>
      <c r="B9" t="s">
        <v>1088</v>
      </c>
    </row>
    <row r="10" spans="1:2" x14ac:dyDescent="0.3">
      <c r="A10" t="s">
        <v>3758</v>
      </c>
      <c r="B10" t="s">
        <v>3712</v>
      </c>
    </row>
    <row r="11" spans="1:2" x14ac:dyDescent="0.3">
      <c r="A11" t="s">
        <v>3946</v>
      </c>
      <c r="B11" t="s">
        <v>2709</v>
      </c>
    </row>
    <row r="12" spans="1:2" x14ac:dyDescent="0.3">
      <c r="A12" t="s">
        <v>1196</v>
      </c>
      <c r="B12" t="s">
        <v>1088</v>
      </c>
    </row>
    <row r="13" spans="1:2" x14ac:dyDescent="0.3">
      <c r="A13" t="s">
        <v>4207</v>
      </c>
      <c r="B13" t="s">
        <v>133</v>
      </c>
    </row>
    <row r="14" spans="1:2" x14ac:dyDescent="0.3">
      <c r="A14" t="s">
        <v>4256</v>
      </c>
      <c r="B14" t="s">
        <v>133</v>
      </c>
    </row>
    <row r="15" spans="1:2" x14ac:dyDescent="0.3">
      <c r="A15" t="s">
        <v>4301</v>
      </c>
      <c r="B15" t="s">
        <v>2841</v>
      </c>
    </row>
    <row r="16" spans="1:2" x14ac:dyDescent="0.3">
      <c r="A16" t="s">
        <v>4308</v>
      </c>
      <c r="B16" t="s">
        <v>133</v>
      </c>
    </row>
    <row r="17" spans="1:2" x14ac:dyDescent="0.3">
      <c r="A17" t="s">
        <v>3906</v>
      </c>
      <c r="B17" t="s">
        <v>133</v>
      </c>
    </row>
    <row r="18" spans="1:2" x14ac:dyDescent="0.3">
      <c r="A18" t="s">
        <v>4167</v>
      </c>
      <c r="B18" t="s">
        <v>2852</v>
      </c>
    </row>
    <row r="19" spans="1:2" x14ac:dyDescent="0.3">
      <c r="A19" t="s">
        <v>4933</v>
      </c>
      <c r="B19" t="s">
        <v>3712</v>
      </c>
    </row>
    <row r="20" spans="1:2" x14ac:dyDescent="0.3">
      <c r="A20" t="s">
        <v>1533</v>
      </c>
      <c r="B20" t="s">
        <v>1111</v>
      </c>
    </row>
    <row r="21" spans="1:2" x14ac:dyDescent="0.3">
      <c r="A21" t="s">
        <v>1543</v>
      </c>
      <c r="B21" t="s">
        <v>1088</v>
      </c>
    </row>
    <row r="22" spans="1:2" x14ac:dyDescent="0.3">
      <c r="A22" t="s">
        <v>2821</v>
      </c>
      <c r="B22" t="s">
        <v>133</v>
      </c>
    </row>
    <row r="23" spans="1:2" x14ac:dyDescent="0.3">
      <c r="A23" t="s">
        <v>6747</v>
      </c>
      <c r="B23" t="s">
        <v>133</v>
      </c>
    </row>
    <row r="24" spans="1:2" x14ac:dyDescent="0.3">
      <c r="A24" t="s">
        <v>4679</v>
      </c>
      <c r="B24" t="s">
        <v>2704</v>
      </c>
    </row>
    <row r="25" spans="1:2" x14ac:dyDescent="0.3">
      <c r="A25" t="s">
        <v>4781</v>
      </c>
      <c r="B25" t="s">
        <v>133</v>
      </c>
    </row>
    <row r="26" spans="1:2" x14ac:dyDescent="0.3">
      <c r="A26" t="s">
        <v>2703</v>
      </c>
      <c r="B26" t="s">
        <v>2704</v>
      </c>
    </row>
    <row r="27" spans="1:2" x14ac:dyDescent="0.3">
      <c r="A27" t="s">
        <v>1153</v>
      </c>
      <c r="B27" t="s">
        <v>1088</v>
      </c>
    </row>
    <row r="28" spans="1:2" x14ac:dyDescent="0.3">
      <c r="A28" t="s">
        <v>6333</v>
      </c>
      <c r="B28" t="s">
        <v>2709</v>
      </c>
    </row>
    <row r="29" spans="1:2" x14ac:dyDescent="0.3">
      <c r="A29" t="s">
        <v>11435</v>
      </c>
      <c r="B29" t="s">
        <v>3712</v>
      </c>
    </row>
    <row r="30" spans="1:2" x14ac:dyDescent="0.3">
      <c r="A30" t="s">
        <v>1523</v>
      </c>
      <c r="B30" t="s">
        <v>1111</v>
      </c>
    </row>
    <row r="31" spans="1:2" x14ac:dyDescent="0.3">
      <c r="A31" t="s">
        <v>3983</v>
      </c>
      <c r="B31" t="s">
        <v>3712</v>
      </c>
    </row>
    <row r="32" spans="1:2" x14ac:dyDescent="0.3">
      <c r="A32" t="s">
        <v>4469</v>
      </c>
      <c r="B32" t="s">
        <v>2709</v>
      </c>
    </row>
    <row r="33" spans="1:2" x14ac:dyDescent="0.3">
      <c r="A33" t="s">
        <v>1501</v>
      </c>
      <c r="B33" t="s">
        <v>1088</v>
      </c>
    </row>
    <row r="34" spans="1:2" x14ac:dyDescent="0.3">
      <c r="A34" t="s">
        <v>4625</v>
      </c>
      <c r="B34" t="s">
        <v>133</v>
      </c>
    </row>
    <row r="35" spans="1:2" x14ac:dyDescent="0.3">
      <c r="A35" t="s">
        <v>4733</v>
      </c>
      <c r="B35" t="s">
        <v>2704</v>
      </c>
    </row>
    <row r="36" spans="1:2" x14ac:dyDescent="0.3">
      <c r="A36" t="s">
        <v>134</v>
      </c>
      <c r="B36" t="s">
        <v>133</v>
      </c>
    </row>
    <row r="37" spans="1:2" x14ac:dyDescent="0.3">
      <c r="A37" t="s">
        <v>1209</v>
      </c>
      <c r="B37" t="s">
        <v>1088</v>
      </c>
    </row>
    <row r="38" spans="1:2" x14ac:dyDescent="0.3">
      <c r="A38" t="s">
        <v>4086</v>
      </c>
      <c r="B38" t="s">
        <v>2704</v>
      </c>
    </row>
    <row r="39" spans="1:2" x14ac:dyDescent="0.3">
      <c r="A39" t="s">
        <v>2708</v>
      </c>
      <c r="B39" t="s">
        <v>2709</v>
      </c>
    </row>
    <row r="40" spans="1:2" x14ac:dyDescent="0.3">
      <c r="A40" t="s">
        <v>1110</v>
      </c>
      <c r="B40" t="s">
        <v>1111</v>
      </c>
    </row>
    <row r="41" spans="1:2" x14ac:dyDescent="0.3">
      <c r="A41" t="s">
        <v>3850</v>
      </c>
      <c r="B41" t="s">
        <v>3712</v>
      </c>
    </row>
    <row r="42" spans="1:2" x14ac:dyDescent="0.3">
      <c r="A42" t="s">
        <v>2840</v>
      </c>
      <c r="B42" t="s">
        <v>2841</v>
      </c>
    </row>
    <row r="43" spans="1:2" x14ac:dyDescent="0.3">
      <c r="A43" t="s">
        <v>4595</v>
      </c>
      <c r="B43" t="s">
        <v>133</v>
      </c>
    </row>
    <row r="44" spans="1:2" x14ac:dyDescent="0.3">
      <c r="A44" t="s">
        <v>6574</v>
      </c>
      <c r="B44" t="s">
        <v>2852</v>
      </c>
    </row>
    <row r="45" spans="1:2" x14ac:dyDescent="0.3">
      <c r="A45" t="s">
        <v>7344</v>
      </c>
      <c r="B45" t="s">
        <v>2704</v>
      </c>
    </row>
    <row r="46" spans="1:2" x14ac:dyDescent="0.3">
      <c r="A46" t="s">
        <v>4229</v>
      </c>
      <c r="B46" t="s">
        <v>2841</v>
      </c>
    </row>
    <row r="47" spans="1:2" x14ac:dyDescent="0.3">
      <c r="A47" t="s">
        <v>7397</v>
      </c>
      <c r="B47" t="s">
        <v>2704</v>
      </c>
    </row>
    <row r="48" spans="1:2" x14ac:dyDescent="0.3">
      <c r="A48" t="s">
        <v>1087</v>
      </c>
      <c r="B48" t="s">
        <v>1088</v>
      </c>
    </row>
    <row r="49" spans="1:2" x14ac:dyDescent="0.3">
      <c r="A49" t="s">
        <v>4649</v>
      </c>
      <c r="B49" t="s">
        <v>3712</v>
      </c>
    </row>
    <row r="50" spans="1:2" x14ac:dyDescent="0.3">
      <c r="A50" t="s">
        <v>4246</v>
      </c>
      <c r="B50" t="s">
        <v>2709</v>
      </c>
    </row>
    <row r="51" spans="1:2" x14ac:dyDescent="0.3">
      <c r="A51" t="s">
        <v>7682</v>
      </c>
      <c r="B51" t="s">
        <v>3712</v>
      </c>
    </row>
    <row r="52" spans="1:2" x14ac:dyDescent="0.3">
      <c r="A52" t="s">
        <v>6349</v>
      </c>
      <c r="B52" t="s">
        <v>2841</v>
      </c>
    </row>
    <row r="53" spans="1:2" x14ac:dyDescent="0.3">
      <c r="A53" t="s">
        <v>2696</v>
      </c>
      <c r="B53" t="s">
        <v>2696</v>
      </c>
    </row>
  </sheetData>
  <sortState ref="A2:B54">
    <sortCondition ref="A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M2"/>
  <sheetViews>
    <sheetView workbookViewId="0">
      <selection activeCell="A2" sqref="A2:AM2"/>
    </sheetView>
  </sheetViews>
  <sheetFormatPr defaultRowHeight="14.4" x14ac:dyDescent="0.3"/>
  <cols>
    <col min="1" max="1" width="11" bestFit="1" customWidth="1"/>
    <col min="2" max="2" width="26.6640625" bestFit="1" customWidth="1"/>
    <col min="3" max="3" width="13.88671875" bestFit="1" customWidth="1"/>
    <col min="4" max="4" width="17.109375" bestFit="1" customWidth="1"/>
    <col min="5" max="5" width="9" bestFit="1" customWidth="1"/>
    <col min="6" max="6" width="16.44140625" bestFit="1" customWidth="1"/>
    <col min="7" max="7" width="20.21875" bestFit="1" customWidth="1"/>
    <col min="8" max="8" width="15.88671875" bestFit="1" customWidth="1"/>
    <col min="9" max="9" width="19.21875" bestFit="1" customWidth="1"/>
    <col min="10" max="10" width="8.44140625" bestFit="1" customWidth="1"/>
    <col min="11" max="11" width="17.33203125" bestFit="1" customWidth="1"/>
    <col min="12" max="12" width="16.88671875" bestFit="1" customWidth="1"/>
    <col min="13" max="13" width="7.88671875" bestFit="1" customWidth="1"/>
    <col min="14" max="14" width="20.44140625" bestFit="1" customWidth="1"/>
    <col min="15" max="15" width="14.88671875" bestFit="1" customWidth="1"/>
    <col min="16" max="16" width="19.77734375" bestFit="1" customWidth="1"/>
    <col min="17" max="17" width="19.44140625" bestFit="1" customWidth="1"/>
    <col min="18" max="18" width="10.88671875" bestFit="1" customWidth="1"/>
    <col min="19" max="19" width="11.44140625" bestFit="1" customWidth="1"/>
    <col min="20" max="20" width="19.21875" bestFit="1" customWidth="1"/>
    <col min="21" max="21" width="18.88671875" bestFit="1" customWidth="1"/>
    <col min="22" max="22" width="10.44140625" bestFit="1" customWidth="1"/>
    <col min="23" max="23" width="11" bestFit="1" customWidth="1"/>
    <col min="24" max="24" width="13.5546875" bestFit="1" customWidth="1"/>
    <col min="25" max="25" width="18.33203125" bestFit="1" customWidth="1"/>
    <col min="26" max="26" width="25" bestFit="1" customWidth="1"/>
    <col min="27" max="27" width="22.6640625" bestFit="1" customWidth="1"/>
    <col min="28" max="29" width="12.88671875" bestFit="1" customWidth="1"/>
    <col min="30" max="30" width="14.109375" bestFit="1" customWidth="1"/>
    <col min="31" max="31" width="12" bestFit="1" customWidth="1"/>
    <col min="32" max="32" width="21.44140625" bestFit="1" customWidth="1"/>
    <col min="33" max="33" width="19.109375" bestFit="1" customWidth="1"/>
    <col min="34" max="35" width="9.44140625" bestFit="1" customWidth="1"/>
    <col min="36" max="36" width="10.6640625" bestFit="1" customWidth="1"/>
    <col min="37" max="37" width="13.6640625" bestFit="1" customWidth="1"/>
    <col min="38" max="38" width="11.5546875" bestFit="1" customWidth="1"/>
    <col min="39" max="39" width="16.88671875" bestFit="1" customWidth="1"/>
    <col min="40" max="41" width="10.44140625" bestFit="1" customWidth="1"/>
    <col min="42" max="42" width="19.44140625" bestFit="1" customWidth="1"/>
    <col min="43" max="43" width="19" bestFit="1" customWidth="1"/>
    <col min="44" max="44" width="10.88671875" bestFit="1" customWidth="1"/>
    <col min="45" max="45" width="11.33203125" bestFit="1" customWidth="1"/>
    <col min="46" max="46" width="10.88671875" bestFit="1" customWidth="1"/>
    <col min="47" max="47" width="11.88671875" bestFit="1" customWidth="1"/>
    <col min="48" max="48" width="17.88671875" bestFit="1" customWidth="1"/>
    <col min="49" max="49" width="18.44140625" bestFit="1" customWidth="1"/>
    <col min="50" max="50" width="11.88671875" bestFit="1" customWidth="1"/>
    <col min="51" max="51" width="9.88671875" bestFit="1" customWidth="1"/>
    <col min="52" max="63" width="23.44140625" bestFit="1" customWidth="1"/>
    <col min="64" max="75" width="20" bestFit="1" customWidth="1"/>
    <col min="76" max="87" width="19" bestFit="1" customWidth="1"/>
    <col min="88" max="111" width="16.21875" bestFit="1" customWidth="1"/>
    <col min="112" max="123" width="32.88671875" bestFit="1" customWidth="1"/>
    <col min="124" max="135" width="30" bestFit="1" customWidth="1"/>
    <col min="136" max="147" width="15.6640625" bestFit="1" customWidth="1"/>
    <col min="148" max="148" width="11.44140625" bestFit="1" customWidth="1"/>
  </cols>
  <sheetData>
    <row r="1" spans="1:39" x14ac:dyDescent="0.3">
      <c r="A1" t="s">
        <v>111</v>
      </c>
      <c r="B1" t="s">
        <v>112</v>
      </c>
      <c r="C1" t="s">
        <v>113</v>
      </c>
      <c r="D1" t="s">
        <v>106</v>
      </c>
      <c r="E1" t="s">
        <v>114</v>
      </c>
      <c r="F1" t="s">
        <v>115</v>
      </c>
      <c r="G1" t="s">
        <v>116</v>
      </c>
      <c r="H1" t="s">
        <v>117</v>
      </c>
      <c r="I1" t="s">
        <v>118</v>
      </c>
      <c r="J1" t="s">
        <v>119</v>
      </c>
      <c r="K1" t="s">
        <v>120</v>
      </c>
      <c r="L1" t="s">
        <v>121</v>
      </c>
      <c r="M1" t="s">
        <v>122</v>
      </c>
      <c r="N1" t="s">
        <v>123</v>
      </c>
      <c r="O1" t="s">
        <v>231</v>
      </c>
      <c r="P1" t="s">
        <v>232</v>
      </c>
      <c r="Q1" t="s">
        <v>233</v>
      </c>
      <c r="R1" t="s">
        <v>234</v>
      </c>
      <c r="S1" t="s">
        <v>235</v>
      </c>
      <c r="T1" t="s">
        <v>236</v>
      </c>
      <c r="U1" t="s">
        <v>237</v>
      </c>
      <c r="V1" t="s">
        <v>238</v>
      </c>
      <c r="W1" t="s">
        <v>239</v>
      </c>
      <c r="X1" t="s">
        <v>241</v>
      </c>
      <c r="Y1" t="s">
        <v>124</v>
      </c>
      <c r="Z1" t="s">
        <v>265</v>
      </c>
      <c r="AA1" t="s">
        <v>266</v>
      </c>
      <c r="AB1" t="s">
        <v>267</v>
      </c>
      <c r="AC1" t="s">
        <v>268</v>
      </c>
      <c r="AD1" t="s">
        <v>269</v>
      </c>
      <c r="AE1" t="s">
        <v>109</v>
      </c>
      <c r="AF1" t="s">
        <v>270</v>
      </c>
      <c r="AG1" t="s">
        <v>271</v>
      </c>
      <c r="AH1" t="s">
        <v>258</v>
      </c>
      <c r="AI1" t="s">
        <v>259</v>
      </c>
      <c r="AJ1" t="s">
        <v>260</v>
      </c>
      <c r="AK1" t="s">
        <v>272</v>
      </c>
      <c r="AL1" t="s">
        <v>12015</v>
      </c>
      <c r="AM1" t="s">
        <v>12016</v>
      </c>
    </row>
    <row r="2" spans="1:39" x14ac:dyDescent="0.3">
      <c r="A2" t="s">
        <v>12025</v>
      </c>
      <c r="B2" t="s">
        <v>12026</v>
      </c>
      <c r="C2" t="s">
        <v>1016</v>
      </c>
      <c r="D2">
        <v>1</v>
      </c>
      <c r="E2" t="s">
        <v>12024</v>
      </c>
      <c r="F2" t="s">
        <v>12027</v>
      </c>
      <c r="G2" t="s">
        <v>12021</v>
      </c>
      <c r="H2" t="s">
        <v>12022</v>
      </c>
      <c r="I2" t="s">
        <v>12023</v>
      </c>
      <c r="J2" t="s">
        <v>1111</v>
      </c>
      <c r="K2" t="s">
        <v>1523</v>
      </c>
      <c r="L2" t="s">
        <v>341</v>
      </c>
      <c r="M2" t="s">
        <v>223</v>
      </c>
      <c r="N2">
        <v>1991</v>
      </c>
      <c r="O2">
        <v>11</v>
      </c>
      <c r="P2">
        <v>61.907252999999997</v>
      </c>
      <c r="Q2">
        <v>5.2598219999999998</v>
      </c>
      <c r="R2">
        <v>22.689048</v>
      </c>
      <c r="S2">
        <v>42.255867299999998</v>
      </c>
      <c r="T2">
        <v>69.685000000000002</v>
      </c>
      <c r="U2">
        <v>29.875102121694848</v>
      </c>
      <c r="V2">
        <v>16.607102000000001</v>
      </c>
      <c r="W2">
        <v>35.644307299999994</v>
      </c>
      <c r="X2">
        <v>1860.448360442623</v>
      </c>
      <c r="Y2">
        <v>1991</v>
      </c>
      <c r="Z2">
        <v>746.87755304237112</v>
      </c>
      <c r="AA2">
        <v>0</v>
      </c>
      <c r="AB2">
        <v>25.266449999999999</v>
      </c>
      <c r="AC2">
        <v>0</v>
      </c>
      <c r="AD2">
        <v>7631.4283633409459</v>
      </c>
      <c r="AE2">
        <v>10540.462309941051</v>
      </c>
      <c r="AF2">
        <v>29.875102121694848</v>
      </c>
      <c r="AG2">
        <v>0</v>
      </c>
      <c r="AH2">
        <v>0.50532900000000003</v>
      </c>
      <c r="AI2">
        <v>0</v>
      </c>
      <c r="AJ2">
        <v>16.101773000000001</v>
      </c>
      <c r="AK2">
        <v>35.644307299999994</v>
      </c>
      <c r="AL2" t="s">
        <v>2680</v>
      </c>
      <c r="AM2" t="s">
        <v>2681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
  <sheetViews>
    <sheetView workbookViewId="0">
      <selection activeCell="M9" sqref="M9"/>
    </sheetView>
  </sheetViews>
  <sheetFormatPr defaultRowHeight="14.4" x14ac:dyDescent="0.3"/>
  <cols>
    <col min="1" max="1" width="13.109375" bestFit="1" customWidth="1"/>
    <col min="2" max="2" width="21.109375" bestFit="1" customWidth="1"/>
    <col min="3" max="3" width="17.6640625" bestFit="1" customWidth="1"/>
    <col min="4" max="4" width="16.6640625" bestFit="1" customWidth="1"/>
    <col min="5" max="6" width="19" bestFit="1" customWidth="1"/>
    <col min="7" max="7" width="20.33203125" bestFit="1" customWidth="1"/>
    <col min="8" max="8" width="18.88671875" bestFit="1" customWidth="1"/>
    <col min="9" max="9" width="11.44140625" bestFit="1" customWidth="1"/>
  </cols>
  <sheetData>
    <row r="1" spans="1:12" x14ac:dyDescent="0.3">
      <c r="A1" t="s">
        <v>274</v>
      </c>
      <c r="B1" t="s">
        <v>275</v>
      </c>
      <c r="C1" t="s">
        <v>276</v>
      </c>
      <c r="D1" t="s">
        <v>277</v>
      </c>
      <c r="E1" t="s">
        <v>278</v>
      </c>
      <c r="F1" t="s">
        <v>279</v>
      </c>
      <c r="G1" t="s">
        <v>280</v>
      </c>
      <c r="H1" t="s">
        <v>281</v>
      </c>
    </row>
    <row r="2" spans="1:12" x14ac:dyDescent="0.3">
      <c r="A2" t="s">
        <v>223</v>
      </c>
      <c r="B2" s="71">
        <v>4.0141117736761794E-2</v>
      </c>
      <c r="C2" s="71">
        <v>3.5467287728922769E-2</v>
      </c>
      <c r="D2" s="71">
        <v>1.0771286923755501E-2</v>
      </c>
      <c r="E2" s="71">
        <v>1.6219120577108777E-2</v>
      </c>
      <c r="F2" s="71">
        <v>1.1412363137612442E-2</v>
      </c>
      <c r="G2" s="71">
        <v>1.4777562805137407E-3</v>
      </c>
      <c r="H2" s="71">
        <v>4.3409955063764783E-3</v>
      </c>
      <c r="L2" t="s">
        <v>12017</v>
      </c>
    </row>
    <row r="3" spans="1:12" x14ac:dyDescent="0.3">
      <c r="A3" t="s">
        <v>245</v>
      </c>
      <c r="B3" s="71">
        <v>3.0978508692634906E-2</v>
      </c>
      <c r="C3" s="71">
        <v>3.4516056631624929E-2</v>
      </c>
      <c r="D3" s="71">
        <v>1.1422363766751528E-2</v>
      </c>
      <c r="E3" s="71">
        <v>1.6223183335772693E-2</v>
      </c>
      <c r="F3" s="71">
        <v>4.9189961356134616E-3</v>
      </c>
      <c r="G3" s="71">
        <v>1.3506513699024041E-3</v>
      </c>
      <c r="H3" s="71">
        <v>3.7630896185361805E-3</v>
      </c>
    </row>
    <row r="4" spans="1:12" x14ac:dyDescent="0.3">
      <c r="A4" t="s">
        <v>263</v>
      </c>
      <c r="B4" s="71">
        <v>2.8030924622290485E-2</v>
      </c>
      <c r="C4" s="71">
        <v>3.4877028284678452E-2</v>
      </c>
      <c r="D4" s="71">
        <v>1.4161922590882879E-2</v>
      </c>
      <c r="E4" s="71">
        <v>1.1223550067580409E-2</v>
      </c>
      <c r="F4" s="71">
        <v>3.1571693911778779E-3</v>
      </c>
      <c r="G4" s="71">
        <v>1.3616710337028923E-3</v>
      </c>
      <c r="H4" s="71">
        <v>7.3388684866415145E-3</v>
      </c>
    </row>
    <row r="5" spans="1:12" x14ac:dyDescent="0.3">
      <c r="A5" t="s">
        <v>242</v>
      </c>
      <c r="B5" s="71">
        <v>2.0541004877173759E-2</v>
      </c>
      <c r="C5" s="71">
        <v>3.2682649586804988E-2</v>
      </c>
      <c r="D5" s="71">
        <v>6.5287509457631048E-3</v>
      </c>
      <c r="E5" s="71">
        <v>8.9104840491276704E-3</v>
      </c>
      <c r="F5" s="71">
        <v>3.1812417045240589E-3</v>
      </c>
      <c r="G5" s="71">
        <v>4.3407164617237978E-4</v>
      </c>
      <c r="H5" s="71">
        <v>1.8813120386492028E-3</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workbookViewId="0">
      <selection activeCell="A2" sqref="A2:T14"/>
    </sheetView>
  </sheetViews>
  <sheetFormatPr defaultRowHeight="14.4" x14ac:dyDescent="0.3"/>
  <cols>
    <col min="1" max="1" width="13.21875" bestFit="1" customWidth="1"/>
    <col min="2" max="2" width="9" bestFit="1" customWidth="1"/>
    <col min="3" max="3" width="21.5546875" bestFit="1" customWidth="1"/>
    <col min="4" max="4" width="16.21875" bestFit="1" customWidth="1"/>
    <col min="5" max="5" width="12.77734375" bestFit="1" customWidth="1"/>
    <col min="6" max="6" width="11.77734375" bestFit="1" customWidth="1"/>
    <col min="7" max="8" width="8.88671875" bestFit="1" customWidth="1"/>
    <col min="9" max="10" width="12" bestFit="1" customWidth="1"/>
    <col min="11" max="11" width="11" bestFit="1" customWidth="1"/>
    <col min="12" max="12" width="14.77734375" bestFit="1" customWidth="1"/>
    <col min="13" max="13" width="12" bestFit="1" customWidth="1"/>
    <col min="14" max="15" width="9.44140625" bestFit="1" customWidth="1"/>
    <col min="16" max="16" width="10.6640625" bestFit="1" customWidth="1"/>
    <col min="17" max="17" width="12" bestFit="1" customWidth="1"/>
    <col min="18" max="18" width="13.44140625" bestFit="1" customWidth="1"/>
    <col min="19" max="19" width="10.44140625" bestFit="1" customWidth="1"/>
    <col min="20" max="20" width="16.5546875" bestFit="1" customWidth="1"/>
    <col min="21" max="21" width="10.21875" customWidth="1"/>
    <col min="22" max="22" width="11.44140625" bestFit="1" customWidth="1"/>
  </cols>
  <sheetData>
    <row r="1" spans="1:20" x14ac:dyDescent="0.3">
      <c r="A1" t="s">
        <v>246</v>
      </c>
      <c r="B1" t="s">
        <v>114</v>
      </c>
      <c r="C1" t="s">
        <v>247</v>
      </c>
      <c r="D1" t="s">
        <v>248</v>
      </c>
      <c r="E1" t="s">
        <v>249</v>
      </c>
      <c r="F1" t="s">
        <v>250</v>
      </c>
      <c r="G1" t="s">
        <v>251</v>
      </c>
      <c r="H1" t="s">
        <v>252</v>
      </c>
      <c r="I1" t="s">
        <v>253</v>
      </c>
      <c r="J1" t="s">
        <v>254</v>
      </c>
      <c r="K1" t="s">
        <v>255</v>
      </c>
      <c r="L1" t="s">
        <v>256</v>
      </c>
      <c r="M1" t="s">
        <v>257</v>
      </c>
      <c r="N1" t="s">
        <v>258</v>
      </c>
      <c r="O1" t="s">
        <v>259</v>
      </c>
      <c r="P1" t="s">
        <v>260</v>
      </c>
      <c r="Q1" t="s">
        <v>261</v>
      </c>
      <c r="R1" t="s">
        <v>262</v>
      </c>
      <c r="S1" t="s">
        <v>264</v>
      </c>
      <c r="T1" t="s">
        <v>294</v>
      </c>
    </row>
    <row r="2" spans="1:20" x14ac:dyDescent="0.3">
      <c r="A2">
        <v>202301</v>
      </c>
      <c r="B2" t="s">
        <v>12024</v>
      </c>
      <c r="C2" t="s">
        <v>12028</v>
      </c>
      <c r="D2">
        <v>4026.7117360000002</v>
      </c>
      <c r="E2">
        <v>335.29608999999999</v>
      </c>
      <c r="F2">
        <v>0</v>
      </c>
      <c r="G2">
        <v>0</v>
      </c>
      <c r="H2">
        <v>0</v>
      </c>
      <c r="I2">
        <v>702.35095000000001</v>
      </c>
      <c r="J2">
        <v>708.32251499999995</v>
      </c>
      <c r="K2">
        <v>332.95600000000002</v>
      </c>
      <c r="L2">
        <v>15.679538000000001</v>
      </c>
      <c r="M2">
        <v>1.5021100000000001</v>
      </c>
      <c r="N2">
        <v>0</v>
      </c>
      <c r="O2">
        <v>0</v>
      </c>
      <c r="P2">
        <v>0.47255000000000003</v>
      </c>
      <c r="Q2">
        <v>5.0746880000000001</v>
      </c>
      <c r="R2">
        <v>0.04</v>
      </c>
      <c r="S2">
        <v>0</v>
      </c>
      <c r="T2" t="s">
        <v>223</v>
      </c>
    </row>
    <row r="3" spans="1:20" x14ac:dyDescent="0.3">
      <c r="A3">
        <v>202302</v>
      </c>
      <c r="B3" t="s">
        <v>12024</v>
      </c>
      <c r="C3" t="s">
        <v>12028</v>
      </c>
      <c r="D3">
        <v>3555.9928570000002</v>
      </c>
      <c r="E3">
        <v>206.706875</v>
      </c>
      <c r="F3">
        <v>0</v>
      </c>
      <c r="G3">
        <v>0</v>
      </c>
      <c r="H3">
        <v>0</v>
      </c>
      <c r="I3">
        <v>563.2666825</v>
      </c>
      <c r="J3">
        <v>560.62890000000004</v>
      </c>
      <c r="K3">
        <v>395.64652000000001</v>
      </c>
      <c r="L3">
        <v>12.926334000000001</v>
      </c>
      <c r="M3">
        <v>0.86955000000000005</v>
      </c>
      <c r="N3">
        <v>0</v>
      </c>
      <c r="O3">
        <v>0</v>
      </c>
      <c r="P3">
        <v>0.35420000000000001</v>
      </c>
      <c r="Q3">
        <v>2.7656329999999998</v>
      </c>
      <c r="R3">
        <v>0.04</v>
      </c>
      <c r="S3">
        <v>0</v>
      </c>
      <c r="T3" t="s">
        <v>223</v>
      </c>
    </row>
    <row r="4" spans="1:20" x14ac:dyDescent="0.3">
      <c r="A4">
        <v>202303</v>
      </c>
      <c r="B4" t="s">
        <v>12024</v>
      </c>
      <c r="C4" t="s">
        <v>12028</v>
      </c>
      <c r="D4">
        <v>3465.8822580000001</v>
      </c>
      <c r="E4">
        <v>105.821353</v>
      </c>
      <c r="F4">
        <v>0</v>
      </c>
      <c r="G4">
        <v>0</v>
      </c>
      <c r="H4">
        <v>0</v>
      </c>
      <c r="I4">
        <v>529.15819399999998</v>
      </c>
      <c r="J4">
        <v>536.60768199999995</v>
      </c>
      <c r="K4">
        <v>362.63523199999997</v>
      </c>
      <c r="L4">
        <v>13.800124</v>
      </c>
      <c r="M4">
        <v>0.48187999999999998</v>
      </c>
      <c r="N4">
        <v>0</v>
      </c>
      <c r="O4">
        <v>0</v>
      </c>
      <c r="P4">
        <v>0.2374</v>
      </c>
      <c r="Q4">
        <v>3.9494579999999999</v>
      </c>
      <c r="R4">
        <v>0</v>
      </c>
      <c r="S4">
        <v>0</v>
      </c>
      <c r="T4" t="s">
        <v>223</v>
      </c>
    </row>
    <row r="5" spans="1:20" x14ac:dyDescent="0.3">
      <c r="A5">
        <v>202304</v>
      </c>
      <c r="B5" t="s">
        <v>12024</v>
      </c>
      <c r="C5" t="s">
        <v>12028</v>
      </c>
      <c r="D5">
        <v>3272.7866669999999</v>
      </c>
      <c r="E5">
        <v>66.932451999999998</v>
      </c>
      <c r="F5">
        <v>0</v>
      </c>
      <c r="G5">
        <v>0</v>
      </c>
      <c r="H5">
        <v>0</v>
      </c>
      <c r="I5">
        <v>639.24934499999995</v>
      </c>
      <c r="J5">
        <v>644.57914100000005</v>
      </c>
      <c r="K5">
        <v>105.018</v>
      </c>
      <c r="L5">
        <v>11.782461</v>
      </c>
      <c r="M5">
        <v>0.31452200000000002</v>
      </c>
      <c r="N5">
        <v>0</v>
      </c>
      <c r="O5">
        <v>0</v>
      </c>
      <c r="P5">
        <v>0.35435</v>
      </c>
      <c r="Q5">
        <v>3.906425</v>
      </c>
      <c r="R5">
        <v>0</v>
      </c>
      <c r="S5">
        <v>0</v>
      </c>
      <c r="T5" t="s">
        <v>223</v>
      </c>
    </row>
    <row r="6" spans="1:20" x14ac:dyDescent="0.3">
      <c r="A6">
        <v>202305</v>
      </c>
      <c r="B6" t="s">
        <v>12024</v>
      </c>
      <c r="C6" t="s">
        <v>12028</v>
      </c>
      <c r="D6">
        <v>3253.2983869999998</v>
      </c>
      <c r="E6">
        <v>111.744693</v>
      </c>
      <c r="F6">
        <v>0</v>
      </c>
      <c r="G6">
        <v>0</v>
      </c>
      <c r="H6">
        <v>0</v>
      </c>
      <c r="I6">
        <v>657.54997500000002</v>
      </c>
      <c r="J6">
        <v>662.26313400000004</v>
      </c>
      <c r="K6">
        <v>201.9495</v>
      </c>
      <c r="L6">
        <v>10.900804000000001</v>
      </c>
      <c r="M6">
        <v>0.56435299999999999</v>
      </c>
      <c r="N6">
        <v>0</v>
      </c>
      <c r="O6">
        <v>0</v>
      </c>
      <c r="P6">
        <v>0.3543</v>
      </c>
      <c r="Q6">
        <v>4.6036729999999997</v>
      </c>
      <c r="R6">
        <v>0</v>
      </c>
      <c r="S6">
        <v>0</v>
      </c>
      <c r="T6" t="s">
        <v>223</v>
      </c>
    </row>
    <row r="7" spans="1:20" x14ac:dyDescent="0.3">
      <c r="A7">
        <v>202306</v>
      </c>
      <c r="B7" t="s">
        <v>12024</v>
      </c>
      <c r="C7" t="s">
        <v>12028</v>
      </c>
      <c r="D7">
        <v>3064.836667</v>
      </c>
      <c r="E7">
        <v>80.001436999999996</v>
      </c>
      <c r="F7">
        <v>0</v>
      </c>
      <c r="G7">
        <v>0</v>
      </c>
      <c r="H7">
        <v>0</v>
      </c>
      <c r="I7">
        <v>1090.763856</v>
      </c>
      <c r="J7">
        <v>1095.853012</v>
      </c>
      <c r="K7">
        <v>394</v>
      </c>
      <c r="L7">
        <v>9.9800120000000003</v>
      </c>
      <c r="M7">
        <v>0.324378</v>
      </c>
      <c r="N7">
        <v>0</v>
      </c>
      <c r="O7">
        <v>0</v>
      </c>
      <c r="P7">
        <v>0.59184999999999999</v>
      </c>
      <c r="Q7">
        <v>7.2828340000000003</v>
      </c>
      <c r="R7">
        <v>0</v>
      </c>
      <c r="S7">
        <v>0</v>
      </c>
      <c r="T7" t="s">
        <v>223</v>
      </c>
    </row>
    <row r="8" spans="1:20" x14ac:dyDescent="0.3">
      <c r="A8">
        <v>202307</v>
      </c>
      <c r="B8" t="s">
        <v>12024</v>
      </c>
      <c r="C8" t="s">
        <v>12028</v>
      </c>
      <c r="D8">
        <v>3311.9387099999999</v>
      </c>
      <c r="E8">
        <v>65.464089000000001</v>
      </c>
      <c r="F8">
        <v>0</v>
      </c>
      <c r="G8">
        <v>0</v>
      </c>
      <c r="H8">
        <v>0</v>
      </c>
      <c r="I8">
        <v>487.85415599999999</v>
      </c>
      <c r="J8">
        <v>491.87286</v>
      </c>
      <c r="K8">
        <v>398.1814</v>
      </c>
      <c r="L8">
        <v>12.223101</v>
      </c>
      <c r="M8">
        <v>0.274644</v>
      </c>
      <c r="N8">
        <v>0</v>
      </c>
      <c r="O8">
        <v>0</v>
      </c>
      <c r="P8">
        <v>0.23849999999999999</v>
      </c>
      <c r="Q8">
        <v>3.592822</v>
      </c>
      <c r="R8">
        <v>0</v>
      </c>
      <c r="S8">
        <v>0</v>
      </c>
      <c r="T8" t="s">
        <v>223</v>
      </c>
    </row>
    <row r="9" spans="1:20" x14ac:dyDescent="0.3">
      <c r="A9">
        <v>202308</v>
      </c>
      <c r="B9" t="s">
        <v>12024</v>
      </c>
      <c r="C9" t="s">
        <v>12028</v>
      </c>
      <c r="D9">
        <v>3306.4161290000002</v>
      </c>
      <c r="E9">
        <v>111.58543899999999</v>
      </c>
      <c r="F9">
        <v>0</v>
      </c>
      <c r="G9">
        <v>0</v>
      </c>
      <c r="H9">
        <v>0</v>
      </c>
      <c r="I9">
        <v>744.89671950000002</v>
      </c>
      <c r="J9">
        <v>741.67179399999998</v>
      </c>
      <c r="K9">
        <v>213.46899999999999</v>
      </c>
      <c r="L9">
        <v>12.646707123241002</v>
      </c>
      <c r="M9">
        <v>0.47848129850599996</v>
      </c>
      <c r="N9">
        <v>0</v>
      </c>
      <c r="O9">
        <v>0</v>
      </c>
      <c r="P9">
        <v>0.36109999999999998</v>
      </c>
      <c r="Q9">
        <v>4.9155198750000002</v>
      </c>
      <c r="R9">
        <v>0</v>
      </c>
      <c r="S9">
        <v>0</v>
      </c>
      <c r="T9" t="s">
        <v>223</v>
      </c>
    </row>
    <row r="10" spans="1:20" x14ac:dyDescent="0.3">
      <c r="A10">
        <v>202309</v>
      </c>
      <c r="B10" t="s">
        <v>12024</v>
      </c>
      <c r="C10" t="s">
        <v>12028</v>
      </c>
      <c r="D10">
        <v>2877.353333</v>
      </c>
      <c r="E10">
        <v>134.11305999999999</v>
      </c>
      <c r="F10">
        <v>0</v>
      </c>
      <c r="G10">
        <v>0</v>
      </c>
      <c r="H10">
        <v>0</v>
      </c>
      <c r="I10">
        <v>254.53919999999999</v>
      </c>
      <c r="J10">
        <v>254.33214000000001</v>
      </c>
      <c r="K10">
        <v>288.15899999999999</v>
      </c>
      <c r="L10">
        <v>10.300494</v>
      </c>
      <c r="M10">
        <v>0.50644800000000001</v>
      </c>
      <c r="N10">
        <v>0</v>
      </c>
      <c r="O10">
        <v>0</v>
      </c>
      <c r="P10">
        <v>0.2424</v>
      </c>
      <c r="Q10">
        <v>1.2800549999999999</v>
      </c>
      <c r="R10">
        <v>0</v>
      </c>
      <c r="S10">
        <v>0</v>
      </c>
      <c r="T10" t="s">
        <v>223</v>
      </c>
    </row>
    <row r="11" spans="1:20" x14ac:dyDescent="0.3">
      <c r="A11">
        <v>202310</v>
      </c>
      <c r="B11" t="s">
        <v>12024</v>
      </c>
      <c r="C11" t="s">
        <v>12028</v>
      </c>
      <c r="D11">
        <v>2839.3064519999998</v>
      </c>
      <c r="E11">
        <v>100.575793</v>
      </c>
      <c r="F11">
        <v>0</v>
      </c>
      <c r="G11">
        <v>0</v>
      </c>
      <c r="H11">
        <v>0</v>
      </c>
      <c r="I11">
        <v>516.81317840000008</v>
      </c>
      <c r="J11">
        <v>528.37722900000006</v>
      </c>
      <c r="K11">
        <v>98</v>
      </c>
      <c r="L11">
        <v>9.9044899999999991</v>
      </c>
      <c r="M11">
        <v>0.37046800000000002</v>
      </c>
      <c r="N11">
        <v>0</v>
      </c>
      <c r="O11">
        <v>0</v>
      </c>
      <c r="P11">
        <v>0.36870000000000003</v>
      </c>
      <c r="Q11">
        <v>2.523765</v>
      </c>
      <c r="R11">
        <v>0</v>
      </c>
      <c r="S11">
        <v>0</v>
      </c>
      <c r="T11" t="s">
        <v>223</v>
      </c>
    </row>
    <row r="12" spans="1:20" x14ac:dyDescent="0.3">
      <c r="A12">
        <v>202311</v>
      </c>
      <c r="B12" t="s">
        <v>12024</v>
      </c>
      <c r="C12" t="s">
        <v>12028</v>
      </c>
      <c r="D12">
        <v>3277.713334</v>
      </c>
      <c r="E12">
        <v>74.724558999999999</v>
      </c>
      <c r="F12">
        <v>0</v>
      </c>
      <c r="G12">
        <v>0.36036000000000001</v>
      </c>
      <c r="H12">
        <v>0</v>
      </c>
      <c r="I12">
        <v>818.81381599999997</v>
      </c>
      <c r="J12">
        <v>934.22007399999995</v>
      </c>
      <c r="K12">
        <v>0</v>
      </c>
      <c r="L12">
        <v>10.072946999999999</v>
      </c>
      <c r="M12">
        <v>0.26290799999999998</v>
      </c>
      <c r="N12">
        <v>1</v>
      </c>
      <c r="O12">
        <v>0</v>
      </c>
      <c r="P12">
        <v>2.1170200000000001</v>
      </c>
      <c r="Q12">
        <v>6.7405569999999999</v>
      </c>
      <c r="R12">
        <v>0</v>
      </c>
      <c r="S12">
        <v>0</v>
      </c>
      <c r="T12" t="s">
        <v>223</v>
      </c>
    </row>
    <row r="13" spans="1:20" x14ac:dyDescent="0.3">
      <c r="A13">
        <v>202312</v>
      </c>
      <c r="B13" t="s">
        <v>12024</v>
      </c>
      <c r="C13" t="s">
        <v>12028</v>
      </c>
      <c r="D13">
        <v>2852.0516130000001</v>
      </c>
      <c r="E13">
        <v>183.46963099999999</v>
      </c>
      <c r="F13">
        <v>0</v>
      </c>
      <c r="G13">
        <v>0.60060000000000002</v>
      </c>
      <c r="H13">
        <v>0</v>
      </c>
      <c r="I13">
        <v>597.06652499999996</v>
      </c>
      <c r="J13">
        <v>501.78369600000002</v>
      </c>
      <c r="K13">
        <v>180</v>
      </c>
      <c r="L13">
        <v>8.3937790000000003</v>
      </c>
      <c r="M13">
        <v>0.62974600000000003</v>
      </c>
      <c r="N13">
        <v>1</v>
      </c>
      <c r="O13">
        <v>0</v>
      </c>
      <c r="P13">
        <v>1.76109</v>
      </c>
      <c r="Q13">
        <v>3.3411249999999999</v>
      </c>
      <c r="R13">
        <v>0</v>
      </c>
      <c r="S13">
        <v>0</v>
      </c>
      <c r="T13" t="s">
        <v>223</v>
      </c>
    </row>
    <row r="14" spans="1:20" x14ac:dyDescent="0.3">
      <c r="A14">
        <v>202401</v>
      </c>
      <c r="B14" t="s">
        <v>12024</v>
      </c>
      <c r="C14" t="s">
        <v>12028</v>
      </c>
      <c r="D14">
        <v>2348.8645160000001</v>
      </c>
      <c r="E14">
        <v>71.359688000000006</v>
      </c>
      <c r="F14">
        <v>0</v>
      </c>
      <c r="G14">
        <v>0</v>
      </c>
      <c r="H14">
        <v>0</v>
      </c>
      <c r="I14">
        <v>56.791559999999997</v>
      </c>
      <c r="J14">
        <v>58.285040000000002</v>
      </c>
      <c r="K14">
        <v>0</v>
      </c>
      <c r="L14">
        <v>6.9921379999999997</v>
      </c>
      <c r="M14">
        <v>0.23451900000000001</v>
      </c>
      <c r="N14">
        <v>0</v>
      </c>
      <c r="O14">
        <v>0</v>
      </c>
      <c r="P14">
        <v>0.24759999999999999</v>
      </c>
      <c r="Q14">
        <v>0.31308200000000003</v>
      </c>
      <c r="R14">
        <v>0</v>
      </c>
      <c r="S14">
        <v>0</v>
      </c>
      <c r="T14" t="s">
        <v>223</v>
      </c>
    </row>
    <row r="15" spans="1:20" x14ac:dyDescent="0.3">
      <c r="A15">
        <v>202402</v>
      </c>
      <c r="B15" t="s">
        <v>12024</v>
      </c>
      <c r="C15" t="s">
        <v>12028</v>
      </c>
      <c r="D15">
        <v>2259.2827590000002</v>
      </c>
      <c r="E15">
        <v>109.813378</v>
      </c>
      <c r="F15">
        <v>0</v>
      </c>
      <c r="G15">
        <v>0</v>
      </c>
      <c r="H15">
        <v>0</v>
      </c>
      <c r="I15">
        <v>669.32418600000005</v>
      </c>
      <c r="J15">
        <v>671.40642300000002</v>
      </c>
      <c r="K15">
        <v>34.988999999999997</v>
      </c>
      <c r="L15">
        <v>7.0804600000000004</v>
      </c>
      <c r="M15">
        <v>0.33545599999999998</v>
      </c>
      <c r="N15">
        <v>1E-3</v>
      </c>
      <c r="O15">
        <v>0</v>
      </c>
      <c r="P15">
        <v>1.75309</v>
      </c>
      <c r="Q15">
        <v>4.1522699999999997</v>
      </c>
      <c r="R15">
        <v>0.01</v>
      </c>
      <c r="S15">
        <v>0</v>
      </c>
      <c r="T15" t="s">
        <v>223</v>
      </c>
    </row>
    <row r="16" spans="1:20" x14ac:dyDescent="0.3">
      <c r="A16">
        <v>202403</v>
      </c>
      <c r="B16" t="s">
        <v>12024</v>
      </c>
      <c r="C16" t="s">
        <v>12028</v>
      </c>
      <c r="D16">
        <v>2229.3258059999998</v>
      </c>
      <c r="E16">
        <v>208.23416800000001</v>
      </c>
      <c r="F16">
        <v>0</v>
      </c>
      <c r="G16">
        <v>0</v>
      </c>
      <c r="H16">
        <v>0</v>
      </c>
      <c r="I16">
        <v>726.89792</v>
      </c>
      <c r="J16">
        <v>733.02935600000001</v>
      </c>
      <c r="K16">
        <v>109.989</v>
      </c>
      <c r="L16">
        <v>7.0764630000000004</v>
      </c>
      <c r="M16">
        <v>0.66860600000000003</v>
      </c>
      <c r="N16">
        <v>1E-3</v>
      </c>
      <c r="O16">
        <v>0</v>
      </c>
      <c r="P16">
        <v>2.0219399999999998</v>
      </c>
      <c r="Q16">
        <v>5.9258769999999998</v>
      </c>
      <c r="R16">
        <v>0.01</v>
      </c>
      <c r="S16">
        <v>0</v>
      </c>
      <c r="T16" t="s">
        <v>223</v>
      </c>
    </row>
    <row r="17" spans="1:20" x14ac:dyDescent="0.3">
      <c r="A17">
        <v>202404</v>
      </c>
      <c r="B17" t="s">
        <v>12024</v>
      </c>
      <c r="C17" t="s">
        <v>12028</v>
      </c>
      <c r="D17">
        <v>1562.903333</v>
      </c>
      <c r="E17">
        <v>217.25670199999999</v>
      </c>
      <c r="F17">
        <v>0</v>
      </c>
      <c r="G17">
        <v>0</v>
      </c>
      <c r="H17">
        <v>0</v>
      </c>
      <c r="I17">
        <v>680.70838049999998</v>
      </c>
      <c r="J17">
        <v>684.78274899999997</v>
      </c>
      <c r="K17">
        <v>4.9889999999999999</v>
      </c>
      <c r="L17">
        <v>4.3586429999999998</v>
      </c>
      <c r="M17">
        <v>0.59828700000000001</v>
      </c>
      <c r="N17">
        <v>1E-3</v>
      </c>
      <c r="O17">
        <v>0</v>
      </c>
      <c r="P17">
        <v>1.6550929999999999</v>
      </c>
      <c r="Q17">
        <v>3.0552950000000001</v>
      </c>
      <c r="R17">
        <v>0.01</v>
      </c>
      <c r="S17">
        <v>0</v>
      </c>
      <c r="T17" t="s">
        <v>223</v>
      </c>
    </row>
    <row r="18" spans="1:20" x14ac:dyDescent="0.3">
      <c r="A18">
        <v>202405</v>
      </c>
      <c r="B18" t="s">
        <v>12024</v>
      </c>
      <c r="C18" t="s">
        <v>12028</v>
      </c>
      <c r="D18">
        <v>1685.1387099999999</v>
      </c>
      <c r="E18">
        <v>84.932168000000004</v>
      </c>
      <c r="F18">
        <v>0</v>
      </c>
      <c r="G18">
        <v>0</v>
      </c>
      <c r="H18">
        <v>0</v>
      </c>
      <c r="I18">
        <v>143.09441100000001</v>
      </c>
      <c r="J18">
        <v>144.39998900000001</v>
      </c>
      <c r="K18">
        <v>325.88099999999997</v>
      </c>
      <c r="L18">
        <v>4.6759529999999998</v>
      </c>
      <c r="M18">
        <v>0.24180099999999999</v>
      </c>
      <c r="N18">
        <v>1E-3</v>
      </c>
      <c r="O18">
        <v>0</v>
      </c>
      <c r="P18">
        <v>0.433228</v>
      </c>
      <c r="Q18">
        <v>6.2329300000000004E-2</v>
      </c>
      <c r="R18">
        <v>0.04</v>
      </c>
      <c r="S18">
        <v>0</v>
      </c>
      <c r="T18" t="s">
        <v>223</v>
      </c>
    </row>
    <row r="19" spans="1:20" x14ac:dyDescent="0.3">
      <c r="A19">
        <v>202406</v>
      </c>
      <c r="B19" t="s">
        <v>12024</v>
      </c>
      <c r="C19" t="s">
        <v>12028</v>
      </c>
      <c r="D19">
        <v>1850.5</v>
      </c>
      <c r="E19">
        <v>294.102552</v>
      </c>
      <c r="F19">
        <v>0</v>
      </c>
      <c r="G19">
        <v>0</v>
      </c>
      <c r="H19">
        <v>0</v>
      </c>
      <c r="I19">
        <v>230.14435</v>
      </c>
      <c r="J19">
        <v>230.17147900000001</v>
      </c>
      <c r="K19">
        <v>68.977999999999994</v>
      </c>
      <c r="L19">
        <v>4.8945800000000004</v>
      </c>
      <c r="M19">
        <v>0.80992200000000003</v>
      </c>
      <c r="N19">
        <v>1E-3</v>
      </c>
      <c r="O19">
        <v>0</v>
      </c>
      <c r="P19">
        <v>0.58796400000000004</v>
      </c>
      <c r="Q19">
        <v>0.23511799999999999</v>
      </c>
      <c r="R19">
        <v>0.02</v>
      </c>
      <c r="S19">
        <v>0</v>
      </c>
      <c r="T19" t="s">
        <v>223</v>
      </c>
    </row>
    <row r="20" spans="1:20" x14ac:dyDescent="0.3">
      <c r="A20">
        <v>202407</v>
      </c>
      <c r="B20" t="s">
        <v>12024</v>
      </c>
      <c r="C20" t="s">
        <v>12028</v>
      </c>
      <c r="D20">
        <v>1797.883871</v>
      </c>
      <c r="E20">
        <v>120.59410800000001</v>
      </c>
      <c r="F20">
        <v>0</v>
      </c>
      <c r="G20">
        <v>0</v>
      </c>
      <c r="H20">
        <v>0</v>
      </c>
      <c r="I20">
        <v>917.95192774999998</v>
      </c>
      <c r="J20">
        <v>926.24829499999998</v>
      </c>
      <c r="K20">
        <v>144.95500000000001</v>
      </c>
      <c r="L20">
        <v>4.8551080000000004</v>
      </c>
      <c r="M20">
        <v>0.34325899999999998</v>
      </c>
      <c r="N20">
        <v>1E-3</v>
      </c>
      <c r="O20">
        <v>0</v>
      </c>
      <c r="P20">
        <v>2.5712830000000002</v>
      </c>
      <c r="Q20">
        <v>3.754019</v>
      </c>
      <c r="R20">
        <v>0.01</v>
      </c>
      <c r="S20">
        <v>0</v>
      </c>
      <c r="T20" t="s">
        <v>223</v>
      </c>
    </row>
    <row r="21" spans="1:20" x14ac:dyDescent="0.3">
      <c r="A21">
        <v>202408</v>
      </c>
      <c r="B21" t="s">
        <v>12024</v>
      </c>
      <c r="C21" t="s">
        <v>12028</v>
      </c>
      <c r="D21">
        <v>1585.1677420000001</v>
      </c>
      <c r="E21">
        <v>105.957673</v>
      </c>
      <c r="F21">
        <v>0</v>
      </c>
      <c r="G21">
        <v>0</v>
      </c>
      <c r="H21">
        <v>0</v>
      </c>
      <c r="I21">
        <v>620.75682500000005</v>
      </c>
      <c r="J21">
        <v>628.93804499999999</v>
      </c>
      <c r="K21">
        <v>1.155</v>
      </c>
      <c r="L21">
        <v>4.5447300000000004</v>
      </c>
      <c r="M21">
        <v>0.30038100000000001</v>
      </c>
      <c r="N21">
        <v>1E-3</v>
      </c>
      <c r="O21">
        <v>0</v>
      </c>
      <c r="P21">
        <v>1.6860299999999999</v>
      </c>
      <c r="Q21">
        <v>4.2194370000000001</v>
      </c>
      <c r="R21">
        <v>0</v>
      </c>
      <c r="S21">
        <v>0</v>
      </c>
      <c r="T21" t="s">
        <v>223</v>
      </c>
    </row>
    <row r="22" spans="1:20" x14ac:dyDescent="0.3">
      <c r="A22">
        <v>202409</v>
      </c>
      <c r="B22" t="s">
        <v>12024</v>
      </c>
      <c r="C22" t="s">
        <v>12028</v>
      </c>
      <c r="D22">
        <v>1466.3266659999999</v>
      </c>
      <c r="E22">
        <v>131.99447599999999</v>
      </c>
      <c r="F22">
        <v>0</v>
      </c>
      <c r="G22">
        <v>0</v>
      </c>
      <c r="H22">
        <v>0</v>
      </c>
      <c r="I22">
        <v>565.22138399999994</v>
      </c>
      <c r="J22">
        <v>572.92842299999995</v>
      </c>
      <c r="K22">
        <v>29</v>
      </c>
      <c r="L22">
        <v>3.5825239999999998</v>
      </c>
      <c r="M22">
        <v>0.36221799999999998</v>
      </c>
      <c r="N22">
        <v>1E-3</v>
      </c>
      <c r="O22">
        <v>0</v>
      </c>
      <c r="P22">
        <v>1.5666</v>
      </c>
      <c r="Q22">
        <v>4.8198280000000002</v>
      </c>
      <c r="R22">
        <v>0</v>
      </c>
      <c r="S22">
        <v>0</v>
      </c>
      <c r="T22" t="s">
        <v>223</v>
      </c>
    </row>
    <row r="23" spans="1:20" x14ac:dyDescent="0.3">
      <c r="A23">
        <v>202410</v>
      </c>
      <c r="B23" t="s">
        <v>12024</v>
      </c>
      <c r="C23" t="s">
        <v>12028</v>
      </c>
      <c r="D23">
        <v>1982.9741919999999</v>
      </c>
      <c r="E23">
        <v>175.11663100000001</v>
      </c>
      <c r="F23">
        <v>0</v>
      </c>
      <c r="G23">
        <v>0</v>
      </c>
      <c r="H23">
        <v>0</v>
      </c>
      <c r="I23">
        <v>1445.8238719999999</v>
      </c>
      <c r="J23">
        <v>1433.856485</v>
      </c>
      <c r="K23">
        <v>0</v>
      </c>
      <c r="L23">
        <v>4.9987810000000001</v>
      </c>
      <c r="M23">
        <v>0.49648500000000001</v>
      </c>
      <c r="N23">
        <v>1E-3</v>
      </c>
      <c r="O23">
        <v>0</v>
      </c>
      <c r="P23">
        <v>3.578945</v>
      </c>
      <c r="Q23">
        <v>9.1070519999999995</v>
      </c>
      <c r="R23">
        <v>0</v>
      </c>
      <c r="S23">
        <v>0</v>
      </c>
      <c r="T23" t="s">
        <v>223</v>
      </c>
    </row>
    <row r="24" spans="1:20" x14ac:dyDescent="0.3">
      <c r="A24">
        <v>202411</v>
      </c>
      <c r="B24" t="s">
        <v>12024</v>
      </c>
      <c r="C24" t="s">
        <v>12028</v>
      </c>
      <c r="D24">
        <v>1859.4433329999999</v>
      </c>
      <c r="E24">
        <v>161.297898</v>
      </c>
      <c r="F24">
        <v>0</v>
      </c>
      <c r="G24">
        <v>0</v>
      </c>
      <c r="H24">
        <v>0</v>
      </c>
      <c r="I24">
        <v>1281.8962650000001</v>
      </c>
      <c r="J24">
        <v>1290.5615029999999</v>
      </c>
      <c r="K24">
        <v>2.7E-2</v>
      </c>
      <c r="L24">
        <v>4.5103099999999996</v>
      </c>
      <c r="M24">
        <v>0.44403300000000001</v>
      </c>
      <c r="N24">
        <v>1E-3</v>
      </c>
      <c r="O24">
        <v>0</v>
      </c>
      <c r="P24">
        <v>3.1358079999999999</v>
      </c>
      <c r="Q24">
        <v>4.8517919999999997</v>
      </c>
      <c r="R24">
        <v>0</v>
      </c>
      <c r="S24">
        <v>0</v>
      </c>
      <c r="T24" t="s">
        <v>223</v>
      </c>
    </row>
    <row r="25" spans="1:20" x14ac:dyDescent="0.3">
      <c r="A25">
        <v>202412</v>
      </c>
      <c r="B25" t="s">
        <v>12024</v>
      </c>
      <c r="C25" t="s">
        <v>12028</v>
      </c>
      <c r="D25">
        <v>1700.6354839999999</v>
      </c>
      <c r="E25">
        <v>149.355921</v>
      </c>
      <c r="F25">
        <v>0</v>
      </c>
      <c r="G25">
        <v>0</v>
      </c>
      <c r="H25">
        <v>0</v>
      </c>
      <c r="I25">
        <v>805.34890299999995</v>
      </c>
      <c r="J25">
        <v>808.31594299999995</v>
      </c>
      <c r="K25">
        <v>0</v>
      </c>
      <c r="L25">
        <v>4.3375630000000003</v>
      </c>
      <c r="M25">
        <v>0.42485499999999998</v>
      </c>
      <c r="N25">
        <v>1E-3</v>
      </c>
      <c r="O25">
        <v>0</v>
      </c>
      <c r="P25">
        <v>2.3204669999999998</v>
      </c>
      <c r="Q25">
        <v>1.759768</v>
      </c>
      <c r="R25">
        <v>0</v>
      </c>
      <c r="S25">
        <v>0</v>
      </c>
      <c r="T25" t="s">
        <v>223</v>
      </c>
    </row>
    <row r="26" spans="1:20" x14ac:dyDescent="0.3">
      <c r="A26">
        <v>202501</v>
      </c>
      <c r="B26" t="s">
        <v>12024</v>
      </c>
      <c r="C26" t="s">
        <v>12028</v>
      </c>
      <c r="D26">
        <v>1894.080645</v>
      </c>
      <c r="E26">
        <v>188.77070000000001</v>
      </c>
      <c r="F26">
        <v>0</v>
      </c>
      <c r="G26">
        <v>0</v>
      </c>
      <c r="H26">
        <v>0</v>
      </c>
      <c r="I26">
        <v>344.47379999999998</v>
      </c>
      <c r="J26">
        <v>350.91551500000003</v>
      </c>
      <c r="K26">
        <v>90</v>
      </c>
      <c r="L26">
        <v>4.9281680000000003</v>
      </c>
      <c r="M26">
        <v>0.22453999999999999</v>
      </c>
      <c r="N26">
        <v>1E-3</v>
      </c>
      <c r="O26">
        <v>0</v>
      </c>
      <c r="P26">
        <v>0.84311700000000001</v>
      </c>
      <c r="Q26">
        <v>2.0053100000000001</v>
      </c>
      <c r="R26">
        <v>0</v>
      </c>
      <c r="S26">
        <v>0</v>
      </c>
      <c r="T26" t="s">
        <v>223</v>
      </c>
    </row>
    <row r="27" spans="1:20" x14ac:dyDescent="0.3">
      <c r="A27">
        <v>202502</v>
      </c>
      <c r="B27" t="s">
        <v>12024</v>
      </c>
      <c r="C27" t="s">
        <v>12028</v>
      </c>
      <c r="D27">
        <v>2136.7392850000001</v>
      </c>
      <c r="E27">
        <v>190.29045099999999</v>
      </c>
      <c r="F27">
        <v>0</v>
      </c>
      <c r="G27">
        <v>0</v>
      </c>
      <c r="H27">
        <v>0</v>
      </c>
      <c r="I27">
        <v>1339.3196614999999</v>
      </c>
      <c r="J27">
        <v>1345.0629799999999</v>
      </c>
      <c r="K27">
        <v>0</v>
      </c>
      <c r="L27">
        <v>4.3895173972430026</v>
      </c>
      <c r="M27">
        <v>0.78032841727500002</v>
      </c>
      <c r="N27">
        <v>1E-3</v>
      </c>
      <c r="O27">
        <v>0</v>
      </c>
      <c r="P27">
        <v>3.38226</v>
      </c>
      <c r="Q27">
        <v>8.1205745</v>
      </c>
      <c r="R27">
        <v>0</v>
      </c>
      <c r="S27">
        <v>0</v>
      </c>
      <c r="T27" t="s">
        <v>223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735"/>
  <sheetViews>
    <sheetView workbookViewId="0">
      <selection activeCell="A275" sqref="A275"/>
    </sheetView>
  </sheetViews>
  <sheetFormatPr defaultRowHeight="14.4" x14ac:dyDescent="0.3"/>
  <cols>
    <col min="1" max="1" width="13" style="262" customWidth="1"/>
    <col min="2" max="2" width="38.33203125" customWidth="1"/>
  </cols>
  <sheetData>
    <row r="1" spans="1:2" x14ac:dyDescent="0.3">
      <c r="A1" s="262" t="s">
        <v>113</v>
      </c>
      <c r="B1" t="s">
        <v>121</v>
      </c>
    </row>
    <row r="2" spans="1:2" x14ac:dyDescent="0.3">
      <c r="A2" s="267" t="s">
        <v>345</v>
      </c>
      <c r="B2" t="s">
        <v>295</v>
      </c>
    </row>
    <row r="3" spans="1:2" x14ac:dyDescent="0.3">
      <c r="A3" s="267" t="s">
        <v>346</v>
      </c>
      <c r="B3" t="s">
        <v>295</v>
      </c>
    </row>
    <row r="4" spans="1:2" x14ac:dyDescent="0.3">
      <c r="A4" s="267" t="s">
        <v>347</v>
      </c>
      <c r="B4" t="s">
        <v>295</v>
      </c>
    </row>
    <row r="5" spans="1:2" x14ac:dyDescent="0.3">
      <c r="A5" s="267" t="s">
        <v>348</v>
      </c>
      <c r="B5" t="s">
        <v>295</v>
      </c>
    </row>
    <row r="6" spans="1:2" x14ac:dyDescent="0.3">
      <c r="A6" s="267" t="s">
        <v>349</v>
      </c>
      <c r="B6" t="s">
        <v>295</v>
      </c>
    </row>
    <row r="7" spans="1:2" x14ac:dyDescent="0.3">
      <c r="A7" s="267" t="s">
        <v>350</v>
      </c>
      <c r="B7" t="s">
        <v>295</v>
      </c>
    </row>
    <row r="8" spans="1:2" x14ac:dyDescent="0.3">
      <c r="A8" s="267" t="s">
        <v>351</v>
      </c>
      <c r="B8" t="s">
        <v>295</v>
      </c>
    </row>
    <row r="9" spans="1:2" x14ac:dyDescent="0.3">
      <c r="A9" s="267" t="s">
        <v>352</v>
      </c>
      <c r="B9" t="s">
        <v>295</v>
      </c>
    </row>
    <row r="10" spans="1:2" x14ac:dyDescent="0.3">
      <c r="A10" s="267" t="s">
        <v>353</v>
      </c>
      <c r="B10" t="s">
        <v>295</v>
      </c>
    </row>
    <row r="11" spans="1:2" x14ac:dyDescent="0.3">
      <c r="A11" s="267" t="s">
        <v>354</v>
      </c>
      <c r="B11" t="s">
        <v>295</v>
      </c>
    </row>
    <row r="12" spans="1:2" x14ac:dyDescent="0.3">
      <c r="A12" s="267" t="s">
        <v>355</v>
      </c>
      <c r="B12" t="s">
        <v>295</v>
      </c>
    </row>
    <row r="13" spans="1:2" x14ac:dyDescent="0.3">
      <c r="A13" s="267" t="s">
        <v>356</v>
      </c>
      <c r="B13" t="s">
        <v>295</v>
      </c>
    </row>
    <row r="14" spans="1:2" x14ac:dyDescent="0.3">
      <c r="A14" s="267" t="s">
        <v>357</v>
      </c>
      <c r="B14" t="s">
        <v>296</v>
      </c>
    </row>
    <row r="15" spans="1:2" x14ac:dyDescent="0.3">
      <c r="A15" s="267" t="s">
        <v>358</v>
      </c>
      <c r="B15" t="s">
        <v>296</v>
      </c>
    </row>
    <row r="16" spans="1:2" x14ac:dyDescent="0.3">
      <c r="A16" s="267" t="s">
        <v>359</v>
      </c>
      <c r="B16" t="s">
        <v>296</v>
      </c>
    </row>
    <row r="17" spans="1:2" x14ac:dyDescent="0.3">
      <c r="A17" s="267" t="s">
        <v>360</v>
      </c>
      <c r="B17" t="s">
        <v>296</v>
      </c>
    </row>
    <row r="18" spans="1:2" x14ac:dyDescent="0.3">
      <c r="A18" s="267" t="s">
        <v>361</v>
      </c>
      <c r="B18" t="s">
        <v>296</v>
      </c>
    </row>
    <row r="19" spans="1:2" x14ac:dyDescent="0.3">
      <c r="A19" s="267" t="s">
        <v>362</v>
      </c>
      <c r="B19" t="s">
        <v>296</v>
      </c>
    </row>
    <row r="20" spans="1:2" x14ac:dyDescent="0.3">
      <c r="A20" s="267" t="s">
        <v>363</v>
      </c>
      <c r="B20" t="s">
        <v>296</v>
      </c>
    </row>
    <row r="21" spans="1:2" x14ac:dyDescent="0.3">
      <c r="A21" s="267" t="s">
        <v>364</v>
      </c>
      <c r="B21" t="s">
        <v>296</v>
      </c>
    </row>
    <row r="22" spans="1:2" x14ac:dyDescent="0.3">
      <c r="A22" s="267" t="s">
        <v>365</v>
      </c>
      <c r="B22" t="s">
        <v>296</v>
      </c>
    </row>
    <row r="23" spans="1:2" x14ac:dyDescent="0.3">
      <c r="A23" s="267" t="s">
        <v>366</v>
      </c>
      <c r="B23" t="s">
        <v>296</v>
      </c>
    </row>
    <row r="24" spans="1:2" x14ac:dyDescent="0.3">
      <c r="A24" s="267" t="s">
        <v>367</v>
      </c>
      <c r="B24" t="s">
        <v>296</v>
      </c>
    </row>
    <row r="25" spans="1:2" x14ac:dyDescent="0.3">
      <c r="A25" s="267" t="s">
        <v>368</v>
      </c>
      <c r="B25" t="s">
        <v>296</v>
      </c>
    </row>
    <row r="26" spans="1:2" x14ac:dyDescent="0.3">
      <c r="A26" s="267" t="s">
        <v>369</v>
      </c>
      <c r="B26" t="s">
        <v>296</v>
      </c>
    </row>
    <row r="27" spans="1:2" x14ac:dyDescent="0.3">
      <c r="A27" s="267" t="s">
        <v>370</v>
      </c>
      <c r="B27" t="s">
        <v>296</v>
      </c>
    </row>
    <row r="28" spans="1:2" x14ac:dyDescent="0.3">
      <c r="A28" s="267" t="s">
        <v>371</v>
      </c>
      <c r="B28" t="s">
        <v>296</v>
      </c>
    </row>
    <row r="29" spans="1:2" x14ac:dyDescent="0.3">
      <c r="A29" s="267" t="s">
        <v>372</v>
      </c>
      <c r="B29" t="s">
        <v>296</v>
      </c>
    </row>
    <row r="30" spans="1:2" x14ac:dyDescent="0.3">
      <c r="A30" s="267" t="s">
        <v>373</v>
      </c>
      <c r="B30" t="s">
        <v>296</v>
      </c>
    </row>
    <row r="31" spans="1:2" x14ac:dyDescent="0.3">
      <c r="A31" s="267" t="s">
        <v>374</v>
      </c>
      <c r="B31" t="s">
        <v>296</v>
      </c>
    </row>
    <row r="32" spans="1:2" x14ac:dyDescent="0.3">
      <c r="A32" s="267" t="s">
        <v>375</v>
      </c>
      <c r="B32" t="s">
        <v>296</v>
      </c>
    </row>
    <row r="33" spans="1:2" x14ac:dyDescent="0.3">
      <c r="A33" s="267" t="s">
        <v>376</v>
      </c>
      <c r="B33" t="s">
        <v>296</v>
      </c>
    </row>
    <row r="34" spans="1:2" x14ac:dyDescent="0.3">
      <c r="A34" s="267" t="s">
        <v>377</v>
      </c>
      <c r="B34" t="s">
        <v>296</v>
      </c>
    </row>
    <row r="35" spans="1:2" x14ac:dyDescent="0.3">
      <c r="A35" s="267" t="s">
        <v>378</v>
      </c>
      <c r="B35" t="s">
        <v>296</v>
      </c>
    </row>
    <row r="36" spans="1:2" x14ac:dyDescent="0.3">
      <c r="A36" s="267" t="s">
        <v>379</v>
      </c>
      <c r="B36" t="s">
        <v>296</v>
      </c>
    </row>
    <row r="37" spans="1:2" x14ac:dyDescent="0.3">
      <c r="A37" s="267" t="s">
        <v>380</v>
      </c>
      <c r="B37" t="s">
        <v>296</v>
      </c>
    </row>
    <row r="38" spans="1:2" x14ac:dyDescent="0.3">
      <c r="A38" s="267" t="s">
        <v>381</v>
      </c>
      <c r="B38" t="s">
        <v>296</v>
      </c>
    </row>
    <row r="39" spans="1:2" x14ac:dyDescent="0.3">
      <c r="A39" s="267" t="s">
        <v>382</v>
      </c>
      <c r="B39" t="s">
        <v>296</v>
      </c>
    </row>
    <row r="40" spans="1:2" x14ac:dyDescent="0.3">
      <c r="A40" s="267" t="s">
        <v>383</v>
      </c>
      <c r="B40" t="s">
        <v>296</v>
      </c>
    </row>
    <row r="41" spans="1:2" x14ac:dyDescent="0.3">
      <c r="A41" s="267" t="s">
        <v>384</v>
      </c>
      <c r="B41" t="s">
        <v>296</v>
      </c>
    </row>
    <row r="42" spans="1:2" x14ac:dyDescent="0.3">
      <c r="A42" s="267" t="s">
        <v>385</v>
      </c>
      <c r="B42" t="s">
        <v>296</v>
      </c>
    </row>
    <row r="43" spans="1:2" x14ac:dyDescent="0.3">
      <c r="A43" s="267" t="s">
        <v>386</v>
      </c>
      <c r="B43" t="s">
        <v>296</v>
      </c>
    </row>
    <row r="44" spans="1:2" x14ac:dyDescent="0.3">
      <c r="A44" s="267" t="s">
        <v>387</v>
      </c>
      <c r="B44" t="s">
        <v>296</v>
      </c>
    </row>
    <row r="45" spans="1:2" x14ac:dyDescent="0.3">
      <c r="A45" s="267" t="s">
        <v>388</v>
      </c>
      <c r="B45" t="s">
        <v>296</v>
      </c>
    </row>
    <row r="46" spans="1:2" x14ac:dyDescent="0.3">
      <c r="A46" s="267" t="s">
        <v>389</v>
      </c>
      <c r="B46" t="s">
        <v>296</v>
      </c>
    </row>
    <row r="47" spans="1:2" x14ac:dyDescent="0.3">
      <c r="A47" s="267" t="s">
        <v>390</v>
      </c>
      <c r="B47" t="s">
        <v>296</v>
      </c>
    </row>
    <row r="48" spans="1:2" x14ac:dyDescent="0.3">
      <c r="A48" s="267" t="s">
        <v>391</v>
      </c>
      <c r="B48" t="s">
        <v>296</v>
      </c>
    </row>
    <row r="49" spans="1:2" x14ac:dyDescent="0.3">
      <c r="A49" s="267" t="s">
        <v>392</v>
      </c>
      <c r="B49" t="s">
        <v>296</v>
      </c>
    </row>
    <row r="50" spans="1:2" x14ac:dyDescent="0.3">
      <c r="A50" s="267" t="s">
        <v>393</v>
      </c>
      <c r="B50" t="s">
        <v>296</v>
      </c>
    </row>
    <row r="51" spans="1:2" x14ac:dyDescent="0.3">
      <c r="A51" s="267" t="s">
        <v>394</v>
      </c>
      <c r="B51" t="s">
        <v>296</v>
      </c>
    </row>
    <row r="52" spans="1:2" x14ac:dyDescent="0.3">
      <c r="A52" s="267" t="s">
        <v>395</v>
      </c>
      <c r="B52" t="s">
        <v>297</v>
      </c>
    </row>
    <row r="53" spans="1:2" x14ac:dyDescent="0.3">
      <c r="A53" s="267" t="s">
        <v>396</v>
      </c>
      <c r="B53" t="s">
        <v>297</v>
      </c>
    </row>
    <row r="54" spans="1:2" x14ac:dyDescent="0.3">
      <c r="A54" s="267" t="s">
        <v>397</v>
      </c>
      <c r="B54" t="s">
        <v>297</v>
      </c>
    </row>
    <row r="55" spans="1:2" x14ac:dyDescent="0.3">
      <c r="A55" s="267" t="s">
        <v>398</v>
      </c>
      <c r="B55" t="s">
        <v>297</v>
      </c>
    </row>
    <row r="56" spans="1:2" x14ac:dyDescent="0.3">
      <c r="A56" s="267" t="s">
        <v>399</v>
      </c>
      <c r="B56" t="s">
        <v>297</v>
      </c>
    </row>
    <row r="57" spans="1:2" x14ac:dyDescent="0.3">
      <c r="A57" s="267" t="s">
        <v>400</v>
      </c>
      <c r="B57" t="s">
        <v>297</v>
      </c>
    </row>
    <row r="58" spans="1:2" x14ac:dyDescent="0.3">
      <c r="A58" s="267" t="s">
        <v>401</v>
      </c>
      <c r="B58" t="s">
        <v>297</v>
      </c>
    </row>
    <row r="59" spans="1:2" x14ac:dyDescent="0.3">
      <c r="A59" s="267" t="s">
        <v>402</v>
      </c>
      <c r="B59" t="s">
        <v>298</v>
      </c>
    </row>
    <row r="60" spans="1:2" x14ac:dyDescent="0.3">
      <c r="A60" s="267" t="s">
        <v>403</v>
      </c>
      <c r="B60" t="s">
        <v>298</v>
      </c>
    </row>
    <row r="61" spans="1:2" x14ac:dyDescent="0.3">
      <c r="A61" s="267" t="s">
        <v>404</v>
      </c>
      <c r="B61" t="s">
        <v>298</v>
      </c>
    </row>
    <row r="62" spans="1:2" x14ac:dyDescent="0.3">
      <c r="A62" s="267" t="s">
        <v>405</v>
      </c>
      <c r="B62" t="s">
        <v>299</v>
      </c>
    </row>
    <row r="63" spans="1:2" x14ac:dyDescent="0.3">
      <c r="A63" s="267" t="s">
        <v>406</v>
      </c>
      <c r="B63" t="s">
        <v>299</v>
      </c>
    </row>
    <row r="64" spans="1:2" x14ac:dyDescent="0.3">
      <c r="A64" s="267" t="s">
        <v>407</v>
      </c>
      <c r="B64" t="s">
        <v>300</v>
      </c>
    </row>
    <row r="65" spans="1:2" x14ac:dyDescent="0.3">
      <c r="A65" s="267" t="s">
        <v>408</v>
      </c>
      <c r="B65" t="s">
        <v>300</v>
      </c>
    </row>
    <row r="66" spans="1:2" x14ac:dyDescent="0.3">
      <c r="A66" s="267" t="s">
        <v>409</v>
      </c>
      <c r="B66" t="s">
        <v>300</v>
      </c>
    </row>
    <row r="67" spans="1:2" x14ac:dyDescent="0.3">
      <c r="A67" s="267" t="s">
        <v>410</v>
      </c>
      <c r="B67" t="s">
        <v>300</v>
      </c>
    </row>
    <row r="68" spans="1:2" x14ac:dyDescent="0.3">
      <c r="A68" s="267" t="s">
        <v>411</v>
      </c>
      <c r="B68" t="s">
        <v>300</v>
      </c>
    </row>
    <row r="69" spans="1:2" x14ac:dyDescent="0.3">
      <c r="A69" s="267" t="s">
        <v>412</v>
      </c>
      <c r="B69" t="s">
        <v>300</v>
      </c>
    </row>
    <row r="70" spans="1:2" x14ac:dyDescent="0.3">
      <c r="A70" s="267" t="s">
        <v>413</v>
      </c>
      <c r="B70" t="s">
        <v>300</v>
      </c>
    </row>
    <row r="71" spans="1:2" x14ac:dyDescent="0.3">
      <c r="A71" s="267" t="s">
        <v>414</v>
      </c>
      <c r="B71" t="s">
        <v>300</v>
      </c>
    </row>
    <row r="72" spans="1:2" x14ac:dyDescent="0.3">
      <c r="A72" s="267" t="s">
        <v>415</v>
      </c>
      <c r="B72" t="s">
        <v>300</v>
      </c>
    </row>
    <row r="73" spans="1:2" x14ac:dyDescent="0.3">
      <c r="A73" s="267" t="s">
        <v>416</v>
      </c>
      <c r="B73" t="s">
        <v>300</v>
      </c>
    </row>
    <row r="74" spans="1:2" x14ac:dyDescent="0.3">
      <c r="A74" s="267" t="s">
        <v>417</v>
      </c>
      <c r="B74" t="s">
        <v>300</v>
      </c>
    </row>
    <row r="75" spans="1:2" x14ac:dyDescent="0.3">
      <c r="A75" s="267" t="s">
        <v>418</v>
      </c>
      <c r="B75" t="s">
        <v>300</v>
      </c>
    </row>
    <row r="76" spans="1:2" x14ac:dyDescent="0.3">
      <c r="A76" s="267" t="s">
        <v>419</v>
      </c>
      <c r="B76" t="s">
        <v>300</v>
      </c>
    </row>
    <row r="77" spans="1:2" x14ac:dyDescent="0.3">
      <c r="A77" s="267" t="s">
        <v>420</v>
      </c>
      <c r="B77" t="s">
        <v>300</v>
      </c>
    </row>
    <row r="78" spans="1:2" x14ac:dyDescent="0.3">
      <c r="A78" s="267" t="s">
        <v>1079</v>
      </c>
      <c r="B78" t="s">
        <v>300</v>
      </c>
    </row>
    <row r="79" spans="1:2" x14ac:dyDescent="0.3">
      <c r="A79" s="267" t="s">
        <v>421</v>
      </c>
      <c r="B79" t="s">
        <v>300</v>
      </c>
    </row>
    <row r="80" spans="1:2" x14ac:dyDescent="0.3">
      <c r="A80" s="267" t="s">
        <v>422</v>
      </c>
      <c r="B80" t="s">
        <v>301</v>
      </c>
    </row>
    <row r="81" spans="1:2" x14ac:dyDescent="0.3">
      <c r="A81" s="267" t="s">
        <v>423</v>
      </c>
      <c r="B81" t="s">
        <v>301</v>
      </c>
    </row>
    <row r="82" spans="1:2" x14ac:dyDescent="0.3">
      <c r="A82" s="267" t="s">
        <v>424</v>
      </c>
      <c r="B82" t="s">
        <v>301</v>
      </c>
    </row>
    <row r="83" spans="1:2" x14ac:dyDescent="0.3">
      <c r="A83" s="267" t="s">
        <v>425</v>
      </c>
      <c r="B83" t="s">
        <v>301</v>
      </c>
    </row>
    <row r="84" spans="1:2" x14ac:dyDescent="0.3">
      <c r="A84" s="267" t="s">
        <v>426</v>
      </c>
      <c r="B84" t="s">
        <v>301</v>
      </c>
    </row>
    <row r="85" spans="1:2" x14ac:dyDescent="0.3">
      <c r="A85" s="267" t="s">
        <v>427</v>
      </c>
      <c r="B85" t="s">
        <v>301</v>
      </c>
    </row>
    <row r="86" spans="1:2" x14ac:dyDescent="0.3">
      <c r="A86" s="267" t="s">
        <v>428</v>
      </c>
      <c r="B86" t="s">
        <v>289</v>
      </c>
    </row>
    <row r="87" spans="1:2" x14ac:dyDescent="0.3">
      <c r="A87" s="267" t="s">
        <v>288</v>
      </c>
      <c r="B87" t="s">
        <v>289</v>
      </c>
    </row>
    <row r="88" spans="1:2" x14ac:dyDescent="0.3">
      <c r="A88" s="267" t="s">
        <v>429</v>
      </c>
      <c r="B88" t="s">
        <v>289</v>
      </c>
    </row>
    <row r="89" spans="1:2" x14ac:dyDescent="0.3">
      <c r="A89" s="267" t="s">
        <v>430</v>
      </c>
      <c r="B89" t="s">
        <v>289</v>
      </c>
    </row>
    <row r="90" spans="1:2" x14ac:dyDescent="0.3">
      <c r="A90" s="267" t="s">
        <v>431</v>
      </c>
      <c r="B90" t="s">
        <v>289</v>
      </c>
    </row>
    <row r="91" spans="1:2" x14ac:dyDescent="0.3">
      <c r="A91" s="267" t="s">
        <v>432</v>
      </c>
      <c r="B91" t="s">
        <v>289</v>
      </c>
    </row>
    <row r="92" spans="1:2" x14ac:dyDescent="0.3">
      <c r="A92" s="267" t="s">
        <v>433</v>
      </c>
      <c r="B92" t="s">
        <v>289</v>
      </c>
    </row>
    <row r="93" spans="1:2" x14ac:dyDescent="0.3">
      <c r="A93" s="267" t="s">
        <v>434</v>
      </c>
      <c r="B93" t="s">
        <v>289</v>
      </c>
    </row>
    <row r="94" spans="1:2" x14ac:dyDescent="0.3">
      <c r="A94" s="267" t="s">
        <v>435</v>
      </c>
      <c r="B94" t="s">
        <v>289</v>
      </c>
    </row>
    <row r="95" spans="1:2" x14ac:dyDescent="0.3">
      <c r="A95" s="267" t="s">
        <v>436</v>
      </c>
      <c r="B95" t="s">
        <v>289</v>
      </c>
    </row>
    <row r="96" spans="1:2" x14ac:dyDescent="0.3">
      <c r="A96" s="267" t="s">
        <v>437</v>
      </c>
      <c r="B96" t="s">
        <v>289</v>
      </c>
    </row>
    <row r="97" spans="1:2" x14ac:dyDescent="0.3">
      <c r="A97" s="267" t="s">
        <v>438</v>
      </c>
      <c r="B97" t="s">
        <v>289</v>
      </c>
    </row>
    <row r="98" spans="1:2" x14ac:dyDescent="0.3">
      <c r="A98" s="267" t="s">
        <v>439</v>
      </c>
      <c r="B98" t="s">
        <v>289</v>
      </c>
    </row>
    <row r="99" spans="1:2" x14ac:dyDescent="0.3">
      <c r="A99" s="267" t="s">
        <v>440</v>
      </c>
      <c r="B99" t="s">
        <v>289</v>
      </c>
    </row>
    <row r="100" spans="1:2" x14ac:dyDescent="0.3">
      <c r="A100" s="267" t="s">
        <v>441</v>
      </c>
      <c r="B100" t="s">
        <v>289</v>
      </c>
    </row>
    <row r="101" spans="1:2" x14ac:dyDescent="0.3">
      <c r="A101" s="267" t="s">
        <v>442</v>
      </c>
      <c r="B101" t="s">
        <v>289</v>
      </c>
    </row>
    <row r="102" spans="1:2" x14ac:dyDescent="0.3">
      <c r="A102" s="267" t="s">
        <v>443</v>
      </c>
      <c r="B102" t="s">
        <v>289</v>
      </c>
    </row>
    <row r="103" spans="1:2" x14ac:dyDescent="0.3">
      <c r="A103" s="267" t="s">
        <v>444</v>
      </c>
      <c r="B103" t="s">
        <v>289</v>
      </c>
    </row>
    <row r="104" spans="1:2" x14ac:dyDescent="0.3">
      <c r="A104" s="267" t="s">
        <v>445</v>
      </c>
      <c r="B104" t="s">
        <v>289</v>
      </c>
    </row>
    <row r="105" spans="1:2" x14ac:dyDescent="0.3">
      <c r="A105" s="267" t="s">
        <v>446</v>
      </c>
      <c r="B105" t="s">
        <v>289</v>
      </c>
    </row>
    <row r="106" spans="1:2" x14ac:dyDescent="0.3">
      <c r="A106" s="267" t="s">
        <v>447</v>
      </c>
      <c r="B106" t="s">
        <v>289</v>
      </c>
    </row>
    <row r="107" spans="1:2" x14ac:dyDescent="0.3">
      <c r="A107" s="267" t="s">
        <v>448</v>
      </c>
      <c r="B107" t="s">
        <v>289</v>
      </c>
    </row>
    <row r="108" spans="1:2" x14ac:dyDescent="0.3">
      <c r="A108" s="267" t="s">
        <v>449</v>
      </c>
      <c r="B108" t="s">
        <v>289</v>
      </c>
    </row>
    <row r="109" spans="1:2" x14ac:dyDescent="0.3">
      <c r="A109" s="267" t="s">
        <v>450</v>
      </c>
      <c r="B109" t="s">
        <v>289</v>
      </c>
    </row>
    <row r="110" spans="1:2" x14ac:dyDescent="0.3">
      <c r="A110" s="267" t="s">
        <v>451</v>
      </c>
      <c r="B110" t="s">
        <v>289</v>
      </c>
    </row>
    <row r="111" spans="1:2" x14ac:dyDescent="0.3">
      <c r="A111" s="267" t="s">
        <v>452</v>
      </c>
      <c r="B111" t="s">
        <v>289</v>
      </c>
    </row>
    <row r="112" spans="1:2" x14ac:dyDescent="0.3">
      <c r="A112" s="267" t="s">
        <v>453</v>
      </c>
      <c r="B112" t="s">
        <v>289</v>
      </c>
    </row>
    <row r="113" spans="1:2" x14ac:dyDescent="0.3">
      <c r="A113" s="267" t="s">
        <v>454</v>
      </c>
      <c r="B113" t="s">
        <v>289</v>
      </c>
    </row>
    <row r="114" spans="1:2" x14ac:dyDescent="0.3">
      <c r="A114" s="267" t="s">
        <v>455</v>
      </c>
      <c r="B114" t="s">
        <v>289</v>
      </c>
    </row>
    <row r="115" spans="1:2" x14ac:dyDescent="0.3">
      <c r="A115" s="267" t="s">
        <v>456</v>
      </c>
      <c r="B115" t="s">
        <v>302</v>
      </c>
    </row>
    <row r="116" spans="1:2" x14ac:dyDescent="0.3">
      <c r="A116" s="267" t="s">
        <v>457</v>
      </c>
      <c r="B116" t="s">
        <v>302</v>
      </c>
    </row>
    <row r="117" spans="1:2" x14ac:dyDescent="0.3">
      <c r="A117" s="267" t="s">
        <v>458</v>
      </c>
      <c r="B117" t="s">
        <v>303</v>
      </c>
    </row>
    <row r="118" spans="1:2" x14ac:dyDescent="0.3">
      <c r="A118" s="267" t="s">
        <v>459</v>
      </c>
      <c r="B118" t="s">
        <v>303</v>
      </c>
    </row>
    <row r="119" spans="1:2" x14ac:dyDescent="0.3">
      <c r="A119" s="267" t="s">
        <v>460</v>
      </c>
      <c r="B119" t="s">
        <v>303</v>
      </c>
    </row>
    <row r="120" spans="1:2" x14ac:dyDescent="0.3">
      <c r="A120" s="267" t="s">
        <v>461</v>
      </c>
      <c r="B120" t="s">
        <v>303</v>
      </c>
    </row>
    <row r="121" spans="1:2" x14ac:dyDescent="0.3">
      <c r="A121" s="267" t="s">
        <v>462</v>
      </c>
      <c r="B121" t="s">
        <v>303</v>
      </c>
    </row>
    <row r="122" spans="1:2" x14ac:dyDescent="0.3">
      <c r="A122" s="267" t="s">
        <v>463</v>
      </c>
      <c r="B122" t="s">
        <v>303</v>
      </c>
    </row>
    <row r="123" spans="1:2" x14ac:dyDescent="0.3">
      <c r="A123" s="267" t="s">
        <v>464</v>
      </c>
      <c r="B123" t="s">
        <v>303</v>
      </c>
    </row>
    <row r="124" spans="1:2" x14ac:dyDescent="0.3">
      <c r="A124" s="267" t="s">
        <v>465</v>
      </c>
      <c r="B124" t="s">
        <v>303</v>
      </c>
    </row>
    <row r="125" spans="1:2" x14ac:dyDescent="0.3">
      <c r="A125" s="267" t="s">
        <v>466</v>
      </c>
      <c r="B125" t="s">
        <v>303</v>
      </c>
    </row>
    <row r="126" spans="1:2" x14ac:dyDescent="0.3">
      <c r="A126" s="267" t="s">
        <v>467</v>
      </c>
      <c r="B126" t="s">
        <v>303</v>
      </c>
    </row>
    <row r="127" spans="1:2" x14ac:dyDescent="0.3">
      <c r="A127" s="267" t="s">
        <v>468</v>
      </c>
      <c r="B127" t="s">
        <v>304</v>
      </c>
    </row>
    <row r="128" spans="1:2" x14ac:dyDescent="0.3">
      <c r="A128" s="267" t="s">
        <v>469</v>
      </c>
      <c r="B128" t="s">
        <v>304</v>
      </c>
    </row>
    <row r="129" spans="1:2" x14ac:dyDescent="0.3">
      <c r="A129" s="267" t="s">
        <v>470</v>
      </c>
      <c r="B129" t="s">
        <v>304</v>
      </c>
    </row>
    <row r="130" spans="1:2" x14ac:dyDescent="0.3">
      <c r="A130" s="267" t="s">
        <v>471</v>
      </c>
      <c r="B130" t="s">
        <v>304</v>
      </c>
    </row>
    <row r="131" spans="1:2" x14ac:dyDescent="0.3">
      <c r="A131" s="267" t="s">
        <v>472</v>
      </c>
      <c r="B131" t="s">
        <v>304</v>
      </c>
    </row>
    <row r="132" spans="1:2" x14ac:dyDescent="0.3">
      <c r="A132" s="267" t="s">
        <v>473</v>
      </c>
      <c r="B132" t="s">
        <v>304</v>
      </c>
    </row>
    <row r="133" spans="1:2" x14ac:dyDescent="0.3">
      <c r="A133" s="267" t="s">
        <v>474</v>
      </c>
      <c r="B133" t="s">
        <v>304</v>
      </c>
    </row>
    <row r="134" spans="1:2" x14ac:dyDescent="0.3">
      <c r="A134" s="267" t="s">
        <v>475</v>
      </c>
      <c r="B134" t="s">
        <v>304</v>
      </c>
    </row>
    <row r="135" spans="1:2" x14ac:dyDescent="0.3">
      <c r="A135" s="267" t="s">
        <v>476</v>
      </c>
      <c r="B135" t="s">
        <v>304</v>
      </c>
    </row>
    <row r="136" spans="1:2" x14ac:dyDescent="0.3">
      <c r="A136" s="267" t="s">
        <v>477</v>
      </c>
      <c r="B136" t="s">
        <v>304</v>
      </c>
    </row>
    <row r="137" spans="1:2" x14ac:dyDescent="0.3">
      <c r="A137" s="267" t="s">
        <v>478</v>
      </c>
      <c r="B137" t="s">
        <v>304</v>
      </c>
    </row>
    <row r="138" spans="1:2" x14ac:dyDescent="0.3">
      <c r="A138" s="267" t="s">
        <v>479</v>
      </c>
      <c r="B138" t="s">
        <v>304</v>
      </c>
    </row>
    <row r="139" spans="1:2" x14ac:dyDescent="0.3">
      <c r="A139" s="267" t="s">
        <v>480</v>
      </c>
      <c r="B139" t="s">
        <v>304</v>
      </c>
    </row>
    <row r="140" spans="1:2" x14ac:dyDescent="0.3">
      <c r="A140" s="267" t="s">
        <v>481</v>
      </c>
      <c r="B140" t="s">
        <v>304</v>
      </c>
    </row>
    <row r="141" spans="1:2" x14ac:dyDescent="0.3">
      <c r="A141" s="267" t="s">
        <v>482</v>
      </c>
      <c r="B141" t="s">
        <v>304</v>
      </c>
    </row>
    <row r="142" spans="1:2" x14ac:dyDescent="0.3">
      <c r="A142" s="267" t="s">
        <v>483</v>
      </c>
      <c r="B142" t="s">
        <v>304</v>
      </c>
    </row>
    <row r="143" spans="1:2" x14ac:dyDescent="0.3">
      <c r="A143" s="267" t="s">
        <v>484</v>
      </c>
      <c r="B143" t="s">
        <v>305</v>
      </c>
    </row>
    <row r="144" spans="1:2" x14ac:dyDescent="0.3">
      <c r="A144" s="267" t="s">
        <v>485</v>
      </c>
      <c r="B144" t="s">
        <v>305</v>
      </c>
    </row>
    <row r="145" spans="1:2" x14ac:dyDescent="0.3">
      <c r="A145" s="267" t="s">
        <v>486</v>
      </c>
      <c r="B145" t="s">
        <v>305</v>
      </c>
    </row>
    <row r="146" spans="1:2" x14ac:dyDescent="0.3">
      <c r="A146" s="267" t="s">
        <v>487</v>
      </c>
      <c r="B146" t="s">
        <v>305</v>
      </c>
    </row>
    <row r="147" spans="1:2" x14ac:dyDescent="0.3">
      <c r="A147" s="267" t="s">
        <v>488</v>
      </c>
      <c r="B147" t="s">
        <v>305</v>
      </c>
    </row>
    <row r="148" spans="1:2" x14ac:dyDescent="0.3">
      <c r="A148" s="267" t="s">
        <v>489</v>
      </c>
      <c r="B148" t="s">
        <v>306</v>
      </c>
    </row>
    <row r="149" spans="1:2" x14ac:dyDescent="0.3">
      <c r="A149" s="267" t="s">
        <v>490</v>
      </c>
      <c r="B149" t="s">
        <v>306</v>
      </c>
    </row>
    <row r="150" spans="1:2" x14ac:dyDescent="0.3">
      <c r="A150" s="267" t="s">
        <v>491</v>
      </c>
      <c r="B150" t="s">
        <v>307</v>
      </c>
    </row>
    <row r="151" spans="1:2" x14ac:dyDescent="0.3">
      <c r="A151" s="267" t="s">
        <v>492</v>
      </c>
      <c r="B151" t="s">
        <v>307</v>
      </c>
    </row>
    <row r="152" spans="1:2" x14ac:dyDescent="0.3">
      <c r="A152" s="267" t="s">
        <v>493</v>
      </c>
      <c r="B152" t="s">
        <v>307</v>
      </c>
    </row>
    <row r="153" spans="1:2" x14ac:dyDescent="0.3">
      <c r="A153" s="267" t="s">
        <v>494</v>
      </c>
      <c r="B153" t="s">
        <v>307</v>
      </c>
    </row>
    <row r="154" spans="1:2" x14ac:dyDescent="0.3">
      <c r="A154" s="267" t="s">
        <v>495</v>
      </c>
      <c r="B154" t="s">
        <v>307</v>
      </c>
    </row>
    <row r="155" spans="1:2" x14ac:dyDescent="0.3">
      <c r="A155" s="267" t="s">
        <v>496</v>
      </c>
      <c r="B155" t="s">
        <v>307</v>
      </c>
    </row>
    <row r="156" spans="1:2" x14ac:dyDescent="0.3">
      <c r="A156" s="267" t="s">
        <v>497</v>
      </c>
      <c r="B156" t="s">
        <v>307</v>
      </c>
    </row>
    <row r="157" spans="1:2" x14ac:dyDescent="0.3">
      <c r="A157" s="267" t="s">
        <v>498</v>
      </c>
      <c r="B157" t="s">
        <v>307</v>
      </c>
    </row>
    <row r="158" spans="1:2" x14ac:dyDescent="0.3">
      <c r="A158" s="267" t="s">
        <v>499</v>
      </c>
      <c r="B158" t="s">
        <v>307</v>
      </c>
    </row>
    <row r="159" spans="1:2" x14ac:dyDescent="0.3">
      <c r="A159" s="267" t="s">
        <v>500</v>
      </c>
      <c r="B159" t="s">
        <v>307</v>
      </c>
    </row>
    <row r="160" spans="1:2" x14ac:dyDescent="0.3">
      <c r="A160" s="267" t="s">
        <v>501</v>
      </c>
      <c r="B160" t="s">
        <v>307</v>
      </c>
    </row>
    <row r="161" spans="1:2" x14ac:dyDescent="0.3">
      <c r="A161" s="267" t="s">
        <v>502</v>
      </c>
      <c r="B161" t="s">
        <v>307</v>
      </c>
    </row>
    <row r="162" spans="1:2" x14ac:dyDescent="0.3">
      <c r="A162" s="267" t="s">
        <v>503</v>
      </c>
      <c r="B162" t="s">
        <v>307</v>
      </c>
    </row>
    <row r="163" spans="1:2" x14ac:dyDescent="0.3">
      <c r="A163" s="267" t="s">
        <v>504</v>
      </c>
      <c r="B163" t="s">
        <v>307</v>
      </c>
    </row>
    <row r="164" spans="1:2" x14ac:dyDescent="0.3">
      <c r="A164" s="267" t="s">
        <v>505</v>
      </c>
      <c r="B164" t="s">
        <v>307</v>
      </c>
    </row>
    <row r="165" spans="1:2" x14ac:dyDescent="0.3">
      <c r="A165" s="267" t="s">
        <v>506</v>
      </c>
      <c r="B165" t="s">
        <v>307</v>
      </c>
    </row>
    <row r="166" spans="1:2" x14ac:dyDescent="0.3">
      <c r="A166" s="267" t="s">
        <v>507</v>
      </c>
      <c r="B166" t="s">
        <v>307</v>
      </c>
    </row>
    <row r="167" spans="1:2" x14ac:dyDescent="0.3">
      <c r="A167" s="267" t="s">
        <v>508</v>
      </c>
      <c r="B167" t="s">
        <v>307</v>
      </c>
    </row>
    <row r="168" spans="1:2" x14ac:dyDescent="0.3">
      <c r="A168" s="267" t="s">
        <v>509</v>
      </c>
      <c r="B168" t="s">
        <v>307</v>
      </c>
    </row>
    <row r="169" spans="1:2" x14ac:dyDescent="0.3">
      <c r="A169" s="267" t="s">
        <v>510</v>
      </c>
      <c r="B169" t="s">
        <v>307</v>
      </c>
    </row>
    <row r="170" spans="1:2" x14ac:dyDescent="0.3">
      <c r="A170" s="267" t="s">
        <v>511</v>
      </c>
      <c r="B170" t="s">
        <v>307</v>
      </c>
    </row>
    <row r="171" spans="1:2" x14ac:dyDescent="0.3">
      <c r="A171" s="267" t="s">
        <v>512</v>
      </c>
      <c r="B171" t="s">
        <v>307</v>
      </c>
    </row>
    <row r="172" spans="1:2" x14ac:dyDescent="0.3">
      <c r="A172" s="267" t="s">
        <v>513</v>
      </c>
      <c r="B172" t="s">
        <v>308</v>
      </c>
    </row>
    <row r="173" spans="1:2" x14ac:dyDescent="0.3">
      <c r="A173" s="267" t="s">
        <v>514</v>
      </c>
      <c r="B173" t="s">
        <v>308</v>
      </c>
    </row>
    <row r="174" spans="1:2" x14ac:dyDescent="0.3">
      <c r="A174" s="267" t="s">
        <v>515</v>
      </c>
      <c r="B174" t="s">
        <v>308</v>
      </c>
    </row>
    <row r="175" spans="1:2" x14ac:dyDescent="0.3">
      <c r="A175" s="267" t="s">
        <v>516</v>
      </c>
      <c r="B175" t="s">
        <v>308</v>
      </c>
    </row>
    <row r="176" spans="1:2" x14ac:dyDescent="0.3">
      <c r="A176" s="267" t="s">
        <v>517</v>
      </c>
      <c r="B176" t="s">
        <v>308</v>
      </c>
    </row>
    <row r="177" spans="1:2" x14ac:dyDescent="0.3">
      <c r="A177" s="267" t="s">
        <v>518</v>
      </c>
      <c r="B177" t="s">
        <v>308</v>
      </c>
    </row>
    <row r="178" spans="1:2" x14ac:dyDescent="0.3">
      <c r="A178" s="267" t="s">
        <v>519</v>
      </c>
      <c r="B178" t="s">
        <v>308</v>
      </c>
    </row>
    <row r="179" spans="1:2" x14ac:dyDescent="0.3">
      <c r="A179" s="267" t="s">
        <v>520</v>
      </c>
      <c r="B179" t="s">
        <v>308</v>
      </c>
    </row>
    <row r="180" spans="1:2" x14ac:dyDescent="0.3">
      <c r="A180" s="267" t="s">
        <v>521</v>
      </c>
      <c r="B180" t="s">
        <v>308</v>
      </c>
    </row>
    <row r="181" spans="1:2" x14ac:dyDescent="0.3">
      <c r="A181" s="267" t="s">
        <v>522</v>
      </c>
      <c r="B181" t="s">
        <v>308</v>
      </c>
    </row>
    <row r="182" spans="1:2" x14ac:dyDescent="0.3">
      <c r="A182" s="267" t="s">
        <v>523</v>
      </c>
      <c r="B182" t="s">
        <v>308</v>
      </c>
    </row>
    <row r="183" spans="1:2" x14ac:dyDescent="0.3">
      <c r="A183" s="267" t="s">
        <v>524</v>
      </c>
      <c r="B183" t="s">
        <v>308</v>
      </c>
    </row>
    <row r="184" spans="1:2" x14ac:dyDescent="0.3">
      <c r="A184" s="267" t="s">
        <v>525</v>
      </c>
      <c r="B184" t="s">
        <v>308</v>
      </c>
    </row>
    <row r="185" spans="1:2" x14ac:dyDescent="0.3">
      <c r="A185" s="267" t="s">
        <v>526</v>
      </c>
      <c r="B185" t="s">
        <v>308</v>
      </c>
    </row>
    <row r="186" spans="1:2" x14ac:dyDescent="0.3">
      <c r="A186" s="267" t="s">
        <v>527</v>
      </c>
      <c r="B186" t="s">
        <v>308</v>
      </c>
    </row>
    <row r="187" spans="1:2" x14ac:dyDescent="0.3">
      <c r="A187" s="267" t="s">
        <v>528</v>
      </c>
      <c r="B187" t="s">
        <v>308</v>
      </c>
    </row>
    <row r="188" spans="1:2" x14ac:dyDescent="0.3">
      <c r="A188" s="267" t="s">
        <v>529</v>
      </c>
      <c r="B188" t="s">
        <v>309</v>
      </c>
    </row>
    <row r="189" spans="1:2" x14ac:dyDescent="0.3">
      <c r="A189" s="267" t="s">
        <v>530</v>
      </c>
      <c r="B189" t="s">
        <v>309</v>
      </c>
    </row>
    <row r="190" spans="1:2" x14ac:dyDescent="0.3">
      <c r="A190" s="267" t="s">
        <v>531</v>
      </c>
      <c r="B190" t="s">
        <v>309</v>
      </c>
    </row>
    <row r="191" spans="1:2" x14ac:dyDescent="0.3">
      <c r="A191" s="267" t="s">
        <v>532</v>
      </c>
      <c r="B191" t="s">
        <v>309</v>
      </c>
    </row>
    <row r="192" spans="1:2" x14ac:dyDescent="0.3">
      <c r="A192" s="267" t="s">
        <v>533</v>
      </c>
      <c r="B192" t="s">
        <v>309</v>
      </c>
    </row>
    <row r="193" spans="1:2" x14ac:dyDescent="0.3">
      <c r="A193" s="267" t="s">
        <v>534</v>
      </c>
      <c r="B193" t="s">
        <v>309</v>
      </c>
    </row>
    <row r="194" spans="1:2" x14ac:dyDescent="0.3">
      <c r="A194" s="267" t="s">
        <v>535</v>
      </c>
      <c r="B194" t="s">
        <v>309</v>
      </c>
    </row>
    <row r="195" spans="1:2" x14ac:dyDescent="0.3">
      <c r="A195" s="267" t="s">
        <v>536</v>
      </c>
      <c r="B195" t="s">
        <v>309</v>
      </c>
    </row>
    <row r="196" spans="1:2" x14ac:dyDescent="0.3">
      <c r="A196" s="267" t="s">
        <v>537</v>
      </c>
      <c r="B196" t="s">
        <v>309</v>
      </c>
    </row>
    <row r="197" spans="1:2" x14ac:dyDescent="0.3">
      <c r="A197" s="267" t="s">
        <v>538</v>
      </c>
      <c r="B197" t="s">
        <v>309</v>
      </c>
    </row>
    <row r="198" spans="1:2" x14ac:dyDescent="0.3">
      <c r="A198" s="267" t="s">
        <v>539</v>
      </c>
      <c r="B198" t="s">
        <v>309</v>
      </c>
    </row>
    <row r="199" spans="1:2" x14ac:dyDescent="0.3">
      <c r="A199" s="267" t="s">
        <v>540</v>
      </c>
      <c r="B199" t="s">
        <v>309</v>
      </c>
    </row>
    <row r="200" spans="1:2" x14ac:dyDescent="0.3">
      <c r="A200" s="267" t="s">
        <v>541</v>
      </c>
      <c r="B200" t="s">
        <v>310</v>
      </c>
    </row>
    <row r="201" spans="1:2" x14ac:dyDescent="0.3">
      <c r="A201" s="267" t="s">
        <v>542</v>
      </c>
      <c r="B201" t="s">
        <v>310</v>
      </c>
    </row>
    <row r="202" spans="1:2" x14ac:dyDescent="0.3">
      <c r="A202" s="267" t="s">
        <v>543</v>
      </c>
      <c r="B202" t="s">
        <v>310</v>
      </c>
    </row>
    <row r="203" spans="1:2" x14ac:dyDescent="0.3">
      <c r="A203" s="267" t="s">
        <v>544</v>
      </c>
      <c r="B203" t="s">
        <v>311</v>
      </c>
    </row>
    <row r="204" spans="1:2" x14ac:dyDescent="0.3">
      <c r="A204" s="267" t="s">
        <v>545</v>
      </c>
      <c r="B204" t="s">
        <v>311</v>
      </c>
    </row>
    <row r="205" spans="1:2" x14ac:dyDescent="0.3">
      <c r="A205" s="267" t="s">
        <v>546</v>
      </c>
      <c r="B205" t="s">
        <v>311</v>
      </c>
    </row>
    <row r="206" spans="1:2" x14ac:dyDescent="0.3">
      <c r="A206" s="267" t="s">
        <v>547</v>
      </c>
      <c r="B206" t="s">
        <v>311</v>
      </c>
    </row>
    <row r="207" spans="1:2" x14ac:dyDescent="0.3">
      <c r="A207" s="267" t="s">
        <v>548</v>
      </c>
      <c r="B207" t="s">
        <v>311</v>
      </c>
    </row>
    <row r="208" spans="1:2" x14ac:dyDescent="0.3">
      <c r="A208" s="267" t="s">
        <v>549</v>
      </c>
      <c r="B208" t="s">
        <v>311</v>
      </c>
    </row>
    <row r="209" spans="1:2" x14ac:dyDescent="0.3">
      <c r="A209" s="267" t="s">
        <v>550</v>
      </c>
      <c r="B209" t="s">
        <v>311</v>
      </c>
    </row>
    <row r="210" spans="1:2" x14ac:dyDescent="0.3">
      <c r="A210" s="267" t="s">
        <v>551</v>
      </c>
      <c r="B210" t="s">
        <v>311</v>
      </c>
    </row>
    <row r="211" spans="1:2" x14ac:dyDescent="0.3">
      <c r="A211" s="267" t="s">
        <v>552</v>
      </c>
      <c r="B211" t="s">
        <v>311</v>
      </c>
    </row>
    <row r="212" spans="1:2" x14ac:dyDescent="0.3">
      <c r="A212" s="267" t="s">
        <v>553</v>
      </c>
      <c r="B212" t="s">
        <v>311</v>
      </c>
    </row>
    <row r="213" spans="1:2" x14ac:dyDescent="0.3">
      <c r="A213" s="267" t="s">
        <v>554</v>
      </c>
      <c r="B213" t="s">
        <v>311</v>
      </c>
    </row>
    <row r="214" spans="1:2" x14ac:dyDescent="0.3">
      <c r="A214" s="267" t="s">
        <v>555</v>
      </c>
      <c r="B214" t="s">
        <v>311</v>
      </c>
    </row>
    <row r="215" spans="1:2" x14ac:dyDescent="0.3">
      <c r="A215" s="267" t="s">
        <v>556</v>
      </c>
      <c r="B215" t="s">
        <v>311</v>
      </c>
    </row>
    <row r="216" spans="1:2" x14ac:dyDescent="0.3">
      <c r="A216" s="267" t="s">
        <v>557</v>
      </c>
      <c r="B216" t="s">
        <v>312</v>
      </c>
    </row>
    <row r="217" spans="1:2" x14ac:dyDescent="0.3">
      <c r="A217" s="267" t="s">
        <v>558</v>
      </c>
      <c r="B217" t="s">
        <v>312</v>
      </c>
    </row>
    <row r="218" spans="1:2" x14ac:dyDescent="0.3">
      <c r="A218" s="267" t="s">
        <v>559</v>
      </c>
      <c r="B218" t="s">
        <v>312</v>
      </c>
    </row>
    <row r="219" spans="1:2" x14ac:dyDescent="0.3">
      <c r="A219" s="267" t="s">
        <v>560</v>
      </c>
      <c r="B219" t="s">
        <v>312</v>
      </c>
    </row>
    <row r="220" spans="1:2" x14ac:dyDescent="0.3">
      <c r="A220" s="267" t="s">
        <v>561</v>
      </c>
      <c r="B220" t="s">
        <v>312</v>
      </c>
    </row>
    <row r="221" spans="1:2" x14ac:dyDescent="0.3">
      <c r="A221" s="267" t="s">
        <v>562</v>
      </c>
      <c r="B221" t="s">
        <v>312</v>
      </c>
    </row>
    <row r="222" spans="1:2" x14ac:dyDescent="0.3">
      <c r="A222" s="267" t="s">
        <v>563</v>
      </c>
      <c r="B222" t="s">
        <v>312</v>
      </c>
    </row>
    <row r="223" spans="1:2" x14ac:dyDescent="0.3">
      <c r="A223" s="267" t="s">
        <v>564</v>
      </c>
      <c r="B223" t="s">
        <v>312</v>
      </c>
    </row>
    <row r="224" spans="1:2" x14ac:dyDescent="0.3">
      <c r="A224" s="267" t="s">
        <v>565</v>
      </c>
      <c r="B224" t="s">
        <v>312</v>
      </c>
    </row>
    <row r="225" spans="1:2" x14ac:dyDescent="0.3">
      <c r="A225" s="267" t="s">
        <v>566</v>
      </c>
      <c r="B225" t="s">
        <v>312</v>
      </c>
    </row>
    <row r="226" spans="1:2" x14ac:dyDescent="0.3">
      <c r="A226" s="267" t="s">
        <v>567</v>
      </c>
      <c r="B226" t="s">
        <v>312</v>
      </c>
    </row>
    <row r="227" spans="1:2" x14ac:dyDescent="0.3">
      <c r="A227" s="267" t="s">
        <v>568</v>
      </c>
      <c r="B227" t="s">
        <v>312</v>
      </c>
    </row>
    <row r="228" spans="1:2" x14ac:dyDescent="0.3">
      <c r="A228" s="267" t="s">
        <v>569</v>
      </c>
      <c r="B228" t="s">
        <v>312</v>
      </c>
    </row>
    <row r="229" spans="1:2" x14ac:dyDescent="0.3">
      <c r="A229" s="267" t="s">
        <v>570</v>
      </c>
      <c r="B229" t="s">
        <v>312</v>
      </c>
    </row>
    <row r="230" spans="1:2" x14ac:dyDescent="0.3">
      <c r="A230" s="267" t="s">
        <v>571</v>
      </c>
      <c r="B230" t="s">
        <v>312</v>
      </c>
    </row>
    <row r="231" spans="1:2" x14ac:dyDescent="0.3">
      <c r="A231" s="267" t="s">
        <v>572</v>
      </c>
      <c r="B231" t="s">
        <v>312</v>
      </c>
    </row>
    <row r="232" spans="1:2" x14ac:dyDescent="0.3">
      <c r="A232" s="267" t="s">
        <v>573</v>
      </c>
      <c r="B232" t="s">
        <v>312</v>
      </c>
    </row>
    <row r="233" spans="1:2" x14ac:dyDescent="0.3">
      <c r="A233" s="267" t="s">
        <v>574</v>
      </c>
      <c r="B233" t="s">
        <v>312</v>
      </c>
    </row>
    <row r="234" spans="1:2" x14ac:dyDescent="0.3">
      <c r="A234" s="267" t="s">
        <v>575</v>
      </c>
      <c r="B234" t="s">
        <v>312</v>
      </c>
    </row>
    <row r="235" spans="1:2" x14ac:dyDescent="0.3">
      <c r="A235" s="267" t="s">
        <v>576</v>
      </c>
      <c r="B235" t="s">
        <v>312</v>
      </c>
    </row>
    <row r="236" spans="1:2" x14ac:dyDescent="0.3">
      <c r="A236" s="267" t="s">
        <v>577</v>
      </c>
      <c r="B236" t="s">
        <v>312</v>
      </c>
    </row>
    <row r="237" spans="1:2" x14ac:dyDescent="0.3">
      <c r="A237" s="267" t="s">
        <v>578</v>
      </c>
      <c r="B237" t="s">
        <v>312</v>
      </c>
    </row>
    <row r="238" spans="1:2" x14ac:dyDescent="0.3">
      <c r="A238" s="267" t="s">
        <v>579</v>
      </c>
      <c r="B238" t="s">
        <v>312</v>
      </c>
    </row>
    <row r="239" spans="1:2" x14ac:dyDescent="0.3">
      <c r="A239" s="267" t="s">
        <v>580</v>
      </c>
      <c r="B239" t="s">
        <v>312</v>
      </c>
    </row>
    <row r="240" spans="1:2" x14ac:dyDescent="0.3">
      <c r="A240" s="267" t="s">
        <v>581</v>
      </c>
      <c r="B240" t="s">
        <v>312</v>
      </c>
    </row>
    <row r="241" spans="1:2" x14ac:dyDescent="0.3">
      <c r="A241" s="267" t="s">
        <v>582</v>
      </c>
      <c r="B241" t="s">
        <v>312</v>
      </c>
    </row>
    <row r="242" spans="1:2" x14ac:dyDescent="0.3">
      <c r="A242" s="267" t="s">
        <v>583</v>
      </c>
      <c r="B242" t="s">
        <v>312</v>
      </c>
    </row>
    <row r="243" spans="1:2" x14ac:dyDescent="0.3">
      <c r="A243" s="267" t="s">
        <v>584</v>
      </c>
      <c r="B243" t="s">
        <v>312</v>
      </c>
    </row>
    <row r="244" spans="1:2" x14ac:dyDescent="0.3">
      <c r="A244" s="267" t="s">
        <v>585</v>
      </c>
      <c r="B244" t="s">
        <v>312</v>
      </c>
    </row>
    <row r="245" spans="1:2" x14ac:dyDescent="0.3">
      <c r="A245" s="267" t="s">
        <v>586</v>
      </c>
      <c r="B245" t="s">
        <v>312</v>
      </c>
    </row>
    <row r="246" spans="1:2" x14ac:dyDescent="0.3">
      <c r="A246" s="267" t="s">
        <v>587</v>
      </c>
      <c r="B246" t="s">
        <v>313</v>
      </c>
    </row>
    <row r="247" spans="1:2" x14ac:dyDescent="0.3">
      <c r="A247" s="267" t="s">
        <v>588</v>
      </c>
      <c r="B247" t="s">
        <v>313</v>
      </c>
    </row>
    <row r="248" spans="1:2" x14ac:dyDescent="0.3">
      <c r="A248" s="267" t="s">
        <v>589</v>
      </c>
      <c r="B248" t="s">
        <v>313</v>
      </c>
    </row>
    <row r="249" spans="1:2" x14ac:dyDescent="0.3">
      <c r="A249" s="267" t="s">
        <v>590</v>
      </c>
      <c r="B249" t="s">
        <v>313</v>
      </c>
    </row>
    <row r="250" spans="1:2" x14ac:dyDescent="0.3">
      <c r="A250" s="267" t="s">
        <v>591</v>
      </c>
      <c r="B250" t="s">
        <v>313</v>
      </c>
    </row>
    <row r="251" spans="1:2" x14ac:dyDescent="0.3">
      <c r="A251" s="267" t="s">
        <v>592</v>
      </c>
      <c r="B251" t="s">
        <v>313</v>
      </c>
    </row>
    <row r="252" spans="1:2" x14ac:dyDescent="0.3">
      <c r="A252" s="267" t="s">
        <v>593</v>
      </c>
      <c r="B252" t="s">
        <v>313</v>
      </c>
    </row>
    <row r="253" spans="1:2" x14ac:dyDescent="0.3">
      <c r="A253" s="267" t="s">
        <v>594</v>
      </c>
      <c r="B253" t="s">
        <v>313</v>
      </c>
    </row>
    <row r="254" spans="1:2" x14ac:dyDescent="0.3">
      <c r="A254" s="267" t="s">
        <v>595</v>
      </c>
      <c r="B254" t="s">
        <v>313</v>
      </c>
    </row>
    <row r="255" spans="1:2" x14ac:dyDescent="0.3">
      <c r="A255" s="267" t="s">
        <v>596</v>
      </c>
      <c r="B255" t="s">
        <v>313</v>
      </c>
    </row>
    <row r="256" spans="1:2" x14ac:dyDescent="0.3">
      <c r="A256" s="267" t="s">
        <v>597</v>
      </c>
      <c r="B256" t="s">
        <v>313</v>
      </c>
    </row>
    <row r="257" spans="1:2" x14ac:dyDescent="0.3">
      <c r="A257" s="267" t="s">
        <v>598</v>
      </c>
      <c r="B257" t="s">
        <v>313</v>
      </c>
    </row>
    <row r="258" spans="1:2" x14ac:dyDescent="0.3">
      <c r="A258" s="267" t="s">
        <v>599</v>
      </c>
      <c r="B258" t="s">
        <v>313</v>
      </c>
    </row>
    <row r="259" spans="1:2" x14ac:dyDescent="0.3">
      <c r="A259" s="267" t="s">
        <v>600</v>
      </c>
      <c r="B259" t="s">
        <v>313</v>
      </c>
    </row>
    <row r="260" spans="1:2" x14ac:dyDescent="0.3">
      <c r="A260" s="267" t="s">
        <v>601</v>
      </c>
      <c r="B260" t="s">
        <v>284</v>
      </c>
    </row>
    <row r="261" spans="1:2" x14ac:dyDescent="0.3">
      <c r="A261" s="267" t="s">
        <v>602</v>
      </c>
      <c r="B261" t="s">
        <v>284</v>
      </c>
    </row>
    <row r="262" spans="1:2" x14ac:dyDescent="0.3">
      <c r="A262" s="267" t="s">
        <v>603</v>
      </c>
      <c r="B262" t="s">
        <v>284</v>
      </c>
    </row>
    <row r="263" spans="1:2" x14ac:dyDescent="0.3">
      <c r="A263" s="267" t="s">
        <v>604</v>
      </c>
      <c r="B263" t="s">
        <v>284</v>
      </c>
    </row>
    <row r="264" spans="1:2" x14ac:dyDescent="0.3">
      <c r="A264" s="267" t="s">
        <v>605</v>
      </c>
      <c r="B264" t="s">
        <v>284</v>
      </c>
    </row>
    <row r="265" spans="1:2" x14ac:dyDescent="0.3">
      <c r="A265" s="267" t="s">
        <v>606</v>
      </c>
      <c r="B265" t="s">
        <v>284</v>
      </c>
    </row>
    <row r="266" spans="1:2" x14ac:dyDescent="0.3">
      <c r="A266" s="267" t="s">
        <v>607</v>
      </c>
      <c r="B266" t="s">
        <v>284</v>
      </c>
    </row>
    <row r="267" spans="1:2" x14ac:dyDescent="0.3">
      <c r="A267" s="267" t="s">
        <v>608</v>
      </c>
      <c r="B267" t="s">
        <v>284</v>
      </c>
    </row>
    <row r="268" spans="1:2" x14ac:dyDescent="0.3">
      <c r="A268" s="267" t="s">
        <v>609</v>
      </c>
      <c r="B268" t="s">
        <v>284</v>
      </c>
    </row>
    <row r="269" spans="1:2" x14ac:dyDescent="0.3">
      <c r="A269" s="267" t="s">
        <v>610</v>
      </c>
      <c r="B269" t="s">
        <v>284</v>
      </c>
    </row>
    <row r="270" spans="1:2" x14ac:dyDescent="0.3">
      <c r="A270" s="267" t="s">
        <v>611</v>
      </c>
      <c r="B270" t="s">
        <v>284</v>
      </c>
    </row>
    <row r="271" spans="1:2" x14ac:dyDescent="0.3">
      <c r="A271" s="267" t="s">
        <v>612</v>
      </c>
      <c r="B271" t="s">
        <v>284</v>
      </c>
    </row>
    <row r="272" spans="1:2" x14ac:dyDescent="0.3">
      <c r="A272" s="267" t="s">
        <v>613</v>
      </c>
      <c r="B272" t="s">
        <v>284</v>
      </c>
    </row>
    <row r="273" spans="1:2" x14ac:dyDescent="0.3">
      <c r="A273" s="267" t="s">
        <v>614</v>
      </c>
      <c r="B273" t="s">
        <v>284</v>
      </c>
    </row>
    <row r="274" spans="1:2" x14ac:dyDescent="0.3">
      <c r="A274" s="267" t="s">
        <v>615</v>
      </c>
      <c r="B274" t="s">
        <v>284</v>
      </c>
    </row>
    <row r="275" spans="1:2" x14ac:dyDescent="0.3">
      <c r="A275" s="267" t="s">
        <v>616</v>
      </c>
      <c r="B275" t="s">
        <v>284</v>
      </c>
    </row>
    <row r="276" spans="1:2" x14ac:dyDescent="0.3">
      <c r="A276" s="267" t="s">
        <v>617</v>
      </c>
      <c r="B276" t="s">
        <v>284</v>
      </c>
    </row>
    <row r="277" spans="1:2" x14ac:dyDescent="0.3">
      <c r="A277" s="267" t="s">
        <v>618</v>
      </c>
      <c r="B277" t="s">
        <v>284</v>
      </c>
    </row>
    <row r="278" spans="1:2" x14ac:dyDescent="0.3">
      <c r="A278" s="267" t="s">
        <v>283</v>
      </c>
      <c r="B278" t="s">
        <v>284</v>
      </c>
    </row>
    <row r="279" spans="1:2" x14ac:dyDescent="0.3">
      <c r="A279" s="267" t="s">
        <v>619</v>
      </c>
      <c r="B279" t="s">
        <v>284</v>
      </c>
    </row>
    <row r="280" spans="1:2" x14ac:dyDescent="0.3">
      <c r="A280" s="267" t="s">
        <v>620</v>
      </c>
      <c r="B280" t="s">
        <v>284</v>
      </c>
    </row>
    <row r="281" spans="1:2" x14ac:dyDescent="0.3">
      <c r="A281" s="267" t="s">
        <v>621</v>
      </c>
      <c r="B281" t="s">
        <v>284</v>
      </c>
    </row>
    <row r="282" spans="1:2" x14ac:dyDescent="0.3">
      <c r="A282" s="267" t="s">
        <v>622</v>
      </c>
      <c r="B282" t="s">
        <v>284</v>
      </c>
    </row>
    <row r="283" spans="1:2" x14ac:dyDescent="0.3">
      <c r="A283" s="267" t="s">
        <v>623</v>
      </c>
      <c r="B283" t="s">
        <v>284</v>
      </c>
    </row>
    <row r="284" spans="1:2" x14ac:dyDescent="0.3">
      <c r="A284" s="267" t="s">
        <v>624</v>
      </c>
      <c r="B284" t="s">
        <v>314</v>
      </c>
    </row>
    <row r="285" spans="1:2" x14ac:dyDescent="0.3">
      <c r="A285" s="267" t="s">
        <v>625</v>
      </c>
      <c r="B285" t="s">
        <v>314</v>
      </c>
    </row>
    <row r="286" spans="1:2" x14ac:dyDescent="0.3">
      <c r="A286" s="267" t="s">
        <v>626</v>
      </c>
      <c r="B286" t="s">
        <v>314</v>
      </c>
    </row>
    <row r="287" spans="1:2" x14ac:dyDescent="0.3">
      <c r="A287" s="267" t="s">
        <v>627</v>
      </c>
      <c r="B287" t="s">
        <v>314</v>
      </c>
    </row>
    <row r="288" spans="1:2" x14ac:dyDescent="0.3">
      <c r="A288" s="267" t="s">
        <v>628</v>
      </c>
      <c r="B288" t="s">
        <v>314</v>
      </c>
    </row>
    <row r="289" spans="1:2" x14ac:dyDescent="0.3">
      <c r="A289" s="267" t="s">
        <v>629</v>
      </c>
      <c r="B289" t="s">
        <v>314</v>
      </c>
    </row>
    <row r="290" spans="1:2" x14ac:dyDescent="0.3">
      <c r="A290" s="267" t="s">
        <v>630</v>
      </c>
      <c r="B290" t="s">
        <v>314</v>
      </c>
    </row>
    <row r="291" spans="1:2" x14ac:dyDescent="0.3">
      <c r="A291" s="267" t="s">
        <v>631</v>
      </c>
      <c r="B291" t="s">
        <v>314</v>
      </c>
    </row>
    <row r="292" spans="1:2" x14ac:dyDescent="0.3">
      <c r="A292" s="267" t="s">
        <v>632</v>
      </c>
      <c r="B292" t="s">
        <v>314</v>
      </c>
    </row>
    <row r="293" spans="1:2" x14ac:dyDescent="0.3">
      <c r="A293" s="267" t="s">
        <v>633</v>
      </c>
      <c r="B293" t="s">
        <v>314</v>
      </c>
    </row>
    <row r="294" spans="1:2" x14ac:dyDescent="0.3">
      <c r="A294" s="267" t="s">
        <v>634</v>
      </c>
      <c r="B294" t="s">
        <v>314</v>
      </c>
    </row>
    <row r="295" spans="1:2" x14ac:dyDescent="0.3">
      <c r="A295" s="267" t="s">
        <v>635</v>
      </c>
      <c r="B295" t="s">
        <v>314</v>
      </c>
    </row>
    <row r="296" spans="1:2" x14ac:dyDescent="0.3">
      <c r="A296" s="267" t="s">
        <v>636</v>
      </c>
      <c r="B296" t="s">
        <v>314</v>
      </c>
    </row>
    <row r="297" spans="1:2" x14ac:dyDescent="0.3">
      <c r="A297" s="267" t="s">
        <v>637</v>
      </c>
      <c r="B297" t="s">
        <v>314</v>
      </c>
    </row>
    <row r="298" spans="1:2" x14ac:dyDescent="0.3">
      <c r="A298" s="267" t="s">
        <v>638</v>
      </c>
      <c r="B298" t="s">
        <v>314</v>
      </c>
    </row>
    <row r="299" spans="1:2" x14ac:dyDescent="0.3">
      <c r="A299" s="267" t="s">
        <v>639</v>
      </c>
      <c r="B299" t="s">
        <v>314</v>
      </c>
    </row>
    <row r="300" spans="1:2" x14ac:dyDescent="0.3">
      <c r="A300" s="267" t="s">
        <v>640</v>
      </c>
      <c r="B300" t="s">
        <v>314</v>
      </c>
    </row>
    <row r="301" spans="1:2" x14ac:dyDescent="0.3">
      <c r="A301" s="267" t="s">
        <v>641</v>
      </c>
      <c r="B301" t="s">
        <v>314</v>
      </c>
    </row>
    <row r="302" spans="1:2" x14ac:dyDescent="0.3">
      <c r="A302" s="267" t="s">
        <v>642</v>
      </c>
      <c r="B302" t="s">
        <v>314</v>
      </c>
    </row>
    <row r="303" spans="1:2" x14ac:dyDescent="0.3">
      <c r="A303" s="267" t="s">
        <v>643</v>
      </c>
      <c r="B303" t="s">
        <v>315</v>
      </c>
    </row>
    <row r="304" spans="1:2" x14ac:dyDescent="0.3">
      <c r="A304" s="267" t="s">
        <v>644</v>
      </c>
      <c r="B304" t="s">
        <v>315</v>
      </c>
    </row>
    <row r="305" spans="1:2" x14ac:dyDescent="0.3">
      <c r="A305" s="267" t="s">
        <v>645</v>
      </c>
      <c r="B305" t="s">
        <v>315</v>
      </c>
    </row>
    <row r="306" spans="1:2" x14ac:dyDescent="0.3">
      <c r="A306" s="267" t="s">
        <v>646</v>
      </c>
      <c r="B306" t="s">
        <v>315</v>
      </c>
    </row>
    <row r="307" spans="1:2" x14ac:dyDescent="0.3">
      <c r="A307" s="267" t="s">
        <v>647</v>
      </c>
      <c r="B307" t="s">
        <v>315</v>
      </c>
    </row>
    <row r="308" spans="1:2" x14ac:dyDescent="0.3">
      <c r="A308" s="267" t="s">
        <v>648</v>
      </c>
      <c r="B308" t="s">
        <v>315</v>
      </c>
    </row>
    <row r="309" spans="1:2" x14ac:dyDescent="0.3">
      <c r="A309" s="267" t="s">
        <v>649</v>
      </c>
      <c r="B309" t="s">
        <v>315</v>
      </c>
    </row>
    <row r="310" spans="1:2" x14ac:dyDescent="0.3">
      <c r="A310" s="267" t="s">
        <v>650</v>
      </c>
      <c r="B310" t="s">
        <v>315</v>
      </c>
    </row>
    <row r="311" spans="1:2" x14ac:dyDescent="0.3">
      <c r="A311" s="267" t="s">
        <v>651</v>
      </c>
      <c r="B311" t="s">
        <v>315</v>
      </c>
    </row>
    <row r="312" spans="1:2" x14ac:dyDescent="0.3">
      <c r="A312" s="267" t="s">
        <v>652</v>
      </c>
      <c r="B312" t="s">
        <v>316</v>
      </c>
    </row>
    <row r="313" spans="1:2" x14ac:dyDescent="0.3">
      <c r="A313" s="267" t="s">
        <v>653</v>
      </c>
      <c r="B313" t="s">
        <v>316</v>
      </c>
    </row>
    <row r="314" spans="1:2" x14ac:dyDescent="0.3">
      <c r="A314" s="267" t="s">
        <v>654</v>
      </c>
      <c r="B314" t="s">
        <v>316</v>
      </c>
    </row>
    <row r="315" spans="1:2" x14ac:dyDescent="0.3">
      <c r="A315" s="267" t="s">
        <v>655</v>
      </c>
      <c r="B315" t="s">
        <v>316</v>
      </c>
    </row>
    <row r="316" spans="1:2" x14ac:dyDescent="0.3">
      <c r="A316" s="267" t="s">
        <v>656</v>
      </c>
      <c r="B316" t="s">
        <v>293</v>
      </c>
    </row>
    <row r="317" spans="1:2" x14ac:dyDescent="0.3">
      <c r="A317" s="267" t="s">
        <v>657</v>
      </c>
      <c r="B317" t="s">
        <v>293</v>
      </c>
    </row>
    <row r="318" spans="1:2" x14ac:dyDescent="0.3">
      <c r="A318" s="267" t="s">
        <v>658</v>
      </c>
      <c r="B318" t="s">
        <v>293</v>
      </c>
    </row>
    <row r="319" spans="1:2" x14ac:dyDescent="0.3">
      <c r="A319" s="267" t="s">
        <v>659</v>
      </c>
      <c r="B319" t="s">
        <v>293</v>
      </c>
    </row>
    <row r="320" spans="1:2" x14ac:dyDescent="0.3">
      <c r="A320" s="267" t="s">
        <v>292</v>
      </c>
      <c r="B320" t="s">
        <v>293</v>
      </c>
    </row>
    <row r="321" spans="1:2" x14ac:dyDescent="0.3">
      <c r="A321" s="267" t="s">
        <v>660</v>
      </c>
      <c r="B321" t="s">
        <v>293</v>
      </c>
    </row>
    <row r="322" spans="1:2" x14ac:dyDescent="0.3">
      <c r="A322" s="267" t="s">
        <v>661</v>
      </c>
      <c r="B322" t="s">
        <v>293</v>
      </c>
    </row>
    <row r="323" spans="1:2" x14ac:dyDescent="0.3">
      <c r="A323" s="267" t="s">
        <v>662</v>
      </c>
      <c r="B323" t="s">
        <v>317</v>
      </c>
    </row>
    <row r="324" spans="1:2" x14ac:dyDescent="0.3">
      <c r="A324" s="267" t="s">
        <v>663</v>
      </c>
      <c r="B324" t="s">
        <v>317</v>
      </c>
    </row>
    <row r="325" spans="1:2" x14ac:dyDescent="0.3">
      <c r="A325" s="267" t="s">
        <v>664</v>
      </c>
      <c r="B325" t="s">
        <v>317</v>
      </c>
    </row>
    <row r="326" spans="1:2" x14ac:dyDescent="0.3">
      <c r="A326" s="267" t="s">
        <v>665</v>
      </c>
      <c r="B326" t="s">
        <v>317</v>
      </c>
    </row>
    <row r="327" spans="1:2" x14ac:dyDescent="0.3">
      <c r="A327" s="267" t="s">
        <v>666</v>
      </c>
      <c r="B327" t="s">
        <v>317</v>
      </c>
    </row>
    <row r="328" spans="1:2" x14ac:dyDescent="0.3">
      <c r="A328" s="267" t="s">
        <v>667</v>
      </c>
      <c r="B328" t="s">
        <v>317</v>
      </c>
    </row>
    <row r="329" spans="1:2" x14ac:dyDescent="0.3">
      <c r="A329" s="267" t="s">
        <v>668</v>
      </c>
      <c r="B329" t="s">
        <v>317</v>
      </c>
    </row>
    <row r="330" spans="1:2" x14ac:dyDescent="0.3">
      <c r="A330" s="267" t="s">
        <v>669</v>
      </c>
      <c r="B330" t="s">
        <v>318</v>
      </c>
    </row>
    <row r="331" spans="1:2" x14ac:dyDescent="0.3">
      <c r="A331" s="267" t="s">
        <v>670</v>
      </c>
      <c r="B331" t="s">
        <v>318</v>
      </c>
    </row>
    <row r="332" spans="1:2" x14ac:dyDescent="0.3">
      <c r="A332" s="267" t="s">
        <v>671</v>
      </c>
      <c r="B332" t="s">
        <v>318</v>
      </c>
    </row>
    <row r="333" spans="1:2" x14ac:dyDescent="0.3">
      <c r="A333" s="267" t="s">
        <v>672</v>
      </c>
      <c r="B333" t="s">
        <v>318</v>
      </c>
    </row>
    <row r="334" spans="1:2" x14ac:dyDescent="0.3">
      <c r="A334" s="267" t="s">
        <v>673</v>
      </c>
      <c r="B334" t="s">
        <v>318</v>
      </c>
    </row>
    <row r="335" spans="1:2" x14ac:dyDescent="0.3">
      <c r="A335" s="267" t="s">
        <v>674</v>
      </c>
      <c r="B335" t="s">
        <v>318</v>
      </c>
    </row>
    <row r="336" spans="1:2" x14ac:dyDescent="0.3">
      <c r="A336" s="267" t="s">
        <v>675</v>
      </c>
      <c r="B336" t="s">
        <v>318</v>
      </c>
    </row>
    <row r="337" spans="1:2" x14ac:dyDescent="0.3">
      <c r="A337" s="267" t="s">
        <v>676</v>
      </c>
      <c r="B337" t="s">
        <v>319</v>
      </c>
    </row>
    <row r="338" spans="1:2" x14ac:dyDescent="0.3">
      <c r="A338" s="267" t="s">
        <v>677</v>
      </c>
      <c r="B338" t="s">
        <v>319</v>
      </c>
    </row>
    <row r="339" spans="1:2" x14ac:dyDescent="0.3">
      <c r="A339" s="267" t="s">
        <v>678</v>
      </c>
      <c r="B339" t="s">
        <v>319</v>
      </c>
    </row>
    <row r="340" spans="1:2" x14ac:dyDescent="0.3">
      <c r="A340" s="267" t="s">
        <v>679</v>
      </c>
      <c r="B340" t="s">
        <v>319</v>
      </c>
    </row>
    <row r="341" spans="1:2" x14ac:dyDescent="0.3">
      <c r="A341" s="267" t="s">
        <v>680</v>
      </c>
      <c r="B341" t="s">
        <v>319</v>
      </c>
    </row>
    <row r="342" spans="1:2" x14ac:dyDescent="0.3">
      <c r="A342" s="267" t="s">
        <v>681</v>
      </c>
      <c r="B342" t="s">
        <v>319</v>
      </c>
    </row>
    <row r="343" spans="1:2" x14ac:dyDescent="0.3">
      <c r="A343" s="267" t="s">
        <v>682</v>
      </c>
      <c r="B343" t="s">
        <v>320</v>
      </c>
    </row>
    <row r="344" spans="1:2" x14ac:dyDescent="0.3">
      <c r="A344" s="267" t="s">
        <v>683</v>
      </c>
      <c r="B344" t="s">
        <v>320</v>
      </c>
    </row>
    <row r="345" spans="1:2" x14ac:dyDescent="0.3">
      <c r="A345" s="267" t="s">
        <v>684</v>
      </c>
      <c r="B345" t="s">
        <v>320</v>
      </c>
    </row>
    <row r="346" spans="1:2" x14ac:dyDescent="0.3">
      <c r="A346" s="267" t="s">
        <v>685</v>
      </c>
      <c r="B346" t="s">
        <v>320</v>
      </c>
    </row>
    <row r="347" spans="1:2" x14ac:dyDescent="0.3">
      <c r="A347" s="267" t="s">
        <v>686</v>
      </c>
      <c r="B347" t="s">
        <v>320</v>
      </c>
    </row>
    <row r="348" spans="1:2" x14ac:dyDescent="0.3">
      <c r="A348" s="267" t="s">
        <v>687</v>
      </c>
      <c r="B348" t="s">
        <v>321</v>
      </c>
    </row>
    <row r="349" spans="1:2" x14ac:dyDescent="0.3">
      <c r="A349" s="267" t="s">
        <v>688</v>
      </c>
      <c r="B349" t="s">
        <v>321</v>
      </c>
    </row>
    <row r="350" spans="1:2" x14ac:dyDescent="0.3">
      <c r="A350" s="267" t="s">
        <v>689</v>
      </c>
      <c r="B350" t="s">
        <v>321</v>
      </c>
    </row>
    <row r="351" spans="1:2" x14ac:dyDescent="0.3">
      <c r="A351" s="267" t="s">
        <v>690</v>
      </c>
      <c r="B351" t="s">
        <v>321</v>
      </c>
    </row>
    <row r="352" spans="1:2" x14ac:dyDescent="0.3">
      <c r="A352" s="267" t="s">
        <v>691</v>
      </c>
      <c r="B352" t="s">
        <v>321</v>
      </c>
    </row>
    <row r="353" spans="1:2" x14ac:dyDescent="0.3">
      <c r="A353" s="267" t="s">
        <v>692</v>
      </c>
      <c r="B353" t="s">
        <v>321</v>
      </c>
    </row>
    <row r="354" spans="1:2" x14ac:dyDescent="0.3">
      <c r="A354" s="267" t="s">
        <v>693</v>
      </c>
      <c r="B354" t="s">
        <v>321</v>
      </c>
    </row>
    <row r="355" spans="1:2" x14ac:dyDescent="0.3">
      <c r="A355" s="267" t="s">
        <v>694</v>
      </c>
      <c r="B355" t="s">
        <v>321</v>
      </c>
    </row>
    <row r="356" spans="1:2" x14ac:dyDescent="0.3">
      <c r="A356" s="267" t="s">
        <v>695</v>
      </c>
      <c r="B356" t="s">
        <v>321</v>
      </c>
    </row>
    <row r="357" spans="1:2" x14ac:dyDescent="0.3">
      <c r="A357" s="267" t="s">
        <v>696</v>
      </c>
      <c r="B357" t="s">
        <v>322</v>
      </c>
    </row>
    <row r="358" spans="1:2" x14ac:dyDescent="0.3">
      <c r="A358" s="267" t="s">
        <v>697</v>
      </c>
      <c r="B358" t="s">
        <v>322</v>
      </c>
    </row>
    <row r="359" spans="1:2" x14ac:dyDescent="0.3">
      <c r="A359" s="267" t="s">
        <v>698</v>
      </c>
      <c r="B359" t="s">
        <v>322</v>
      </c>
    </row>
    <row r="360" spans="1:2" x14ac:dyDescent="0.3">
      <c r="A360" s="267" t="s">
        <v>699</v>
      </c>
      <c r="B360" t="s">
        <v>322</v>
      </c>
    </row>
    <row r="361" spans="1:2" x14ac:dyDescent="0.3">
      <c r="A361" s="267" t="s">
        <v>700</v>
      </c>
      <c r="B361" t="s">
        <v>322</v>
      </c>
    </row>
    <row r="362" spans="1:2" x14ac:dyDescent="0.3">
      <c r="A362" s="267" t="s">
        <v>701</v>
      </c>
      <c r="B362" t="s">
        <v>322</v>
      </c>
    </row>
    <row r="363" spans="1:2" x14ac:dyDescent="0.3">
      <c r="A363" s="267" t="s">
        <v>702</v>
      </c>
      <c r="B363" t="s">
        <v>322</v>
      </c>
    </row>
    <row r="364" spans="1:2" x14ac:dyDescent="0.3">
      <c r="A364" s="267" t="s">
        <v>703</v>
      </c>
      <c r="B364" t="s">
        <v>322</v>
      </c>
    </row>
    <row r="365" spans="1:2" x14ac:dyDescent="0.3">
      <c r="A365" s="267" t="s">
        <v>704</v>
      </c>
      <c r="B365" t="s">
        <v>322</v>
      </c>
    </row>
    <row r="366" spans="1:2" x14ac:dyDescent="0.3">
      <c r="A366" s="267" t="s">
        <v>705</v>
      </c>
      <c r="B366" t="s">
        <v>322</v>
      </c>
    </row>
    <row r="367" spans="1:2" x14ac:dyDescent="0.3">
      <c r="A367" s="267" t="s">
        <v>706</v>
      </c>
      <c r="B367" t="s">
        <v>322</v>
      </c>
    </row>
    <row r="368" spans="1:2" x14ac:dyDescent="0.3">
      <c r="A368" s="267" t="s">
        <v>707</v>
      </c>
      <c r="B368" t="s">
        <v>322</v>
      </c>
    </row>
    <row r="369" spans="1:2" x14ac:dyDescent="0.3">
      <c r="A369" s="267" t="s">
        <v>708</v>
      </c>
      <c r="B369" t="s">
        <v>322</v>
      </c>
    </row>
    <row r="370" spans="1:2" x14ac:dyDescent="0.3">
      <c r="A370" s="267" t="s">
        <v>709</v>
      </c>
      <c r="B370" t="s">
        <v>322</v>
      </c>
    </row>
    <row r="371" spans="1:2" x14ac:dyDescent="0.3">
      <c r="A371" s="267" t="s">
        <v>710</v>
      </c>
      <c r="B371" t="s">
        <v>322</v>
      </c>
    </row>
    <row r="372" spans="1:2" x14ac:dyDescent="0.3">
      <c r="A372" s="267" t="s">
        <v>711</v>
      </c>
      <c r="B372" t="s">
        <v>322</v>
      </c>
    </row>
    <row r="373" spans="1:2" x14ac:dyDescent="0.3">
      <c r="A373" s="267" t="s">
        <v>712</v>
      </c>
      <c r="B373" t="s">
        <v>322</v>
      </c>
    </row>
    <row r="374" spans="1:2" x14ac:dyDescent="0.3">
      <c r="A374" s="267" t="s">
        <v>713</v>
      </c>
      <c r="B374" t="s">
        <v>322</v>
      </c>
    </row>
    <row r="375" spans="1:2" x14ac:dyDescent="0.3">
      <c r="A375" s="267" t="s">
        <v>714</v>
      </c>
      <c r="B375" t="s">
        <v>322</v>
      </c>
    </row>
    <row r="376" spans="1:2" x14ac:dyDescent="0.3">
      <c r="A376" s="267" t="s">
        <v>715</v>
      </c>
      <c r="B376" t="s">
        <v>322</v>
      </c>
    </row>
    <row r="377" spans="1:2" x14ac:dyDescent="0.3">
      <c r="A377" s="267" t="s">
        <v>716</v>
      </c>
      <c r="B377" t="s">
        <v>322</v>
      </c>
    </row>
    <row r="378" spans="1:2" x14ac:dyDescent="0.3">
      <c r="A378" s="267" t="s">
        <v>717</v>
      </c>
      <c r="B378" t="s">
        <v>322</v>
      </c>
    </row>
    <row r="379" spans="1:2" x14ac:dyDescent="0.3">
      <c r="A379" s="267" t="s">
        <v>718</v>
      </c>
      <c r="B379" t="s">
        <v>322</v>
      </c>
    </row>
    <row r="380" spans="1:2" x14ac:dyDescent="0.3">
      <c r="A380" s="267" t="s">
        <v>719</v>
      </c>
      <c r="B380" t="s">
        <v>322</v>
      </c>
    </row>
    <row r="381" spans="1:2" x14ac:dyDescent="0.3">
      <c r="A381" s="267" t="s">
        <v>720</v>
      </c>
      <c r="B381" t="s">
        <v>322</v>
      </c>
    </row>
    <row r="382" spans="1:2" x14ac:dyDescent="0.3">
      <c r="A382" s="267" t="s">
        <v>721</v>
      </c>
      <c r="B382" t="s">
        <v>322</v>
      </c>
    </row>
    <row r="383" spans="1:2" x14ac:dyDescent="0.3">
      <c r="A383" s="267" t="s">
        <v>722</v>
      </c>
      <c r="B383" t="s">
        <v>322</v>
      </c>
    </row>
    <row r="384" spans="1:2" x14ac:dyDescent="0.3">
      <c r="A384" s="267" t="s">
        <v>723</v>
      </c>
      <c r="B384" t="s">
        <v>322</v>
      </c>
    </row>
    <row r="385" spans="1:2" x14ac:dyDescent="0.3">
      <c r="A385" s="267" t="s">
        <v>724</v>
      </c>
      <c r="B385" t="s">
        <v>322</v>
      </c>
    </row>
    <row r="386" spans="1:2" x14ac:dyDescent="0.3">
      <c r="A386" s="267" t="s">
        <v>725</v>
      </c>
      <c r="B386" t="s">
        <v>322</v>
      </c>
    </row>
    <row r="387" spans="1:2" x14ac:dyDescent="0.3">
      <c r="A387" s="267" t="s">
        <v>726</v>
      </c>
      <c r="B387" t="s">
        <v>322</v>
      </c>
    </row>
    <row r="388" spans="1:2" x14ac:dyDescent="0.3">
      <c r="A388" s="267" t="s">
        <v>727</v>
      </c>
      <c r="B388" t="s">
        <v>322</v>
      </c>
    </row>
    <row r="389" spans="1:2" x14ac:dyDescent="0.3">
      <c r="A389" s="267" t="s">
        <v>728</v>
      </c>
      <c r="B389" t="s">
        <v>322</v>
      </c>
    </row>
    <row r="390" spans="1:2" x14ac:dyDescent="0.3">
      <c r="A390" s="267" t="s">
        <v>729</v>
      </c>
      <c r="B390" t="s">
        <v>322</v>
      </c>
    </row>
    <row r="391" spans="1:2" x14ac:dyDescent="0.3">
      <c r="A391" s="267" t="s">
        <v>730</v>
      </c>
      <c r="B391" t="s">
        <v>322</v>
      </c>
    </row>
    <row r="392" spans="1:2" x14ac:dyDescent="0.3">
      <c r="A392" s="267" t="s">
        <v>731</v>
      </c>
      <c r="B392" t="s">
        <v>322</v>
      </c>
    </row>
    <row r="393" spans="1:2" x14ac:dyDescent="0.3">
      <c r="A393" s="267" t="s">
        <v>732</v>
      </c>
      <c r="B393" t="s">
        <v>322</v>
      </c>
    </row>
    <row r="394" spans="1:2" x14ac:dyDescent="0.3">
      <c r="A394" s="267" t="s">
        <v>733</v>
      </c>
      <c r="B394" t="s">
        <v>322</v>
      </c>
    </row>
    <row r="395" spans="1:2" x14ac:dyDescent="0.3">
      <c r="A395" s="267" t="s">
        <v>734</v>
      </c>
      <c r="B395" t="s">
        <v>322</v>
      </c>
    </row>
    <row r="396" spans="1:2" x14ac:dyDescent="0.3">
      <c r="A396" s="267" t="s">
        <v>735</v>
      </c>
      <c r="B396" t="s">
        <v>322</v>
      </c>
    </row>
    <row r="397" spans="1:2" x14ac:dyDescent="0.3">
      <c r="A397" s="267" t="s">
        <v>736</v>
      </c>
      <c r="B397" t="s">
        <v>323</v>
      </c>
    </row>
    <row r="398" spans="1:2" x14ac:dyDescent="0.3">
      <c r="A398" s="267" t="s">
        <v>737</v>
      </c>
      <c r="B398" t="s">
        <v>323</v>
      </c>
    </row>
    <row r="399" spans="1:2" x14ac:dyDescent="0.3">
      <c r="A399" s="267" t="s">
        <v>738</v>
      </c>
      <c r="B399" t="s">
        <v>323</v>
      </c>
    </row>
    <row r="400" spans="1:2" x14ac:dyDescent="0.3">
      <c r="A400" s="267" t="s">
        <v>739</v>
      </c>
      <c r="B400" t="s">
        <v>323</v>
      </c>
    </row>
    <row r="401" spans="1:2" x14ac:dyDescent="0.3">
      <c r="A401" s="267" t="s">
        <v>740</v>
      </c>
      <c r="B401" t="s">
        <v>323</v>
      </c>
    </row>
    <row r="402" spans="1:2" x14ac:dyDescent="0.3">
      <c r="A402" s="267" t="s">
        <v>741</v>
      </c>
      <c r="B402" t="s">
        <v>324</v>
      </c>
    </row>
    <row r="403" spans="1:2" x14ac:dyDescent="0.3">
      <c r="A403" s="267" t="s">
        <v>742</v>
      </c>
      <c r="B403" t="s">
        <v>324</v>
      </c>
    </row>
    <row r="404" spans="1:2" x14ac:dyDescent="0.3">
      <c r="A404" s="267" t="s">
        <v>743</v>
      </c>
      <c r="B404" t="s">
        <v>324</v>
      </c>
    </row>
    <row r="405" spans="1:2" x14ac:dyDescent="0.3">
      <c r="A405" s="267" t="s">
        <v>744</v>
      </c>
      <c r="B405" t="s">
        <v>324</v>
      </c>
    </row>
    <row r="406" spans="1:2" x14ac:dyDescent="0.3">
      <c r="A406" s="267" t="s">
        <v>745</v>
      </c>
      <c r="B406" t="s">
        <v>324</v>
      </c>
    </row>
    <row r="407" spans="1:2" x14ac:dyDescent="0.3">
      <c r="A407" s="267" t="s">
        <v>746</v>
      </c>
      <c r="B407" t="s">
        <v>324</v>
      </c>
    </row>
    <row r="408" spans="1:2" x14ac:dyDescent="0.3">
      <c r="A408" s="267" t="s">
        <v>747</v>
      </c>
      <c r="B408" t="s">
        <v>324</v>
      </c>
    </row>
    <row r="409" spans="1:2" x14ac:dyDescent="0.3">
      <c r="A409" s="267" t="s">
        <v>748</v>
      </c>
      <c r="B409" t="s">
        <v>324</v>
      </c>
    </row>
    <row r="410" spans="1:2" x14ac:dyDescent="0.3">
      <c r="A410" s="267" t="s">
        <v>749</v>
      </c>
      <c r="B410" t="s">
        <v>324</v>
      </c>
    </row>
    <row r="411" spans="1:2" x14ac:dyDescent="0.3">
      <c r="A411" s="267" t="s">
        <v>750</v>
      </c>
      <c r="B411" t="s">
        <v>324</v>
      </c>
    </row>
    <row r="412" spans="1:2" x14ac:dyDescent="0.3">
      <c r="A412" s="267" t="s">
        <v>751</v>
      </c>
      <c r="B412" t="s">
        <v>291</v>
      </c>
    </row>
    <row r="413" spans="1:2" x14ac:dyDescent="0.3">
      <c r="A413" s="267" t="s">
        <v>752</v>
      </c>
      <c r="B413" t="s">
        <v>291</v>
      </c>
    </row>
    <row r="414" spans="1:2" x14ac:dyDescent="0.3">
      <c r="A414" s="267" t="s">
        <v>753</v>
      </c>
      <c r="B414" t="s">
        <v>291</v>
      </c>
    </row>
    <row r="415" spans="1:2" x14ac:dyDescent="0.3">
      <c r="A415" s="267" t="s">
        <v>754</v>
      </c>
      <c r="B415" t="s">
        <v>291</v>
      </c>
    </row>
    <row r="416" spans="1:2" x14ac:dyDescent="0.3">
      <c r="A416" s="267" t="s">
        <v>755</v>
      </c>
      <c r="B416" t="s">
        <v>291</v>
      </c>
    </row>
    <row r="417" spans="1:2" x14ac:dyDescent="0.3">
      <c r="A417" s="267" t="s">
        <v>290</v>
      </c>
      <c r="B417" t="s">
        <v>291</v>
      </c>
    </row>
    <row r="418" spans="1:2" x14ac:dyDescent="0.3">
      <c r="A418" s="267" t="s">
        <v>756</v>
      </c>
      <c r="B418" t="s">
        <v>291</v>
      </c>
    </row>
    <row r="419" spans="1:2" x14ac:dyDescent="0.3">
      <c r="A419" s="267" t="s">
        <v>757</v>
      </c>
      <c r="B419" t="s">
        <v>291</v>
      </c>
    </row>
    <row r="420" spans="1:2" x14ac:dyDescent="0.3">
      <c r="A420" s="267" t="s">
        <v>758</v>
      </c>
      <c r="B420" t="s">
        <v>325</v>
      </c>
    </row>
    <row r="421" spans="1:2" x14ac:dyDescent="0.3">
      <c r="A421" s="267" t="s">
        <v>759</v>
      </c>
      <c r="B421" t="s">
        <v>325</v>
      </c>
    </row>
    <row r="422" spans="1:2" x14ac:dyDescent="0.3">
      <c r="A422" s="267" t="s">
        <v>760</v>
      </c>
      <c r="B422" t="s">
        <v>325</v>
      </c>
    </row>
    <row r="423" spans="1:2" x14ac:dyDescent="0.3">
      <c r="A423" s="267" t="s">
        <v>761</v>
      </c>
      <c r="B423" t="s">
        <v>325</v>
      </c>
    </row>
    <row r="424" spans="1:2" x14ac:dyDescent="0.3">
      <c r="A424" s="267" t="s">
        <v>762</v>
      </c>
      <c r="B424" t="s">
        <v>326</v>
      </c>
    </row>
    <row r="425" spans="1:2" x14ac:dyDescent="0.3">
      <c r="A425" s="267" t="s">
        <v>763</v>
      </c>
      <c r="B425" t="s">
        <v>326</v>
      </c>
    </row>
    <row r="426" spans="1:2" x14ac:dyDescent="0.3">
      <c r="A426" s="267" t="s">
        <v>764</v>
      </c>
      <c r="B426" t="s">
        <v>326</v>
      </c>
    </row>
    <row r="427" spans="1:2" x14ac:dyDescent="0.3">
      <c r="A427" s="267" t="s">
        <v>765</v>
      </c>
      <c r="B427" t="s">
        <v>326</v>
      </c>
    </row>
    <row r="428" spans="1:2" x14ac:dyDescent="0.3">
      <c r="A428" s="267" t="s">
        <v>766</v>
      </c>
      <c r="B428" t="s">
        <v>326</v>
      </c>
    </row>
    <row r="429" spans="1:2" x14ac:dyDescent="0.3">
      <c r="A429" s="267" t="s">
        <v>767</v>
      </c>
      <c r="B429" t="s">
        <v>326</v>
      </c>
    </row>
    <row r="430" spans="1:2" x14ac:dyDescent="0.3">
      <c r="A430" s="267" t="s">
        <v>768</v>
      </c>
      <c r="B430" t="s">
        <v>326</v>
      </c>
    </row>
    <row r="431" spans="1:2" x14ac:dyDescent="0.3">
      <c r="A431" s="267" t="s">
        <v>769</v>
      </c>
      <c r="B431" t="s">
        <v>326</v>
      </c>
    </row>
    <row r="432" spans="1:2" x14ac:dyDescent="0.3">
      <c r="A432" s="267" t="s">
        <v>770</v>
      </c>
      <c r="B432" t="s">
        <v>326</v>
      </c>
    </row>
    <row r="433" spans="1:2" x14ac:dyDescent="0.3">
      <c r="A433" s="267" t="s">
        <v>771</v>
      </c>
      <c r="B433" t="s">
        <v>326</v>
      </c>
    </row>
    <row r="434" spans="1:2" x14ac:dyDescent="0.3">
      <c r="A434" s="267" t="s">
        <v>772</v>
      </c>
      <c r="B434" t="s">
        <v>326</v>
      </c>
    </row>
    <row r="435" spans="1:2" x14ac:dyDescent="0.3">
      <c r="A435" s="267" t="s">
        <v>773</v>
      </c>
      <c r="B435" t="s">
        <v>327</v>
      </c>
    </row>
    <row r="436" spans="1:2" x14ac:dyDescent="0.3">
      <c r="A436" s="267" t="s">
        <v>774</v>
      </c>
      <c r="B436" t="s">
        <v>327</v>
      </c>
    </row>
    <row r="437" spans="1:2" x14ac:dyDescent="0.3">
      <c r="A437" s="267" t="s">
        <v>775</v>
      </c>
      <c r="B437" t="s">
        <v>327</v>
      </c>
    </row>
    <row r="438" spans="1:2" x14ac:dyDescent="0.3">
      <c r="A438" s="267" t="s">
        <v>776</v>
      </c>
      <c r="B438" t="s">
        <v>327</v>
      </c>
    </row>
    <row r="439" spans="1:2" x14ac:dyDescent="0.3">
      <c r="A439" s="267" t="s">
        <v>777</v>
      </c>
      <c r="B439" t="s">
        <v>327</v>
      </c>
    </row>
    <row r="440" spans="1:2" x14ac:dyDescent="0.3">
      <c r="A440" s="267" t="s">
        <v>778</v>
      </c>
      <c r="B440" t="s">
        <v>327</v>
      </c>
    </row>
    <row r="441" spans="1:2" x14ac:dyDescent="0.3">
      <c r="A441" s="267" t="s">
        <v>779</v>
      </c>
      <c r="B441" t="s">
        <v>327</v>
      </c>
    </row>
    <row r="442" spans="1:2" x14ac:dyDescent="0.3">
      <c r="A442" s="267" t="s">
        <v>780</v>
      </c>
      <c r="B442" t="s">
        <v>327</v>
      </c>
    </row>
    <row r="443" spans="1:2" x14ac:dyDescent="0.3">
      <c r="A443" s="267" t="s">
        <v>781</v>
      </c>
      <c r="B443" t="s">
        <v>327</v>
      </c>
    </row>
    <row r="444" spans="1:2" x14ac:dyDescent="0.3">
      <c r="A444" s="267" t="s">
        <v>782</v>
      </c>
      <c r="B444" t="s">
        <v>327</v>
      </c>
    </row>
    <row r="445" spans="1:2" x14ac:dyDescent="0.3">
      <c r="A445" s="267" t="s">
        <v>783</v>
      </c>
      <c r="B445" t="s">
        <v>327</v>
      </c>
    </row>
    <row r="446" spans="1:2" x14ac:dyDescent="0.3">
      <c r="A446" s="267" t="s">
        <v>784</v>
      </c>
      <c r="B446" t="s">
        <v>327</v>
      </c>
    </row>
    <row r="447" spans="1:2" x14ac:dyDescent="0.3">
      <c r="A447" s="267" t="s">
        <v>785</v>
      </c>
      <c r="B447" t="s">
        <v>328</v>
      </c>
    </row>
    <row r="448" spans="1:2" x14ac:dyDescent="0.3">
      <c r="A448" s="267" t="s">
        <v>786</v>
      </c>
      <c r="B448" t="s">
        <v>328</v>
      </c>
    </row>
    <row r="449" spans="1:2" x14ac:dyDescent="0.3">
      <c r="A449" s="267" t="s">
        <v>787</v>
      </c>
      <c r="B449" t="s">
        <v>328</v>
      </c>
    </row>
    <row r="450" spans="1:2" x14ac:dyDescent="0.3">
      <c r="A450" s="267" t="s">
        <v>788</v>
      </c>
      <c r="B450" t="s">
        <v>328</v>
      </c>
    </row>
    <row r="451" spans="1:2" x14ac:dyDescent="0.3">
      <c r="A451" s="267" t="s">
        <v>789</v>
      </c>
      <c r="B451" t="s">
        <v>328</v>
      </c>
    </row>
    <row r="452" spans="1:2" x14ac:dyDescent="0.3">
      <c r="A452" s="267" t="s">
        <v>790</v>
      </c>
      <c r="B452" t="s">
        <v>328</v>
      </c>
    </row>
    <row r="453" spans="1:2" x14ac:dyDescent="0.3">
      <c r="A453" s="267" t="s">
        <v>791</v>
      </c>
      <c r="B453" t="s">
        <v>328</v>
      </c>
    </row>
    <row r="454" spans="1:2" x14ac:dyDescent="0.3">
      <c r="A454" s="267" t="s">
        <v>792</v>
      </c>
      <c r="B454" t="s">
        <v>328</v>
      </c>
    </row>
    <row r="455" spans="1:2" x14ac:dyDescent="0.3">
      <c r="A455" s="267" t="s">
        <v>793</v>
      </c>
      <c r="B455" t="s">
        <v>328</v>
      </c>
    </row>
    <row r="456" spans="1:2" x14ac:dyDescent="0.3">
      <c r="A456" s="267" t="s">
        <v>794</v>
      </c>
      <c r="B456" t="s">
        <v>328</v>
      </c>
    </row>
    <row r="457" spans="1:2" x14ac:dyDescent="0.3">
      <c r="A457" s="267" t="s">
        <v>795</v>
      </c>
      <c r="B457" t="s">
        <v>328</v>
      </c>
    </row>
    <row r="458" spans="1:2" x14ac:dyDescent="0.3">
      <c r="A458" s="267" t="s">
        <v>796</v>
      </c>
      <c r="B458" t="s">
        <v>328</v>
      </c>
    </row>
    <row r="459" spans="1:2" x14ac:dyDescent="0.3">
      <c r="A459" s="267" t="s">
        <v>797</v>
      </c>
      <c r="B459" t="s">
        <v>328</v>
      </c>
    </row>
    <row r="460" spans="1:2" x14ac:dyDescent="0.3">
      <c r="A460" s="267" t="s">
        <v>798</v>
      </c>
      <c r="B460" t="s">
        <v>328</v>
      </c>
    </row>
    <row r="461" spans="1:2" x14ac:dyDescent="0.3">
      <c r="A461" s="267" t="s">
        <v>799</v>
      </c>
      <c r="B461" t="s">
        <v>328</v>
      </c>
    </row>
    <row r="462" spans="1:2" x14ac:dyDescent="0.3">
      <c r="A462" s="267" t="s">
        <v>800</v>
      </c>
      <c r="B462" t="s">
        <v>328</v>
      </c>
    </row>
    <row r="463" spans="1:2" x14ac:dyDescent="0.3">
      <c r="A463" s="267" t="s">
        <v>801</v>
      </c>
      <c r="B463" t="s">
        <v>328</v>
      </c>
    </row>
    <row r="464" spans="1:2" x14ac:dyDescent="0.3">
      <c r="A464" s="267" t="s">
        <v>802</v>
      </c>
      <c r="B464" t="s">
        <v>328</v>
      </c>
    </row>
    <row r="465" spans="1:2" x14ac:dyDescent="0.3">
      <c r="A465" s="267" t="s">
        <v>803</v>
      </c>
      <c r="B465" t="s">
        <v>328</v>
      </c>
    </row>
    <row r="466" spans="1:2" x14ac:dyDescent="0.3">
      <c r="A466" s="267" t="s">
        <v>804</v>
      </c>
      <c r="B466" t="s">
        <v>329</v>
      </c>
    </row>
    <row r="467" spans="1:2" x14ac:dyDescent="0.3">
      <c r="A467" s="267" t="s">
        <v>805</v>
      </c>
      <c r="B467" t="s">
        <v>329</v>
      </c>
    </row>
    <row r="468" spans="1:2" x14ac:dyDescent="0.3">
      <c r="A468" s="267" t="s">
        <v>806</v>
      </c>
      <c r="B468" t="s">
        <v>329</v>
      </c>
    </row>
    <row r="469" spans="1:2" x14ac:dyDescent="0.3">
      <c r="A469" s="267" t="s">
        <v>807</v>
      </c>
      <c r="B469" t="s">
        <v>329</v>
      </c>
    </row>
    <row r="470" spans="1:2" x14ac:dyDescent="0.3">
      <c r="A470" s="267" t="s">
        <v>808</v>
      </c>
      <c r="B470" t="s">
        <v>329</v>
      </c>
    </row>
    <row r="471" spans="1:2" x14ac:dyDescent="0.3">
      <c r="A471" s="267" t="s">
        <v>809</v>
      </c>
      <c r="B471" t="s">
        <v>329</v>
      </c>
    </row>
    <row r="472" spans="1:2" x14ac:dyDescent="0.3">
      <c r="A472" s="267" t="s">
        <v>810</v>
      </c>
      <c r="B472" t="s">
        <v>329</v>
      </c>
    </row>
    <row r="473" spans="1:2" x14ac:dyDescent="0.3">
      <c r="A473" s="267" t="s">
        <v>811</v>
      </c>
      <c r="B473" t="s">
        <v>329</v>
      </c>
    </row>
    <row r="474" spans="1:2" x14ac:dyDescent="0.3">
      <c r="A474" s="267" t="s">
        <v>812</v>
      </c>
      <c r="B474" t="s">
        <v>329</v>
      </c>
    </row>
    <row r="475" spans="1:2" x14ac:dyDescent="0.3">
      <c r="A475" s="267" t="s">
        <v>813</v>
      </c>
      <c r="B475" t="s">
        <v>329</v>
      </c>
    </row>
    <row r="476" spans="1:2" x14ac:dyDescent="0.3">
      <c r="A476" s="267" t="s">
        <v>814</v>
      </c>
      <c r="B476" t="s">
        <v>329</v>
      </c>
    </row>
    <row r="477" spans="1:2" x14ac:dyDescent="0.3">
      <c r="A477" s="267" t="s">
        <v>815</v>
      </c>
      <c r="B477" t="s">
        <v>329</v>
      </c>
    </row>
    <row r="478" spans="1:2" x14ac:dyDescent="0.3">
      <c r="A478" s="267" t="s">
        <v>816</v>
      </c>
      <c r="B478" t="s">
        <v>330</v>
      </c>
    </row>
    <row r="479" spans="1:2" x14ac:dyDescent="0.3">
      <c r="A479" s="267" t="s">
        <v>817</v>
      </c>
      <c r="B479" t="s">
        <v>330</v>
      </c>
    </row>
    <row r="480" spans="1:2" x14ac:dyDescent="0.3">
      <c r="A480" s="267" t="s">
        <v>818</v>
      </c>
      <c r="B480" t="s">
        <v>330</v>
      </c>
    </row>
    <row r="481" spans="1:2" x14ac:dyDescent="0.3">
      <c r="A481" s="267" t="s">
        <v>819</v>
      </c>
      <c r="B481" t="s">
        <v>330</v>
      </c>
    </row>
    <row r="482" spans="1:2" x14ac:dyDescent="0.3">
      <c r="A482" s="267" t="s">
        <v>820</v>
      </c>
      <c r="B482" t="s">
        <v>330</v>
      </c>
    </row>
    <row r="483" spans="1:2" x14ac:dyDescent="0.3">
      <c r="A483" s="267" t="s">
        <v>821</v>
      </c>
      <c r="B483" t="s">
        <v>330</v>
      </c>
    </row>
    <row r="484" spans="1:2" x14ac:dyDescent="0.3">
      <c r="A484" s="267" t="s">
        <v>822</v>
      </c>
      <c r="B484" t="s">
        <v>330</v>
      </c>
    </row>
    <row r="485" spans="1:2" x14ac:dyDescent="0.3">
      <c r="A485" s="267" t="s">
        <v>823</v>
      </c>
      <c r="B485" t="s">
        <v>330</v>
      </c>
    </row>
    <row r="486" spans="1:2" x14ac:dyDescent="0.3">
      <c r="A486" s="267" t="s">
        <v>824</v>
      </c>
      <c r="B486" t="s">
        <v>330</v>
      </c>
    </row>
    <row r="487" spans="1:2" x14ac:dyDescent="0.3">
      <c r="A487" s="267" t="s">
        <v>825</v>
      </c>
      <c r="B487" t="s">
        <v>330</v>
      </c>
    </row>
    <row r="488" spans="1:2" x14ac:dyDescent="0.3">
      <c r="A488" s="267" t="s">
        <v>826</v>
      </c>
      <c r="B488" t="s">
        <v>331</v>
      </c>
    </row>
    <row r="489" spans="1:2" x14ac:dyDescent="0.3">
      <c r="A489" s="267" t="s">
        <v>827</v>
      </c>
      <c r="B489" t="s">
        <v>331</v>
      </c>
    </row>
    <row r="490" spans="1:2" x14ac:dyDescent="0.3">
      <c r="A490" s="267" t="s">
        <v>828</v>
      </c>
      <c r="B490" t="s">
        <v>331</v>
      </c>
    </row>
    <row r="491" spans="1:2" x14ac:dyDescent="0.3">
      <c r="A491" s="267" t="s">
        <v>829</v>
      </c>
      <c r="B491" t="s">
        <v>331</v>
      </c>
    </row>
    <row r="492" spans="1:2" x14ac:dyDescent="0.3">
      <c r="A492" s="267" t="s">
        <v>830</v>
      </c>
      <c r="B492" t="s">
        <v>331</v>
      </c>
    </row>
    <row r="493" spans="1:2" x14ac:dyDescent="0.3">
      <c r="A493" s="267" t="s">
        <v>831</v>
      </c>
      <c r="B493" t="s">
        <v>331</v>
      </c>
    </row>
    <row r="494" spans="1:2" x14ac:dyDescent="0.3">
      <c r="A494" s="267" t="s">
        <v>832</v>
      </c>
      <c r="B494" t="s">
        <v>331</v>
      </c>
    </row>
    <row r="495" spans="1:2" x14ac:dyDescent="0.3">
      <c r="A495" s="267" t="s">
        <v>833</v>
      </c>
      <c r="B495" t="s">
        <v>331</v>
      </c>
    </row>
    <row r="496" spans="1:2" x14ac:dyDescent="0.3">
      <c r="A496" s="267" t="s">
        <v>834</v>
      </c>
      <c r="B496" t="s">
        <v>331</v>
      </c>
    </row>
    <row r="497" spans="1:2" x14ac:dyDescent="0.3">
      <c r="A497" s="267" t="s">
        <v>835</v>
      </c>
      <c r="B497" t="s">
        <v>331</v>
      </c>
    </row>
    <row r="498" spans="1:2" x14ac:dyDescent="0.3">
      <c r="A498" s="267" t="s">
        <v>836</v>
      </c>
      <c r="B498" t="s">
        <v>331</v>
      </c>
    </row>
    <row r="499" spans="1:2" x14ac:dyDescent="0.3">
      <c r="A499" s="267" t="s">
        <v>837</v>
      </c>
      <c r="B499" t="s">
        <v>331</v>
      </c>
    </row>
    <row r="500" spans="1:2" x14ac:dyDescent="0.3">
      <c r="A500" s="267" t="s">
        <v>838</v>
      </c>
      <c r="B500" t="s">
        <v>331</v>
      </c>
    </row>
    <row r="501" spans="1:2" x14ac:dyDescent="0.3">
      <c r="A501" s="267" t="s">
        <v>839</v>
      </c>
      <c r="B501" t="s">
        <v>331</v>
      </c>
    </row>
    <row r="502" spans="1:2" x14ac:dyDescent="0.3">
      <c r="A502" s="267" t="s">
        <v>840</v>
      </c>
      <c r="B502" t="s">
        <v>331</v>
      </c>
    </row>
    <row r="503" spans="1:2" x14ac:dyDescent="0.3">
      <c r="A503" s="267" t="s">
        <v>841</v>
      </c>
      <c r="B503" t="s">
        <v>331</v>
      </c>
    </row>
    <row r="504" spans="1:2" x14ac:dyDescent="0.3">
      <c r="A504" s="267" t="s">
        <v>842</v>
      </c>
      <c r="B504" t="s">
        <v>331</v>
      </c>
    </row>
    <row r="505" spans="1:2" x14ac:dyDescent="0.3">
      <c r="A505" s="267" t="s">
        <v>843</v>
      </c>
      <c r="B505" t="s">
        <v>331</v>
      </c>
    </row>
    <row r="506" spans="1:2" x14ac:dyDescent="0.3">
      <c r="A506" s="267" t="s">
        <v>844</v>
      </c>
      <c r="B506" t="s">
        <v>331</v>
      </c>
    </row>
    <row r="507" spans="1:2" x14ac:dyDescent="0.3">
      <c r="A507" s="267" t="s">
        <v>845</v>
      </c>
      <c r="B507" t="s">
        <v>332</v>
      </c>
    </row>
    <row r="508" spans="1:2" x14ac:dyDescent="0.3">
      <c r="A508" s="267" t="s">
        <v>846</v>
      </c>
      <c r="B508" t="s">
        <v>332</v>
      </c>
    </row>
    <row r="509" spans="1:2" x14ac:dyDescent="0.3">
      <c r="A509" s="267" t="s">
        <v>847</v>
      </c>
      <c r="B509" t="s">
        <v>332</v>
      </c>
    </row>
    <row r="510" spans="1:2" x14ac:dyDescent="0.3">
      <c r="A510" s="267" t="s">
        <v>848</v>
      </c>
      <c r="B510" t="s">
        <v>332</v>
      </c>
    </row>
    <row r="511" spans="1:2" x14ac:dyDescent="0.3">
      <c r="A511" s="267" t="s">
        <v>849</v>
      </c>
      <c r="B511" t="s">
        <v>332</v>
      </c>
    </row>
    <row r="512" spans="1:2" x14ac:dyDescent="0.3">
      <c r="A512" s="267" t="s">
        <v>850</v>
      </c>
      <c r="B512" t="s">
        <v>332</v>
      </c>
    </row>
    <row r="513" spans="1:2" x14ac:dyDescent="0.3">
      <c r="A513" s="267" t="s">
        <v>851</v>
      </c>
      <c r="B513" t="s">
        <v>332</v>
      </c>
    </row>
    <row r="514" spans="1:2" x14ac:dyDescent="0.3">
      <c r="A514" s="267" t="s">
        <v>852</v>
      </c>
      <c r="B514" t="s">
        <v>332</v>
      </c>
    </row>
    <row r="515" spans="1:2" x14ac:dyDescent="0.3">
      <c r="A515" s="267" t="s">
        <v>853</v>
      </c>
      <c r="B515" t="s">
        <v>332</v>
      </c>
    </row>
    <row r="516" spans="1:2" x14ac:dyDescent="0.3">
      <c r="A516" s="267" t="s">
        <v>854</v>
      </c>
      <c r="B516" t="s">
        <v>332</v>
      </c>
    </row>
    <row r="517" spans="1:2" x14ac:dyDescent="0.3">
      <c r="A517" s="267" t="s">
        <v>855</v>
      </c>
      <c r="B517" t="s">
        <v>332</v>
      </c>
    </row>
    <row r="518" spans="1:2" x14ac:dyDescent="0.3">
      <c r="A518" s="267" t="s">
        <v>856</v>
      </c>
      <c r="B518" t="s">
        <v>332</v>
      </c>
    </row>
    <row r="519" spans="1:2" x14ac:dyDescent="0.3">
      <c r="A519" s="267" t="s">
        <v>857</v>
      </c>
      <c r="B519" t="s">
        <v>332</v>
      </c>
    </row>
    <row r="520" spans="1:2" x14ac:dyDescent="0.3">
      <c r="A520" s="267" t="s">
        <v>858</v>
      </c>
      <c r="B520" t="s">
        <v>332</v>
      </c>
    </row>
    <row r="521" spans="1:2" x14ac:dyDescent="0.3">
      <c r="A521" s="267" t="s">
        <v>859</v>
      </c>
      <c r="B521" t="s">
        <v>332</v>
      </c>
    </row>
    <row r="522" spans="1:2" x14ac:dyDescent="0.3">
      <c r="A522" s="267" t="s">
        <v>860</v>
      </c>
      <c r="B522" t="s">
        <v>332</v>
      </c>
    </row>
    <row r="523" spans="1:2" x14ac:dyDescent="0.3">
      <c r="A523" s="267" t="s">
        <v>861</v>
      </c>
      <c r="B523" t="s">
        <v>332</v>
      </c>
    </row>
    <row r="524" spans="1:2" x14ac:dyDescent="0.3">
      <c r="A524" s="267" t="s">
        <v>862</v>
      </c>
      <c r="B524" t="s">
        <v>332</v>
      </c>
    </row>
    <row r="525" spans="1:2" x14ac:dyDescent="0.3">
      <c r="A525" s="267" t="s">
        <v>863</v>
      </c>
      <c r="B525" t="s">
        <v>332</v>
      </c>
    </row>
    <row r="526" spans="1:2" x14ac:dyDescent="0.3">
      <c r="A526" s="267" t="s">
        <v>864</v>
      </c>
      <c r="B526" t="s">
        <v>332</v>
      </c>
    </row>
    <row r="527" spans="1:2" x14ac:dyDescent="0.3">
      <c r="A527" s="267" t="s">
        <v>865</v>
      </c>
      <c r="B527" t="s">
        <v>332</v>
      </c>
    </row>
    <row r="528" spans="1:2" x14ac:dyDescent="0.3">
      <c r="A528" s="267" t="s">
        <v>866</v>
      </c>
      <c r="B528" t="s">
        <v>332</v>
      </c>
    </row>
    <row r="529" spans="1:2" x14ac:dyDescent="0.3">
      <c r="A529" s="267" t="s">
        <v>867</v>
      </c>
      <c r="B529" t="s">
        <v>333</v>
      </c>
    </row>
    <row r="530" spans="1:2" x14ac:dyDescent="0.3">
      <c r="A530" s="267" t="s">
        <v>868</v>
      </c>
      <c r="B530" t="s">
        <v>333</v>
      </c>
    </row>
    <row r="531" spans="1:2" x14ac:dyDescent="0.3">
      <c r="A531" s="267" t="s">
        <v>869</v>
      </c>
      <c r="B531" t="s">
        <v>333</v>
      </c>
    </row>
    <row r="532" spans="1:2" x14ac:dyDescent="0.3">
      <c r="A532" s="267" t="s">
        <v>870</v>
      </c>
      <c r="B532" t="s">
        <v>333</v>
      </c>
    </row>
    <row r="533" spans="1:2" x14ac:dyDescent="0.3">
      <c r="A533" s="267" t="s">
        <v>871</v>
      </c>
      <c r="B533" t="s">
        <v>333</v>
      </c>
    </row>
    <row r="534" spans="1:2" x14ac:dyDescent="0.3">
      <c r="A534" s="267" t="s">
        <v>872</v>
      </c>
      <c r="B534" t="s">
        <v>334</v>
      </c>
    </row>
    <row r="535" spans="1:2" x14ac:dyDescent="0.3">
      <c r="A535" s="267" t="s">
        <v>873</v>
      </c>
      <c r="B535" t="s">
        <v>334</v>
      </c>
    </row>
    <row r="536" spans="1:2" x14ac:dyDescent="0.3">
      <c r="A536" s="267" t="s">
        <v>874</v>
      </c>
      <c r="B536" t="s">
        <v>334</v>
      </c>
    </row>
    <row r="537" spans="1:2" x14ac:dyDescent="0.3">
      <c r="A537" s="267" t="s">
        <v>875</v>
      </c>
      <c r="B537" t="s">
        <v>334</v>
      </c>
    </row>
    <row r="538" spans="1:2" x14ac:dyDescent="0.3">
      <c r="A538" s="267" t="s">
        <v>876</v>
      </c>
      <c r="B538" t="s">
        <v>334</v>
      </c>
    </row>
    <row r="539" spans="1:2" x14ac:dyDescent="0.3">
      <c r="A539" s="267" t="s">
        <v>877</v>
      </c>
      <c r="B539" t="s">
        <v>334</v>
      </c>
    </row>
    <row r="540" spans="1:2" x14ac:dyDescent="0.3">
      <c r="A540" s="267" t="s">
        <v>878</v>
      </c>
      <c r="B540" t="s">
        <v>334</v>
      </c>
    </row>
    <row r="541" spans="1:2" x14ac:dyDescent="0.3">
      <c r="A541" s="267" t="s">
        <v>879</v>
      </c>
      <c r="B541" t="s">
        <v>334</v>
      </c>
    </row>
    <row r="542" spans="1:2" x14ac:dyDescent="0.3">
      <c r="A542" s="267" t="s">
        <v>880</v>
      </c>
      <c r="B542" t="s">
        <v>334</v>
      </c>
    </row>
    <row r="543" spans="1:2" x14ac:dyDescent="0.3">
      <c r="A543" s="267" t="s">
        <v>881</v>
      </c>
      <c r="B543" t="s">
        <v>334</v>
      </c>
    </row>
    <row r="544" spans="1:2" x14ac:dyDescent="0.3">
      <c r="A544" s="267" t="s">
        <v>882</v>
      </c>
      <c r="B544" t="s">
        <v>335</v>
      </c>
    </row>
    <row r="545" spans="1:2" x14ac:dyDescent="0.3">
      <c r="A545" s="267" t="s">
        <v>883</v>
      </c>
      <c r="B545" t="s">
        <v>335</v>
      </c>
    </row>
    <row r="546" spans="1:2" x14ac:dyDescent="0.3">
      <c r="A546" s="267" t="s">
        <v>884</v>
      </c>
      <c r="B546" t="s">
        <v>335</v>
      </c>
    </row>
    <row r="547" spans="1:2" x14ac:dyDescent="0.3">
      <c r="A547" s="267" t="s">
        <v>885</v>
      </c>
      <c r="B547" t="s">
        <v>335</v>
      </c>
    </row>
    <row r="548" spans="1:2" x14ac:dyDescent="0.3">
      <c r="A548" s="267" t="s">
        <v>886</v>
      </c>
      <c r="B548" t="s">
        <v>335</v>
      </c>
    </row>
    <row r="549" spans="1:2" x14ac:dyDescent="0.3">
      <c r="A549" s="267" t="s">
        <v>887</v>
      </c>
      <c r="B549" t="s">
        <v>335</v>
      </c>
    </row>
    <row r="550" spans="1:2" x14ac:dyDescent="0.3">
      <c r="A550" s="267" t="s">
        <v>888</v>
      </c>
      <c r="B550" t="s">
        <v>335</v>
      </c>
    </row>
    <row r="551" spans="1:2" x14ac:dyDescent="0.3">
      <c r="A551" s="267" t="s">
        <v>889</v>
      </c>
      <c r="B551" t="s">
        <v>335</v>
      </c>
    </row>
    <row r="552" spans="1:2" x14ac:dyDescent="0.3">
      <c r="A552" s="267" t="s">
        <v>890</v>
      </c>
      <c r="B552" t="s">
        <v>335</v>
      </c>
    </row>
    <row r="553" spans="1:2" x14ac:dyDescent="0.3">
      <c r="A553" s="267" t="s">
        <v>891</v>
      </c>
      <c r="B553" t="s">
        <v>335</v>
      </c>
    </row>
    <row r="554" spans="1:2" x14ac:dyDescent="0.3">
      <c r="A554" s="267" t="s">
        <v>892</v>
      </c>
      <c r="B554" t="s">
        <v>335</v>
      </c>
    </row>
    <row r="555" spans="1:2" x14ac:dyDescent="0.3">
      <c r="A555" s="267" t="s">
        <v>893</v>
      </c>
      <c r="B555" t="s">
        <v>335</v>
      </c>
    </row>
    <row r="556" spans="1:2" x14ac:dyDescent="0.3">
      <c r="A556" s="267" t="s">
        <v>894</v>
      </c>
      <c r="B556" t="s">
        <v>335</v>
      </c>
    </row>
    <row r="557" spans="1:2" x14ac:dyDescent="0.3">
      <c r="A557" s="267" t="s">
        <v>895</v>
      </c>
      <c r="B557" t="s">
        <v>335</v>
      </c>
    </row>
    <row r="558" spans="1:2" x14ac:dyDescent="0.3">
      <c r="A558" s="267" t="s">
        <v>896</v>
      </c>
      <c r="B558" t="s">
        <v>335</v>
      </c>
    </row>
    <row r="559" spans="1:2" x14ac:dyDescent="0.3">
      <c r="A559" s="267" t="s">
        <v>897</v>
      </c>
      <c r="B559" t="s">
        <v>335</v>
      </c>
    </row>
    <row r="560" spans="1:2" x14ac:dyDescent="0.3">
      <c r="A560" s="267" t="s">
        <v>898</v>
      </c>
      <c r="B560" t="s">
        <v>335</v>
      </c>
    </row>
    <row r="561" spans="1:2" x14ac:dyDescent="0.3">
      <c r="A561" s="267" t="s">
        <v>899</v>
      </c>
      <c r="B561" t="s">
        <v>335</v>
      </c>
    </row>
    <row r="562" spans="1:2" x14ac:dyDescent="0.3">
      <c r="A562" s="267" t="s">
        <v>900</v>
      </c>
      <c r="B562" t="s">
        <v>335</v>
      </c>
    </row>
    <row r="563" spans="1:2" x14ac:dyDescent="0.3">
      <c r="A563" s="267" t="s">
        <v>901</v>
      </c>
      <c r="B563" t="s">
        <v>335</v>
      </c>
    </row>
    <row r="564" spans="1:2" x14ac:dyDescent="0.3">
      <c r="A564" s="267" t="s">
        <v>902</v>
      </c>
      <c r="B564" t="s">
        <v>335</v>
      </c>
    </row>
    <row r="565" spans="1:2" x14ac:dyDescent="0.3">
      <c r="A565" s="267" t="s">
        <v>903</v>
      </c>
      <c r="B565" t="s">
        <v>335</v>
      </c>
    </row>
    <row r="566" spans="1:2" x14ac:dyDescent="0.3">
      <c r="A566" s="267" t="s">
        <v>904</v>
      </c>
      <c r="B566" t="s">
        <v>335</v>
      </c>
    </row>
    <row r="567" spans="1:2" x14ac:dyDescent="0.3">
      <c r="A567" s="267" t="s">
        <v>905</v>
      </c>
      <c r="B567" t="s">
        <v>335</v>
      </c>
    </row>
    <row r="568" spans="1:2" x14ac:dyDescent="0.3">
      <c r="A568" s="267" t="s">
        <v>906</v>
      </c>
      <c r="B568" t="s">
        <v>335</v>
      </c>
    </row>
    <row r="569" spans="1:2" x14ac:dyDescent="0.3">
      <c r="A569" s="267" t="s">
        <v>907</v>
      </c>
      <c r="B569" t="s">
        <v>335</v>
      </c>
    </row>
    <row r="570" spans="1:2" x14ac:dyDescent="0.3">
      <c r="A570" s="267" t="s">
        <v>908</v>
      </c>
      <c r="B570" t="s">
        <v>335</v>
      </c>
    </row>
    <row r="571" spans="1:2" x14ac:dyDescent="0.3">
      <c r="A571" s="267" t="s">
        <v>909</v>
      </c>
      <c r="B571" t="s">
        <v>335</v>
      </c>
    </row>
    <row r="572" spans="1:2" x14ac:dyDescent="0.3">
      <c r="A572" s="267" t="s">
        <v>910</v>
      </c>
      <c r="B572" t="s">
        <v>335</v>
      </c>
    </row>
    <row r="573" spans="1:2" x14ac:dyDescent="0.3">
      <c r="A573" s="267" t="s">
        <v>911</v>
      </c>
      <c r="B573" t="s">
        <v>335</v>
      </c>
    </row>
    <row r="574" spans="1:2" x14ac:dyDescent="0.3">
      <c r="A574" s="267" t="s">
        <v>912</v>
      </c>
      <c r="B574" t="s">
        <v>335</v>
      </c>
    </row>
    <row r="575" spans="1:2" x14ac:dyDescent="0.3">
      <c r="A575" s="267" t="s">
        <v>913</v>
      </c>
      <c r="B575" t="s">
        <v>335</v>
      </c>
    </row>
    <row r="576" spans="1:2" x14ac:dyDescent="0.3">
      <c r="A576" s="267" t="s">
        <v>914</v>
      </c>
      <c r="B576" t="s">
        <v>335</v>
      </c>
    </row>
    <row r="577" spans="1:2" x14ac:dyDescent="0.3">
      <c r="A577" s="267" t="s">
        <v>915</v>
      </c>
      <c r="B577" t="s">
        <v>335</v>
      </c>
    </row>
    <row r="578" spans="1:2" x14ac:dyDescent="0.3">
      <c r="A578" s="267" t="s">
        <v>916</v>
      </c>
      <c r="B578" t="s">
        <v>335</v>
      </c>
    </row>
    <row r="579" spans="1:2" x14ac:dyDescent="0.3">
      <c r="A579" s="267" t="s">
        <v>917</v>
      </c>
      <c r="B579" t="s">
        <v>335</v>
      </c>
    </row>
    <row r="580" spans="1:2" x14ac:dyDescent="0.3">
      <c r="A580" s="267" t="s">
        <v>918</v>
      </c>
      <c r="B580" t="s">
        <v>335</v>
      </c>
    </row>
    <row r="581" spans="1:2" x14ac:dyDescent="0.3">
      <c r="A581" s="267" t="s">
        <v>919</v>
      </c>
      <c r="B581" t="s">
        <v>335</v>
      </c>
    </row>
    <row r="582" spans="1:2" x14ac:dyDescent="0.3">
      <c r="A582" s="267" t="s">
        <v>920</v>
      </c>
      <c r="B582" t="s">
        <v>335</v>
      </c>
    </row>
    <row r="583" spans="1:2" x14ac:dyDescent="0.3">
      <c r="A583" s="267" t="s">
        <v>921</v>
      </c>
      <c r="B583" t="s">
        <v>335</v>
      </c>
    </row>
    <row r="584" spans="1:2" x14ac:dyDescent="0.3">
      <c r="A584" s="267" t="s">
        <v>922</v>
      </c>
      <c r="B584" t="s">
        <v>335</v>
      </c>
    </row>
    <row r="585" spans="1:2" x14ac:dyDescent="0.3">
      <c r="A585" s="267" t="s">
        <v>923</v>
      </c>
      <c r="B585" t="s">
        <v>335</v>
      </c>
    </row>
    <row r="586" spans="1:2" x14ac:dyDescent="0.3">
      <c r="A586" s="267" t="s">
        <v>924</v>
      </c>
      <c r="B586" t="s">
        <v>335</v>
      </c>
    </row>
    <row r="587" spans="1:2" x14ac:dyDescent="0.3">
      <c r="A587" s="267" t="s">
        <v>925</v>
      </c>
      <c r="B587" t="s">
        <v>335</v>
      </c>
    </row>
    <row r="588" spans="1:2" x14ac:dyDescent="0.3">
      <c r="A588" s="267" t="s">
        <v>926</v>
      </c>
      <c r="B588" t="s">
        <v>335</v>
      </c>
    </row>
    <row r="589" spans="1:2" x14ac:dyDescent="0.3">
      <c r="A589" s="267" t="s">
        <v>927</v>
      </c>
      <c r="B589" t="s">
        <v>335</v>
      </c>
    </row>
    <row r="590" spans="1:2" x14ac:dyDescent="0.3">
      <c r="A590" s="267" t="s">
        <v>928</v>
      </c>
      <c r="B590" t="s">
        <v>335</v>
      </c>
    </row>
    <row r="591" spans="1:2" x14ac:dyDescent="0.3">
      <c r="A591" s="267" t="s">
        <v>929</v>
      </c>
      <c r="B591" t="s">
        <v>335</v>
      </c>
    </row>
    <row r="592" spans="1:2" x14ac:dyDescent="0.3">
      <c r="A592" s="267" t="s">
        <v>930</v>
      </c>
      <c r="B592" t="s">
        <v>335</v>
      </c>
    </row>
    <row r="593" spans="1:2" x14ac:dyDescent="0.3">
      <c r="A593" s="267" t="s">
        <v>931</v>
      </c>
      <c r="B593" t="s">
        <v>335</v>
      </c>
    </row>
    <row r="594" spans="1:2" x14ac:dyDescent="0.3">
      <c r="A594" s="267" t="s">
        <v>932</v>
      </c>
      <c r="B594" t="s">
        <v>335</v>
      </c>
    </row>
    <row r="595" spans="1:2" x14ac:dyDescent="0.3">
      <c r="A595" s="267" t="s">
        <v>933</v>
      </c>
      <c r="B595" t="s">
        <v>335</v>
      </c>
    </row>
    <row r="596" spans="1:2" x14ac:dyDescent="0.3">
      <c r="A596" s="267" t="s">
        <v>934</v>
      </c>
      <c r="B596" t="s">
        <v>335</v>
      </c>
    </row>
    <row r="597" spans="1:2" x14ac:dyDescent="0.3">
      <c r="A597" s="267" t="s">
        <v>935</v>
      </c>
      <c r="B597" t="s">
        <v>335</v>
      </c>
    </row>
    <row r="598" spans="1:2" x14ac:dyDescent="0.3">
      <c r="A598" s="267" t="s">
        <v>936</v>
      </c>
      <c r="B598" t="s">
        <v>335</v>
      </c>
    </row>
    <row r="599" spans="1:2" x14ac:dyDescent="0.3">
      <c r="A599" s="267" t="s">
        <v>937</v>
      </c>
      <c r="B599" t="s">
        <v>335</v>
      </c>
    </row>
    <row r="600" spans="1:2" x14ac:dyDescent="0.3">
      <c r="A600" s="267" t="s">
        <v>938</v>
      </c>
      <c r="B600" t="s">
        <v>335</v>
      </c>
    </row>
    <row r="601" spans="1:2" x14ac:dyDescent="0.3">
      <c r="A601" s="267" t="s">
        <v>939</v>
      </c>
      <c r="B601" t="s">
        <v>336</v>
      </c>
    </row>
    <row r="602" spans="1:2" x14ac:dyDescent="0.3">
      <c r="A602" s="267" t="s">
        <v>940</v>
      </c>
      <c r="B602" t="s">
        <v>336</v>
      </c>
    </row>
    <row r="603" spans="1:2" x14ac:dyDescent="0.3">
      <c r="A603" s="267" t="s">
        <v>941</v>
      </c>
      <c r="B603" t="s">
        <v>336</v>
      </c>
    </row>
    <row r="604" spans="1:2" x14ac:dyDescent="0.3">
      <c r="A604" s="267" t="s">
        <v>942</v>
      </c>
      <c r="B604" t="s">
        <v>336</v>
      </c>
    </row>
    <row r="605" spans="1:2" x14ac:dyDescent="0.3">
      <c r="A605" s="267" t="s">
        <v>943</v>
      </c>
      <c r="B605" t="s">
        <v>336</v>
      </c>
    </row>
    <row r="606" spans="1:2" x14ac:dyDescent="0.3">
      <c r="A606" s="267" t="s">
        <v>944</v>
      </c>
      <c r="B606" t="s">
        <v>337</v>
      </c>
    </row>
    <row r="607" spans="1:2" x14ac:dyDescent="0.3">
      <c r="A607" s="267" t="s">
        <v>945</v>
      </c>
      <c r="B607" t="s">
        <v>337</v>
      </c>
    </row>
    <row r="608" spans="1:2" x14ac:dyDescent="0.3">
      <c r="A608" s="267" t="s">
        <v>946</v>
      </c>
      <c r="B608" t="s">
        <v>338</v>
      </c>
    </row>
    <row r="609" spans="1:2" x14ac:dyDescent="0.3">
      <c r="A609" s="267" t="s">
        <v>947</v>
      </c>
      <c r="B609" t="s">
        <v>338</v>
      </c>
    </row>
    <row r="610" spans="1:2" x14ac:dyDescent="0.3">
      <c r="A610" s="267" t="s">
        <v>948</v>
      </c>
      <c r="B610" t="s">
        <v>339</v>
      </c>
    </row>
    <row r="611" spans="1:2" x14ac:dyDescent="0.3">
      <c r="A611" s="267" t="s">
        <v>949</v>
      </c>
      <c r="B611" t="s">
        <v>339</v>
      </c>
    </row>
    <row r="612" spans="1:2" x14ac:dyDescent="0.3">
      <c r="A612" s="267" t="s">
        <v>950</v>
      </c>
      <c r="B612" t="s">
        <v>339</v>
      </c>
    </row>
    <row r="613" spans="1:2" x14ac:dyDescent="0.3">
      <c r="A613" s="267" t="s">
        <v>951</v>
      </c>
      <c r="B613" t="s">
        <v>339</v>
      </c>
    </row>
    <row r="614" spans="1:2" x14ac:dyDescent="0.3">
      <c r="A614" s="267" t="s">
        <v>952</v>
      </c>
      <c r="B614" t="s">
        <v>339</v>
      </c>
    </row>
    <row r="615" spans="1:2" x14ac:dyDescent="0.3">
      <c r="A615" s="267" t="s">
        <v>953</v>
      </c>
      <c r="B615" t="s">
        <v>339</v>
      </c>
    </row>
    <row r="616" spans="1:2" x14ac:dyDescent="0.3">
      <c r="A616" s="267" t="s">
        <v>954</v>
      </c>
      <c r="B616" t="s">
        <v>339</v>
      </c>
    </row>
    <row r="617" spans="1:2" x14ac:dyDescent="0.3">
      <c r="A617" s="267" t="s">
        <v>955</v>
      </c>
      <c r="B617" t="s">
        <v>339</v>
      </c>
    </row>
    <row r="618" spans="1:2" x14ac:dyDescent="0.3">
      <c r="A618" s="267" t="s">
        <v>956</v>
      </c>
      <c r="B618" t="s">
        <v>339</v>
      </c>
    </row>
    <row r="619" spans="1:2" x14ac:dyDescent="0.3">
      <c r="A619" s="267" t="s">
        <v>957</v>
      </c>
      <c r="B619" t="s">
        <v>339</v>
      </c>
    </row>
    <row r="620" spans="1:2" x14ac:dyDescent="0.3">
      <c r="A620" s="267" t="s">
        <v>958</v>
      </c>
      <c r="B620" t="s">
        <v>339</v>
      </c>
    </row>
    <row r="621" spans="1:2" x14ac:dyDescent="0.3">
      <c r="A621" s="267" t="s">
        <v>959</v>
      </c>
      <c r="B621" t="s">
        <v>339</v>
      </c>
    </row>
    <row r="622" spans="1:2" x14ac:dyDescent="0.3">
      <c r="A622" s="267" t="s">
        <v>960</v>
      </c>
      <c r="B622" t="s">
        <v>339</v>
      </c>
    </row>
    <row r="623" spans="1:2" x14ac:dyDescent="0.3">
      <c r="A623" s="267" t="s">
        <v>961</v>
      </c>
      <c r="B623" t="s">
        <v>339</v>
      </c>
    </row>
    <row r="624" spans="1:2" x14ac:dyDescent="0.3">
      <c r="A624" s="267" t="s">
        <v>962</v>
      </c>
      <c r="B624" t="s">
        <v>339</v>
      </c>
    </row>
    <row r="625" spans="1:2" x14ac:dyDescent="0.3">
      <c r="A625" s="267" t="s">
        <v>963</v>
      </c>
      <c r="B625" t="s">
        <v>339</v>
      </c>
    </row>
    <row r="626" spans="1:2" x14ac:dyDescent="0.3">
      <c r="A626" s="267" t="s">
        <v>964</v>
      </c>
      <c r="B626" t="s">
        <v>339</v>
      </c>
    </row>
    <row r="627" spans="1:2" x14ac:dyDescent="0.3">
      <c r="A627" s="267" t="s">
        <v>965</v>
      </c>
      <c r="B627" t="s">
        <v>339</v>
      </c>
    </row>
    <row r="628" spans="1:2" x14ac:dyDescent="0.3">
      <c r="A628" s="267" t="s">
        <v>966</v>
      </c>
      <c r="B628" t="s">
        <v>339</v>
      </c>
    </row>
    <row r="629" spans="1:2" x14ac:dyDescent="0.3">
      <c r="A629" s="267" t="s">
        <v>967</v>
      </c>
      <c r="B629" t="s">
        <v>339</v>
      </c>
    </row>
    <row r="630" spans="1:2" x14ac:dyDescent="0.3">
      <c r="A630" s="267" t="s">
        <v>968</v>
      </c>
      <c r="B630" t="s">
        <v>339</v>
      </c>
    </row>
    <row r="631" spans="1:2" x14ac:dyDescent="0.3">
      <c r="A631" s="267" t="s">
        <v>969</v>
      </c>
      <c r="B631" t="s">
        <v>339</v>
      </c>
    </row>
    <row r="632" spans="1:2" x14ac:dyDescent="0.3">
      <c r="A632" s="267" t="s">
        <v>970</v>
      </c>
      <c r="B632" t="s">
        <v>339</v>
      </c>
    </row>
    <row r="633" spans="1:2" x14ac:dyDescent="0.3">
      <c r="A633" s="267" t="s">
        <v>971</v>
      </c>
      <c r="B633" t="s">
        <v>339</v>
      </c>
    </row>
    <row r="634" spans="1:2" x14ac:dyDescent="0.3">
      <c r="A634" s="267" t="s">
        <v>972</v>
      </c>
      <c r="B634" t="s">
        <v>339</v>
      </c>
    </row>
    <row r="635" spans="1:2" x14ac:dyDescent="0.3">
      <c r="A635" s="267" t="s">
        <v>973</v>
      </c>
      <c r="B635" t="s">
        <v>339</v>
      </c>
    </row>
    <row r="636" spans="1:2" x14ac:dyDescent="0.3">
      <c r="A636" s="267" t="s">
        <v>974</v>
      </c>
      <c r="B636" t="s">
        <v>339</v>
      </c>
    </row>
    <row r="637" spans="1:2" x14ac:dyDescent="0.3">
      <c r="A637" s="267" t="s">
        <v>975</v>
      </c>
      <c r="B637" t="s">
        <v>339</v>
      </c>
    </row>
    <row r="638" spans="1:2" x14ac:dyDescent="0.3">
      <c r="A638" s="267" t="s">
        <v>976</v>
      </c>
      <c r="B638" t="s">
        <v>339</v>
      </c>
    </row>
    <row r="639" spans="1:2" x14ac:dyDescent="0.3">
      <c r="A639" s="267" t="s">
        <v>977</v>
      </c>
      <c r="B639" t="s">
        <v>339</v>
      </c>
    </row>
    <row r="640" spans="1:2" x14ac:dyDescent="0.3">
      <c r="A640" s="267" t="s">
        <v>978</v>
      </c>
      <c r="B640" t="s">
        <v>339</v>
      </c>
    </row>
    <row r="641" spans="1:2" x14ac:dyDescent="0.3">
      <c r="A641" s="267" t="s">
        <v>979</v>
      </c>
      <c r="B641" t="s">
        <v>339</v>
      </c>
    </row>
    <row r="642" spans="1:2" x14ac:dyDescent="0.3">
      <c r="A642" s="267" t="s">
        <v>980</v>
      </c>
      <c r="B642" t="s">
        <v>339</v>
      </c>
    </row>
    <row r="643" spans="1:2" x14ac:dyDescent="0.3">
      <c r="A643" s="267" t="s">
        <v>981</v>
      </c>
      <c r="B643" t="s">
        <v>340</v>
      </c>
    </row>
    <row r="644" spans="1:2" x14ac:dyDescent="0.3">
      <c r="A644" s="267" t="s">
        <v>982</v>
      </c>
      <c r="B644" t="s">
        <v>340</v>
      </c>
    </row>
    <row r="645" spans="1:2" x14ac:dyDescent="0.3">
      <c r="A645" s="267" t="s">
        <v>983</v>
      </c>
      <c r="B645" t="s">
        <v>340</v>
      </c>
    </row>
    <row r="646" spans="1:2" x14ac:dyDescent="0.3">
      <c r="A646" s="267" t="s">
        <v>984</v>
      </c>
      <c r="B646" t="s">
        <v>340</v>
      </c>
    </row>
    <row r="647" spans="1:2" x14ac:dyDescent="0.3">
      <c r="A647" s="267" t="s">
        <v>985</v>
      </c>
      <c r="B647" t="s">
        <v>340</v>
      </c>
    </row>
    <row r="648" spans="1:2" x14ac:dyDescent="0.3">
      <c r="A648" s="267" t="s">
        <v>986</v>
      </c>
      <c r="B648" t="s">
        <v>340</v>
      </c>
    </row>
    <row r="649" spans="1:2" x14ac:dyDescent="0.3">
      <c r="A649" s="267" t="s">
        <v>987</v>
      </c>
      <c r="B649" t="s">
        <v>340</v>
      </c>
    </row>
    <row r="650" spans="1:2" x14ac:dyDescent="0.3">
      <c r="A650" s="267" t="s">
        <v>988</v>
      </c>
      <c r="B650" t="s">
        <v>340</v>
      </c>
    </row>
    <row r="651" spans="1:2" x14ac:dyDescent="0.3">
      <c r="A651" s="267" t="s">
        <v>989</v>
      </c>
      <c r="B651" t="s">
        <v>340</v>
      </c>
    </row>
    <row r="652" spans="1:2" x14ac:dyDescent="0.3">
      <c r="A652" s="267" t="s">
        <v>990</v>
      </c>
      <c r="B652" t="s">
        <v>340</v>
      </c>
    </row>
    <row r="653" spans="1:2" x14ac:dyDescent="0.3">
      <c r="A653" s="267" t="s">
        <v>991</v>
      </c>
      <c r="B653" t="s">
        <v>340</v>
      </c>
    </row>
    <row r="654" spans="1:2" x14ac:dyDescent="0.3">
      <c r="A654" s="267" t="s">
        <v>992</v>
      </c>
      <c r="B654" t="s">
        <v>340</v>
      </c>
    </row>
    <row r="655" spans="1:2" x14ac:dyDescent="0.3">
      <c r="A655" s="267" t="s">
        <v>993</v>
      </c>
      <c r="B655" t="s">
        <v>340</v>
      </c>
    </row>
    <row r="656" spans="1:2" x14ac:dyDescent="0.3">
      <c r="A656" s="267" t="s">
        <v>994</v>
      </c>
      <c r="B656" t="s">
        <v>340</v>
      </c>
    </row>
    <row r="657" spans="1:2" x14ac:dyDescent="0.3">
      <c r="A657" s="267" t="s">
        <v>995</v>
      </c>
      <c r="B657" t="s">
        <v>340</v>
      </c>
    </row>
    <row r="658" spans="1:2" x14ac:dyDescent="0.3">
      <c r="A658" s="267" t="s">
        <v>996</v>
      </c>
      <c r="B658" t="s">
        <v>340</v>
      </c>
    </row>
    <row r="659" spans="1:2" x14ac:dyDescent="0.3">
      <c r="A659" s="267" t="s">
        <v>997</v>
      </c>
      <c r="B659" t="s">
        <v>340</v>
      </c>
    </row>
    <row r="660" spans="1:2" x14ac:dyDescent="0.3">
      <c r="A660" s="267" t="s">
        <v>998</v>
      </c>
      <c r="B660" t="s">
        <v>340</v>
      </c>
    </row>
    <row r="661" spans="1:2" x14ac:dyDescent="0.3">
      <c r="A661" s="267" t="s">
        <v>999</v>
      </c>
      <c r="B661" t="s">
        <v>340</v>
      </c>
    </row>
    <row r="662" spans="1:2" x14ac:dyDescent="0.3">
      <c r="A662" s="267" t="s">
        <v>1000</v>
      </c>
      <c r="B662" t="s">
        <v>340</v>
      </c>
    </row>
    <row r="663" spans="1:2" x14ac:dyDescent="0.3">
      <c r="A663" s="267" t="s">
        <v>1001</v>
      </c>
      <c r="B663" t="s">
        <v>340</v>
      </c>
    </row>
    <row r="664" spans="1:2" x14ac:dyDescent="0.3">
      <c r="A664" s="267" t="s">
        <v>1002</v>
      </c>
      <c r="B664" t="s">
        <v>340</v>
      </c>
    </row>
    <row r="665" spans="1:2" x14ac:dyDescent="0.3">
      <c r="A665" s="267" t="s">
        <v>1003</v>
      </c>
      <c r="B665" t="s">
        <v>340</v>
      </c>
    </row>
    <row r="666" spans="1:2" x14ac:dyDescent="0.3">
      <c r="A666" s="267" t="s">
        <v>1004</v>
      </c>
      <c r="B666" t="s">
        <v>340</v>
      </c>
    </row>
    <row r="667" spans="1:2" x14ac:dyDescent="0.3">
      <c r="A667" s="267" t="s">
        <v>1005</v>
      </c>
      <c r="B667" t="s">
        <v>340</v>
      </c>
    </row>
    <row r="668" spans="1:2" x14ac:dyDescent="0.3">
      <c r="A668" s="267" t="s">
        <v>1006</v>
      </c>
      <c r="B668" t="s">
        <v>340</v>
      </c>
    </row>
    <row r="669" spans="1:2" x14ac:dyDescent="0.3">
      <c r="A669" s="267" t="s">
        <v>1007</v>
      </c>
      <c r="B669" t="s">
        <v>340</v>
      </c>
    </row>
    <row r="670" spans="1:2" x14ac:dyDescent="0.3">
      <c r="A670" s="267" t="s">
        <v>1008</v>
      </c>
      <c r="B670" t="s">
        <v>340</v>
      </c>
    </row>
    <row r="671" spans="1:2" x14ac:dyDescent="0.3">
      <c r="A671" s="267" t="s">
        <v>1009</v>
      </c>
      <c r="B671" t="s">
        <v>340</v>
      </c>
    </row>
    <row r="672" spans="1:2" x14ac:dyDescent="0.3">
      <c r="A672" s="267" t="s">
        <v>1010</v>
      </c>
      <c r="B672" t="s">
        <v>340</v>
      </c>
    </row>
    <row r="673" spans="1:2" x14ac:dyDescent="0.3">
      <c r="A673" s="267" t="s">
        <v>1011</v>
      </c>
      <c r="B673" t="s">
        <v>340</v>
      </c>
    </row>
    <row r="674" spans="1:2" x14ac:dyDescent="0.3">
      <c r="A674" s="267" t="s">
        <v>1012</v>
      </c>
      <c r="B674" t="s">
        <v>340</v>
      </c>
    </row>
    <row r="675" spans="1:2" x14ac:dyDescent="0.3">
      <c r="A675" s="267" t="s">
        <v>1013</v>
      </c>
      <c r="B675" t="s">
        <v>340</v>
      </c>
    </row>
    <row r="676" spans="1:2" x14ac:dyDescent="0.3">
      <c r="A676" s="267" t="s">
        <v>1014</v>
      </c>
      <c r="B676" t="s">
        <v>340</v>
      </c>
    </row>
    <row r="677" spans="1:2" x14ac:dyDescent="0.3">
      <c r="A677" s="267" t="s">
        <v>1015</v>
      </c>
      <c r="B677" t="s">
        <v>341</v>
      </c>
    </row>
    <row r="678" spans="1:2" x14ac:dyDescent="0.3">
      <c r="A678" s="267" t="s">
        <v>1016</v>
      </c>
      <c r="B678" t="s">
        <v>341</v>
      </c>
    </row>
    <row r="679" spans="1:2" x14ac:dyDescent="0.3">
      <c r="A679" s="267" t="s">
        <v>1017</v>
      </c>
      <c r="B679" t="s">
        <v>341</v>
      </c>
    </row>
    <row r="680" spans="1:2" x14ac:dyDescent="0.3">
      <c r="A680" s="267" t="s">
        <v>1018</v>
      </c>
      <c r="B680" t="s">
        <v>341</v>
      </c>
    </row>
    <row r="681" spans="1:2" x14ac:dyDescent="0.3">
      <c r="A681" s="267" t="s">
        <v>1019</v>
      </c>
      <c r="B681" t="s">
        <v>341</v>
      </c>
    </row>
    <row r="682" spans="1:2" x14ac:dyDescent="0.3">
      <c r="A682" s="267" t="s">
        <v>1020</v>
      </c>
      <c r="B682" t="s">
        <v>341</v>
      </c>
    </row>
    <row r="683" spans="1:2" x14ac:dyDescent="0.3">
      <c r="A683" s="267" t="s">
        <v>1021</v>
      </c>
      <c r="B683" t="s">
        <v>341</v>
      </c>
    </row>
    <row r="684" spans="1:2" x14ac:dyDescent="0.3">
      <c r="A684" s="267" t="s">
        <v>1022</v>
      </c>
      <c r="B684" t="s">
        <v>341</v>
      </c>
    </row>
    <row r="685" spans="1:2" x14ac:dyDescent="0.3">
      <c r="A685" s="267" t="s">
        <v>1023</v>
      </c>
      <c r="B685" t="s">
        <v>341</v>
      </c>
    </row>
    <row r="686" spans="1:2" x14ac:dyDescent="0.3">
      <c r="A686" s="267" t="s">
        <v>1024</v>
      </c>
      <c r="B686" t="s">
        <v>341</v>
      </c>
    </row>
    <row r="687" spans="1:2" x14ac:dyDescent="0.3">
      <c r="A687" s="267" t="s">
        <v>1025</v>
      </c>
      <c r="B687" t="s">
        <v>341</v>
      </c>
    </row>
    <row r="688" spans="1:2" x14ac:dyDescent="0.3">
      <c r="A688" s="267" t="s">
        <v>1026</v>
      </c>
      <c r="B688" t="s">
        <v>341</v>
      </c>
    </row>
    <row r="689" spans="1:2" x14ac:dyDescent="0.3">
      <c r="A689" s="267" t="s">
        <v>1027</v>
      </c>
      <c r="B689" t="s">
        <v>341</v>
      </c>
    </row>
    <row r="690" spans="1:2" x14ac:dyDescent="0.3">
      <c r="A690" s="267" t="s">
        <v>1028</v>
      </c>
      <c r="B690" t="s">
        <v>341</v>
      </c>
    </row>
    <row r="691" spans="1:2" x14ac:dyDescent="0.3">
      <c r="A691" s="267" t="s">
        <v>1029</v>
      </c>
      <c r="B691" t="s">
        <v>341</v>
      </c>
    </row>
    <row r="692" spans="1:2" x14ac:dyDescent="0.3">
      <c r="A692" s="267" t="s">
        <v>1030</v>
      </c>
      <c r="B692" t="s">
        <v>341</v>
      </c>
    </row>
    <row r="693" spans="1:2" x14ac:dyDescent="0.3">
      <c r="A693" s="267" t="s">
        <v>1031</v>
      </c>
      <c r="B693" t="s">
        <v>341</v>
      </c>
    </row>
    <row r="694" spans="1:2" x14ac:dyDescent="0.3">
      <c r="A694" s="267" t="s">
        <v>1032</v>
      </c>
      <c r="B694" t="s">
        <v>341</v>
      </c>
    </row>
    <row r="695" spans="1:2" x14ac:dyDescent="0.3">
      <c r="A695" s="267" t="s">
        <v>1033</v>
      </c>
      <c r="B695" t="s">
        <v>341</v>
      </c>
    </row>
    <row r="696" spans="1:2" x14ac:dyDescent="0.3">
      <c r="A696" s="267" t="s">
        <v>1034</v>
      </c>
      <c r="B696" t="s">
        <v>341</v>
      </c>
    </row>
    <row r="697" spans="1:2" x14ac:dyDescent="0.3">
      <c r="A697" s="267" t="s">
        <v>1035</v>
      </c>
      <c r="B697" t="s">
        <v>341</v>
      </c>
    </row>
    <row r="698" spans="1:2" x14ac:dyDescent="0.3">
      <c r="A698" s="267" t="s">
        <v>1036</v>
      </c>
      <c r="B698" t="s">
        <v>341</v>
      </c>
    </row>
    <row r="699" spans="1:2" x14ac:dyDescent="0.3">
      <c r="A699" s="267" t="s">
        <v>1037</v>
      </c>
      <c r="B699" t="s">
        <v>341</v>
      </c>
    </row>
    <row r="700" spans="1:2" x14ac:dyDescent="0.3">
      <c r="A700" s="267" t="s">
        <v>1038</v>
      </c>
      <c r="B700" t="s">
        <v>341</v>
      </c>
    </row>
    <row r="701" spans="1:2" x14ac:dyDescent="0.3">
      <c r="A701" s="267" t="s">
        <v>1039</v>
      </c>
      <c r="B701" t="s">
        <v>286</v>
      </c>
    </row>
    <row r="702" spans="1:2" x14ac:dyDescent="0.3">
      <c r="A702" s="267" t="s">
        <v>1040</v>
      </c>
      <c r="B702" t="s">
        <v>286</v>
      </c>
    </row>
    <row r="703" spans="1:2" x14ac:dyDescent="0.3">
      <c r="A703" s="267" t="s">
        <v>1041</v>
      </c>
      <c r="B703" t="s">
        <v>286</v>
      </c>
    </row>
    <row r="704" spans="1:2" x14ac:dyDescent="0.3">
      <c r="A704" s="267" t="s">
        <v>1042</v>
      </c>
      <c r="B704" t="s">
        <v>286</v>
      </c>
    </row>
    <row r="705" spans="1:2" x14ac:dyDescent="0.3">
      <c r="A705" s="267" t="s">
        <v>1043</v>
      </c>
      <c r="B705" t="s">
        <v>286</v>
      </c>
    </row>
    <row r="706" spans="1:2" x14ac:dyDescent="0.3">
      <c r="A706" s="267" t="s">
        <v>285</v>
      </c>
      <c r="B706" t="s">
        <v>286</v>
      </c>
    </row>
    <row r="707" spans="1:2" x14ac:dyDescent="0.3">
      <c r="A707" s="267" t="s">
        <v>1044</v>
      </c>
      <c r="B707" t="s">
        <v>342</v>
      </c>
    </row>
    <row r="708" spans="1:2" x14ac:dyDescent="0.3">
      <c r="A708" s="267" t="s">
        <v>1045</v>
      </c>
      <c r="B708" t="s">
        <v>342</v>
      </c>
    </row>
    <row r="709" spans="1:2" x14ac:dyDescent="0.3">
      <c r="A709" s="267" t="s">
        <v>1046</v>
      </c>
      <c r="B709" t="s">
        <v>342</v>
      </c>
    </row>
    <row r="710" spans="1:2" x14ac:dyDescent="0.3">
      <c r="A710" s="267" t="s">
        <v>1047</v>
      </c>
      <c r="B710" t="s">
        <v>342</v>
      </c>
    </row>
    <row r="711" spans="1:2" x14ac:dyDescent="0.3">
      <c r="A711" s="267" t="s">
        <v>1048</v>
      </c>
      <c r="B711" t="s">
        <v>342</v>
      </c>
    </row>
    <row r="712" spans="1:2" x14ac:dyDescent="0.3">
      <c r="A712" s="267" t="s">
        <v>1049</v>
      </c>
      <c r="B712" t="s">
        <v>342</v>
      </c>
    </row>
    <row r="713" spans="1:2" x14ac:dyDescent="0.3">
      <c r="A713" s="267" t="s">
        <v>1050</v>
      </c>
      <c r="B713" t="s">
        <v>342</v>
      </c>
    </row>
    <row r="714" spans="1:2" x14ac:dyDescent="0.3">
      <c r="A714" s="267" t="s">
        <v>1051</v>
      </c>
      <c r="B714" t="s">
        <v>342</v>
      </c>
    </row>
    <row r="715" spans="1:2" x14ac:dyDescent="0.3">
      <c r="A715" s="267" t="s">
        <v>1052</v>
      </c>
      <c r="B715" t="s">
        <v>342</v>
      </c>
    </row>
    <row r="716" spans="1:2" x14ac:dyDescent="0.3">
      <c r="A716" s="267" t="s">
        <v>1053</v>
      </c>
      <c r="B716" t="s">
        <v>342</v>
      </c>
    </row>
    <row r="717" spans="1:2" x14ac:dyDescent="0.3">
      <c r="A717" s="267" t="s">
        <v>1054</v>
      </c>
      <c r="B717" t="s">
        <v>342</v>
      </c>
    </row>
    <row r="718" spans="1:2" x14ac:dyDescent="0.3">
      <c r="A718" s="267" t="s">
        <v>1055</v>
      </c>
      <c r="B718" t="s">
        <v>342</v>
      </c>
    </row>
    <row r="719" spans="1:2" x14ac:dyDescent="0.3">
      <c r="A719" s="267" t="s">
        <v>1056</v>
      </c>
      <c r="B719" t="s">
        <v>342</v>
      </c>
    </row>
    <row r="720" spans="1:2" x14ac:dyDescent="0.3">
      <c r="A720" s="267" t="s">
        <v>1057</v>
      </c>
      <c r="B720" t="s">
        <v>342</v>
      </c>
    </row>
    <row r="721" spans="1:2" x14ac:dyDescent="0.3">
      <c r="A721" s="267" t="s">
        <v>1058</v>
      </c>
      <c r="B721" t="s">
        <v>342</v>
      </c>
    </row>
    <row r="722" spans="1:2" x14ac:dyDescent="0.3">
      <c r="A722" s="267" t="s">
        <v>1059</v>
      </c>
      <c r="B722" t="s">
        <v>342</v>
      </c>
    </row>
    <row r="723" spans="1:2" x14ac:dyDescent="0.3">
      <c r="A723" s="267" t="s">
        <v>1060</v>
      </c>
      <c r="B723" t="s">
        <v>342</v>
      </c>
    </row>
    <row r="724" spans="1:2" x14ac:dyDescent="0.3">
      <c r="A724" s="267" t="s">
        <v>1061</v>
      </c>
      <c r="B724" t="s">
        <v>342</v>
      </c>
    </row>
    <row r="725" spans="1:2" x14ac:dyDescent="0.3">
      <c r="A725" s="267" t="s">
        <v>1062</v>
      </c>
      <c r="B725" t="s">
        <v>342</v>
      </c>
    </row>
    <row r="726" spans="1:2" x14ac:dyDescent="0.3">
      <c r="A726" s="267" t="s">
        <v>1063</v>
      </c>
      <c r="B726" t="s">
        <v>343</v>
      </c>
    </row>
    <row r="727" spans="1:2" x14ac:dyDescent="0.3">
      <c r="A727" s="267" t="s">
        <v>1064</v>
      </c>
      <c r="B727" t="s">
        <v>343</v>
      </c>
    </row>
    <row r="728" spans="1:2" x14ac:dyDescent="0.3">
      <c r="A728" s="267" t="s">
        <v>1065</v>
      </c>
      <c r="B728" t="s">
        <v>343</v>
      </c>
    </row>
    <row r="729" spans="1:2" x14ac:dyDescent="0.3">
      <c r="A729" s="267" t="s">
        <v>1066</v>
      </c>
      <c r="B729" t="s">
        <v>343</v>
      </c>
    </row>
    <row r="730" spans="1:2" x14ac:dyDescent="0.3">
      <c r="A730" s="267" t="s">
        <v>1067</v>
      </c>
      <c r="B730" t="s">
        <v>343</v>
      </c>
    </row>
    <row r="731" spans="1:2" x14ac:dyDescent="0.3">
      <c r="A731" s="267" t="s">
        <v>1068</v>
      </c>
      <c r="B731" t="s">
        <v>343</v>
      </c>
    </row>
    <row r="732" spans="1:2" x14ac:dyDescent="0.3">
      <c r="A732" s="267" t="s">
        <v>1069</v>
      </c>
      <c r="B732" t="s">
        <v>343</v>
      </c>
    </row>
    <row r="733" spans="1:2" x14ac:dyDescent="0.3">
      <c r="A733" s="267" t="s">
        <v>1070</v>
      </c>
      <c r="B733" t="s">
        <v>343</v>
      </c>
    </row>
    <row r="734" spans="1:2" x14ac:dyDescent="0.3">
      <c r="A734" s="267" t="s">
        <v>1071</v>
      </c>
      <c r="B734" t="s">
        <v>344</v>
      </c>
    </row>
    <row r="735" spans="1:2" x14ac:dyDescent="0.3">
      <c r="A735" s="267" t="s">
        <v>1072</v>
      </c>
      <c r="B735" t="s">
        <v>344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TRANG CHU</vt:lpstr>
      <vt:lpstr>ACP</vt:lpstr>
      <vt:lpstr>KE HOACH KINH DOANH</vt:lpstr>
      <vt:lpstr>PHE DUYET ACP</vt:lpstr>
      <vt:lpstr>ConTxt</vt:lpstr>
      <vt:lpstr>DSNS</vt:lpstr>
      <vt:lpstr>Caculate</vt:lpstr>
      <vt:lpstr>Valid</vt:lpstr>
      <vt:lpstr>Data</vt:lpstr>
      <vt:lpstr>Data_2</vt:lpstr>
      <vt:lpstr>Data_1</vt:lpstr>
      <vt:lpstr>Data_3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Truc, Ngo Thuy Thanh - HO.SME</dc:creator>
  <cp:lastModifiedBy>Truc, Ngo Thuy Thanh - HO.SME</cp:lastModifiedBy>
  <dcterms:created xsi:type="dcterms:W3CDTF">2024-07-10T07:15:39Z</dcterms:created>
  <dcterms:modified xsi:type="dcterms:W3CDTF">2025-03-21T09:22:32Z</dcterms:modified>
</cp:coreProperties>
</file>